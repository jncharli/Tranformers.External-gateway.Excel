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ExternalGateway\Applications\Transformers\"/>
    </mc:Choice>
  </mc:AlternateContent>
  <xr:revisionPtr revIDLastSave="0" documentId="13_ncr:1_{C9D74CE4-3253-4A6D-BADD-49C12D328A27}" xr6:coauthVersionLast="44" xr6:coauthVersionMax="44" xr10:uidLastSave="{00000000-0000-0000-0000-000000000000}"/>
  <bookViews>
    <workbookView xWindow="-120" yWindow="-120" windowWidth="22905" windowHeight="13335" activeTab="2" xr2:uid="{00000000-000D-0000-FFFF-FFFF00000000}"/>
  </bookViews>
  <sheets>
    <sheet name="Control" sheetId="2" r:id="rId1"/>
    <sheet name="Parameters" sheetId="5" r:id="rId2"/>
    <sheet name="InputAnevis" sheetId="38" r:id="rId3"/>
    <sheet name="OutputAnevis" sheetId="42" r:id="rId4"/>
    <sheet name="TOPIXCalendar" sheetId="37" r:id="rId5"/>
  </sheets>
  <functionGroups builtInGroupCount="19"/>
  <definedNames>
    <definedName name="Currency">#REF!</definedName>
    <definedName name="EndDate" localSheetId="2">InputAnevis!#REF!</definedName>
    <definedName name="EndDate">#REF!</definedName>
    <definedName name="NAV">#REF!</definedName>
    <definedName name="SpreadsheetBuilder_1" localSheetId="2" hidden="1">InputAnevis!#REF!</definedName>
    <definedName name="SpreadsheetBuilder_1" hidden="1">#REF!</definedName>
    <definedName name="SpreadsheetBuilder_2" localSheetId="2" hidden="1">InputAnevis!#REF!</definedName>
    <definedName name="SpreadsheetBuilder_2" hidden="1">#REF!</definedName>
    <definedName name="SpreadsheetBuilder_3" localSheetId="2" hidden="1">InputAnevis!#REF!</definedName>
    <definedName name="SpreadsheetBuilder_3" hidden="1">#REF!</definedName>
    <definedName name="SpreadsheetBuilder_4" localSheetId="2" hidden="1">InputAnevis!#REF!</definedName>
    <definedName name="SpreadsheetBuilder_4" hidden="1">#REF!</definedName>
    <definedName name="StartDate" localSheetId="2">InputAnevis!#REF!</definedName>
    <definedName name="Start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8" l="1"/>
  <c r="F8" i="38"/>
  <c r="F7" i="38"/>
  <c r="F6" i="38"/>
  <c r="F5" i="38"/>
  <c r="F4" i="38"/>
  <c r="F3" i="38"/>
  <c r="H1" i="38" l="1"/>
  <c r="J10" i="38"/>
  <c r="C9" i="38" l="1"/>
  <c r="C8" i="38"/>
  <c r="C7" i="38"/>
  <c r="C6" i="38"/>
  <c r="H9" i="38"/>
  <c r="H8" i="38"/>
  <c r="H7" i="38"/>
  <c r="H6" i="38"/>
  <c r="G6" i="38" l="1"/>
  <c r="E6" i="38" s="1"/>
  <c r="G7" i="38"/>
  <c r="E7" i="38" s="1"/>
  <c r="G8" i="38"/>
  <c r="E8" i="38" s="1"/>
  <c r="G9" i="38"/>
  <c r="E9" i="38" s="1"/>
  <c r="G13" i="38"/>
  <c r="F13" i="38"/>
  <c r="E13" i="38"/>
  <c r="G12" i="38"/>
  <c r="E12" i="38"/>
  <c r="A12" i="38"/>
  <c r="F12" i="38" s="1"/>
  <c r="G11" i="38"/>
  <c r="E11" i="38"/>
  <c r="A11" i="38"/>
  <c r="F11" i="38" s="1"/>
  <c r="G10" i="38"/>
  <c r="F10" i="38"/>
  <c r="E10" i="38"/>
  <c r="C5" i="38"/>
  <c r="H5" i="38"/>
  <c r="G5" i="38" l="1"/>
  <c r="E5" i="38" s="1"/>
  <c r="C4" i="38"/>
  <c r="H4" i="38"/>
  <c r="G4" i="38" l="1"/>
  <c r="E4" i="38" s="1"/>
  <c r="C3" i="38"/>
  <c r="G1" i="38"/>
  <c r="F1" i="38"/>
  <c r="E1" i="38"/>
  <c r="H3" i="38"/>
  <c r="G3" i="38" l="1"/>
  <c r="E3" i="38" s="1"/>
</calcChain>
</file>

<file path=xl/sharedStrings.xml><?xml version="1.0" encoding="utf-8"?>
<sst xmlns="http://schemas.openxmlformats.org/spreadsheetml/2006/main" count="204" uniqueCount="156">
  <si>
    <t>Save the file</t>
  </si>
  <si>
    <t>Check Business day (and stop the processing if today is not a Business day)</t>
  </si>
  <si>
    <t>Delete formulas before copying</t>
  </si>
  <si>
    <t>Step 1</t>
  </si>
  <si>
    <t>Step 2</t>
  </si>
  <si>
    <t>Step 3</t>
  </si>
  <si>
    <t>Step 4</t>
  </si>
  <si>
    <t>Step 5</t>
  </si>
  <si>
    <t>Step 6</t>
  </si>
  <si>
    <t>Copy formulas</t>
  </si>
  <si>
    <t>Input</t>
  </si>
  <si>
    <t>Output</t>
  </si>
  <si>
    <t>Copy-paste values to Output sheet</t>
  </si>
  <si>
    <t>Step 7</t>
  </si>
  <si>
    <t>Export the data contained in Output sheet</t>
  </si>
  <si>
    <t>This file</t>
  </si>
  <si>
    <t>Activate ?</t>
  </si>
  <si>
    <t>Step</t>
  </si>
  <si>
    <t>Concerned sheet</t>
  </si>
  <si>
    <t>Description</t>
  </si>
  <si>
    <t>Start the process as soon as the Excel file is open</t>
  </si>
  <si>
    <t>OUTPUT_SHEETNAME</t>
  </si>
  <si>
    <t>INPUT_COL_FIRSTFORMULA</t>
  </si>
  <si>
    <t>INPUT_COL_LASTFORMULA</t>
  </si>
  <si>
    <t>INPUT_COL_FIRSTDATA</t>
  </si>
  <si>
    <t>INPUT_COL_LASTDATA</t>
  </si>
  <si>
    <t>INPUT_LINE_FORMULAS</t>
  </si>
  <si>
    <t>INPUT_LINE_COUNT</t>
  </si>
  <si>
    <t>INPUT_LINE_FIRSTDATAFORFORMULAS</t>
  </si>
  <si>
    <t>INPUT_LINE_FIRSTDATAFORCOPYINGDATA</t>
  </si>
  <si>
    <t>OUTPUT_COL_COUNT</t>
  </si>
  <si>
    <t>OUTPUT_COL_FIRSTDATA</t>
  </si>
  <si>
    <t>OUTPUT_LINE_FIRSTDATA</t>
  </si>
  <si>
    <t>OUTPUT_LINE_COUNT</t>
  </si>
  <si>
    <t>OUTPUT_COL_LASTDATA</t>
  </si>
  <si>
    <t>A</t>
  </si>
  <si>
    <t>Default value</t>
  </si>
  <si>
    <t>Log processing status</t>
  </si>
  <si>
    <t>Automatically close the file at the end of all input sheets</t>
  </si>
  <si>
    <t>INPUT_COL_AREDATAUPDATED</t>
  </si>
  <si>
    <t>Optional (defaut : first formula in INPUT_LINE_FORMULAS line)
Column containing the first formula to copy in the input sheet</t>
  </si>
  <si>
    <t>Optional (default : last filled column on INPUT_LINE_COUNT line)
Column containing the last formula to copy in the input sheet</t>
  </si>
  <si>
    <t>Input Sheet parameters</t>
  </si>
  <si>
    <t>Output Sheet parameters</t>
  </si>
  <si>
    <t>Optional (default : last filled column on OUTPUT_LINE_COUNT line)
Last column to copy from Output sheet to exported file containing static data</t>
  </si>
  <si>
    <t>Optional (default : current filename of this file)
Filename to use when saving the file if requested in the process</t>
  </si>
  <si>
    <t>Check if data are updated (and stop the processing if data are not updated)</t>
  </si>
  <si>
    <t>Mail global status</t>
  </si>
  <si>
    <t>Global</t>
  </si>
  <si>
    <t>From iW Partners Gateway</t>
  </si>
  <si>
    <t>Optional (default: "Output" + Name of the input sheet where "Input" keyword is deleted)
Name of the Output sheet</t>
  </si>
  <si>
    <t>"00:00:01"</t>
  </si>
  <si>
    <t>"00:00:05"</t>
  </si>
  <si>
    <t>Logging</t>
  </si>
  <si>
    <t>LOG_FOLDER</t>
  </si>
  <si>
    <t>LOG_FILENAME</t>
  </si>
  <si>
    <t>Optional (see default value)
Filename of the logs</t>
  </si>
  <si>
    <t>Name of the workbook + .log (dynamically set)</t>
  </si>
  <si>
    <t>LOG_DEBUGLEVEL</t>
  </si>
  <si>
    <t>Control</t>
  </si>
  <si>
    <t>Save file</t>
  </si>
  <si>
    <t>CONTROL_VALUE_WAITDELAYAFTERDELETE</t>
  </si>
  <si>
    <t>CONTROL_VALUE_WAITDELAYAFTERCOPY</t>
  </si>
  <si>
    <t>Mail status</t>
  </si>
  <si>
    <t>MAIL_BODY</t>
  </si>
  <si>
    <t>MAIL_TO</t>
  </si>
  <si>
    <t>Export</t>
  </si>
  <si>
    <t>.</t>
  </si>
  <si>
    <t>Current name of the workbook (dynamically set)</t>
  </si>
  <si>
    <t>SAVE_FOLDER</t>
  </si>
  <si>
    <t>SAVE_FILENAME</t>
  </si>
  <si>
    <t>EXPORT_FILENAME</t>
  </si>
  <si>
    <t>Name of the Output sheet (dynamically set)</t>
  </si>
  <si>
    <t>Optional (default : name of the Output sheet)
Filename to use when exporting file containing static data.
Extension (if any) is removed.</t>
  </si>
  <si>
    <t>Optional (see default value)
Directory where the logs will be generated</t>
  </si>
  <si>
    <t>Optional (see default value)
Delay to wait after having deleting the formulas</t>
  </si>
  <si>
    <t>Optional (see default value)
Delay to wait after having copying the formulas</t>
  </si>
  <si>
    <t>Optional (see default value)
First column to copy from Input sheet to Output sheet</t>
  </si>
  <si>
    <t>Optional (see default value)
Reference line where the formulas are indicated</t>
  </si>
  <si>
    <t>Optional (see default value)
Reference line to count the columns in the Input sheet</t>
  </si>
  <si>
    <t>Optional (see default value)
First line with data calculated with formulas</t>
  </si>
  <si>
    <t>Optional (see default value)
First line to copy from Input sheet to Output sheet (can be different from INPUT_LINE_FIRSTDATAFORFORMULAS if labels shall be copied to Output sheet)</t>
  </si>
  <si>
    <t>Optional (see default value)
Reference column to count the lines in the Output sheet</t>
  </si>
  <si>
    <t>Optional (see default value)
First column from Output where data are copied</t>
  </si>
  <si>
    <t>Optional (see default value)
Reference line to count the columns in the Output sheet</t>
  </si>
  <si>
    <t>Optional (see default value)
Message body in the mail providing the global status</t>
  </si>
  <si>
    <t>Optional (see default value)
Destination of the mail providing the global status</t>
  </si>
  <si>
    <t>Optional (see default value)
Indicate that the file should be moved rather than save as (the initial file is deleted).
The deletion of the initial file is cancelled if SAVE_FOLDER is the current directory.</t>
  </si>
  <si>
    <t>Mandatory if the data updated check is requested (default is "")
The data update check is cancelled if this parameter equals ""
Column containing a boolean indicating if the (Bloomberg) data on this line are updated</t>
  </si>
  <si>
    <t>Optional (see default value)
Indicates if the debug level logs must be displayed</t>
  </si>
  <si>
    <t>Check libraries (FORK) references</t>
  </si>
  <si>
    <t>SAVE_MUSTMOVE</t>
  </si>
  <si>
    <t>SAVE_MUSTHORODATE</t>
  </si>
  <si>
    <t>EXPORT_MUSTHORODATE</t>
  </si>
  <si>
    <t>Optional (see default value)
The file will be saved with the date and time appended on the left of its filename.</t>
  </si>
  <si>
    <t>Optional (see default value)
The exported file will be saved with the date and time appended on the left of its filename.</t>
  </si>
  <si>
    <t>..\..\Data\_Logs</t>
  </si>
  <si>
    <t>Optional (default : current directory of this file)
Directory to save this file if requested in the process. There may be several directories, separated by semi-colon.</t>
  </si>
  <si>
    <t>INPUT_COL_COUNTFORFORMULAS</t>
  </si>
  <si>
    <t>INPUT_COL_COUNTFORCOPYINGDATA</t>
  </si>
  <si>
    <t>Optional (see default value)
Refence column to count the number of lines in the input sheet for copying formulas</t>
  </si>
  <si>
    <t>Optional (see default value)
Refence column to count the number of lines in the input sheet for copying data</t>
  </si>
  <si>
    <t>Ticker</t>
  </si>
  <si>
    <t>MAIL_INDIRECTFOLDER</t>
  </si>
  <si>
    <t>Mandatory (no default value)
if empty, the status mail is commanded directly by the Transformer. Otherwise, the status is turned into a file which name is the status, and then stored in this folder to be sent by a gateway.</t>
  </si>
  <si>
    <t>Optional (see default value)
First line on which data fro input sheet are pasted, and for line to be copied to the exported sheet.</t>
  </si>
  <si>
    <t>Autostart</t>
  </si>
  <si>
    <t>AUTOSTART_COMPUTERS</t>
  </si>
  <si>
    <t>Optional (see default value)
List of computers on which the autostart will run if the Austostart checkbox is checked, separated by semi-colon. Null means all computers.</t>
  </si>
  <si>
    <t>EXPORT_FOLDERS</t>
  </si>
  <si>
    <t>InputAnevis</t>
  </si>
  <si>
    <t>F</t>
  </si>
  <si>
    <t>E</t>
  </si>
  <si>
    <t>.\Archived</t>
  </si>
  <si>
    <t>Field</t>
  </si>
  <si>
    <t>Date</t>
  </si>
  <si>
    <t>Currency</t>
  </si>
  <si>
    <t>Data line OK ?</t>
  </si>
  <si>
    <t>Price</t>
  </si>
  <si>
    <t>JCGMGGI Index</t>
  </si>
  <si>
    <t>PX_LAST</t>
  </si>
  <si>
    <t>EUR</t>
  </si>
  <si>
    <t>TPXDDVD Index</t>
  </si>
  <si>
    <t>BBOOBLNC Index</t>
  </si>
  <si>
    <t>New Year's Day</t>
  </si>
  <si>
    <t>Market Holiday</t>
  </si>
  <si>
    <t>Coming of Age Day</t>
  </si>
  <si>
    <t>National Foundation Day</t>
  </si>
  <si>
    <t>Vernal Equinox</t>
  </si>
  <si>
    <t>Showa Day</t>
  </si>
  <si>
    <t>Constitution Memorial Day</t>
  </si>
  <si>
    <t>Greenery Day</t>
  </si>
  <si>
    <t>Marine Day</t>
  </si>
  <si>
    <t>Respect for the Aged Day</t>
  </si>
  <si>
    <t>Autumnal Equinox</t>
  </si>
  <si>
    <t>Labor Thanksgiving Day</t>
  </si>
  <si>
    <t>Emperor's Birthday</t>
  </si>
  <si>
    <t>Mountain Day</t>
  </si>
  <si>
    <t>Culture Day</t>
  </si>
  <si>
    <t>Step 8</t>
  </si>
  <si>
    <t>Check the TOPIX calendar</t>
  </si>
  <si>
    <t>APPS01</t>
  </si>
  <si>
    <t/>
  </si>
  <si>
    <t>"00:00:15"</t>
  </si>
  <si>
    <t>..\..\Data\To.Anevis.SFTP\1_ToSend;..\..\Data\To.MiddleOffice.Outlook</t>
  </si>
  <si>
    <t>..\..\Data\To.MiddleOffice.Outlook</t>
  </si>
  <si>
    <t>jnc@apis-am.com</t>
  </si>
  <si>
    <t>Children's Day</t>
  </si>
  <si>
    <t>Sports Day</t>
  </si>
  <si>
    <t>https://www.jpx.co.jp/english/corporate/about-jpx/calendar/</t>
  </si>
  <si>
    <t>XAU Curncy</t>
  </si>
  <si>
    <t>XAU Index</t>
  </si>
  <si>
    <t>GDMNTR Index</t>
  </si>
  <si>
    <t>MVGDXJTR Index</t>
  </si>
  <si>
    <t>Anevis_Indices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</si>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</sst>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303336"/>
      <name val="Inherit"/>
    </font>
    <font>
      <b/>
      <sz val="9"/>
      <color theme="5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1D1D1"/>
      </left>
      <right/>
      <top style="medium">
        <color rgb="FFD1D1D1"/>
      </top>
      <bottom/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/>
      <diagonal/>
    </border>
  </borders>
  <cellStyleXfs count="2">
    <xf numFmtId="0" fontId="0" fillId="0" borderId="0"/>
    <xf numFmtId="0" fontId="8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4" fillId="0" borderId="0" xfId="0" applyFont="1"/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1" fontId="3" fillId="4" borderId="1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21" fontId="3" fillId="5" borderId="1" xfId="0" quotePrefix="1" applyNumberFormat="1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21" fontId="3" fillId="7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 applyAlignment="1">
      <alignment vertical="center"/>
    </xf>
    <xf numFmtId="14" fontId="1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9" fillId="0" borderId="2" xfId="0" applyNumberFormat="1" applyFont="1" applyBorder="1" applyAlignment="1">
      <alignment horizontal="left" vertical="center" wrapText="1" indent="1"/>
    </xf>
    <xf numFmtId="0" fontId="9" fillId="0" borderId="3" xfId="0" applyFont="1" applyBorder="1" applyAlignment="1">
      <alignment horizontal="left" vertical="center" wrapText="1" indent="1"/>
    </xf>
    <xf numFmtId="0" fontId="10" fillId="0" borderId="0" xfId="0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6EA9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BDH|14209004056289552603</stp>
        <tr r="H4" s="38"/>
      </tp>
      <tp t="s">
        <v>#N/A N/A</v>
        <stp/>
        <stp>BDH|14587860946441589591</stp>
        <tr r="H7" s="38"/>
      </tp>
      <tp t="s">
        <v>#N/A N/A</v>
        <stp/>
        <stp>BDH|14224825448738157288</stp>
        <tr r="H9" s="38"/>
      </tp>
      <tp t="s">
        <v>#N/A N/A</v>
        <stp/>
        <stp>BDH|17634998888449780961</stp>
        <tr r="H6" s="38"/>
      </tp>
    </main>
    <main first="bofaddin.rtdserver">
      <tp t="s">
        <v>#N/A N/A</v>
        <stp/>
        <stp>BDH|6346951646586041317</stp>
        <tr r="H3" s="38"/>
      </tp>
      <tp t="s">
        <v>#N/A N/A</v>
        <stp/>
        <stp>BDH|7476877772289197619</stp>
        <tr r="H5" s="38"/>
      </tp>
      <tp t="s">
        <v>#N/A N/A</v>
        <stp/>
        <stp>BDH|4137297594648137488</stp>
        <tr r="H6" s="38"/>
      </tp>
      <tp t="s">
        <v>#N/A N/A</v>
        <stp/>
        <stp>BDH|646092635507725141</stp>
        <tr r="H8" s="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</xdr:row>
          <xdr:rowOff>28575</xdr:rowOff>
        </xdr:from>
        <xdr:to>
          <xdr:col>0</xdr:col>
          <xdr:colOff>342900</xdr:colOff>
          <xdr:row>4</xdr:row>
          <xdr:rowOff>200025</xdr:rowOff>
        </xdr:to>
        <xdr:sp macro="" textlink="">
          <xdr:nvSpPr>
            <xdr:cNvPr id="2054" name="CheckBox_CheckBusinessDa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8</xdr:row>
          <xdr:rowOff>19050</xdr:rowOff>
        </xdr:from>
        <xdr:to>
          <xdr:col>0</xdr:col>
          <xdr:colOff>342900</xdr:colOff>
          <xdr:row>8</xdr:row>
          <xdr:rowOff>190500</xdr:rowOff>
        </xdr:to>
        <xdr:sp macro="" textlink="">
          <xdr:nvSpPr>
            <xdr:cNvPr id="2055" name="CheckBox_CheckDataUpToDat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13</xdr:row>
          <xdr:rowOff>28575</xdr:rowOff>
        </xdr:from>
        <xdr:to>
          <xdr:col>0</xdr:col>
          <xdr:colOff>342900</xdr:colOff>
          <xdr:row>13</xdr:row>
          <xdr:rowOff>200025</xdr:rowOff>
        </xdr:to>
        <xdr:sp macro="" textlink="">
          <xdr:nvSpPr>
            <xdr:cNvPr id="2056" name="CheckBox_Sav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10</xdr:row>
          <xdr:rowOff>28575</xdr:rowOff>
        </xdr:from>
        <xdr:to>
          <xdr:col>0</xdr:col>
          <xdr:colOff>342900</xdr:colOff>
          <xdr:row>10</xdr:row>
          <xdr:rowOff>200025</xdr:rowOff>
        </xdr:to>
        <xdr:sp macro="" textlink="">
          <xdr:nvSpPr>
            <xdr:cNvPr id="2057" name="CheckBox_ExportData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14</xdr:row>
          <xdr:rowOff>28575</xdr:rowOff>
        </xdr:from>
        <xdr:to>
          <xdr:col>0</xdr:col>
          <xdr:colOff>342900</xdr:colOff>
          <xdr:row>14</xdr:row>
          <xdr:rowOff>200025</xdr:rowOff>
        </xdr:to>
        <xdr:sp macro="" textlink="">
          <xdr:nvSpPr>
            <xdr:cNvPr id="2058" name="CheckBox_CloseFil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57150</xdr:rowOff>
        </xdr:from>
        <xdr:to>
          <xdr:col>1</xdr:col>
          <xdr:colOff>1143000</xdr:colOff>
          <xdr:row>0</xdr:row>
          <xdr:rowOff>304800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</xdr:row>
          <xdr:rowOff>19050</xdr:rowOff>
        </xdr:from>
        <xdr:to>
          <xdr:col>0</xdr:col>
          <xdr:colOff>352425</xdr:colOff>
          <xdr:row>3</xdr:row>
          <xdr:rowOff>190500</xdr:rowOff>
        </xdr:to>
        <xdr:sp macro="" textlink="">
          <xdr:nvSpPr>
            <xdr:cNvPr id="2061" name="CheckBox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3</xdr:row>
          <xdr:rowOff>19050</xdr:rowOff>
        </xdr:from>
        <xdr:to>
          <xdr:col>0</xdr:col>
          <xdr:colOff>342900</xdr:colOff>
          <xdr:row>3</xdr:row>
          <xdr:rowOff>190500</xdr:rowOff>
        </xdr:to>
        <xdr:sp macro="" textlink="">
          <xdr:nvSpPr>
            <xdr:cNvPr id="2066" name="CheckBox_AutoStart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12</xdr:row>
          <xdr:rowOff>19050</xdr:rowOff>
        </xdr:from>
        <xdr:to>
          <xdr:col>0</xdr:col>
          <xdr:colOff>342900</xdr:colOff>
          <xdr:row>12</xdr:row>
          <xdr:rowOff>190500</xdr:rowOff>
        </xdr:to>
        <xdr:sp macro="" textlink="">
          <xdr:nvSpPr>
            <xdr:cNvPr id="2067" name="CheckBox_MailGlobalStatus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</xdr:row>
          <xdr:rowOff>19050</xdr:rowOff>
        </xdr:from>
        <xdr:to>
          <xdr:col>0</xdr:col>
          <xdr:colOff>342900</xdr:colOff>
          <xdr:row>2</xdr:row>
          <xdr:rowOff>190500</xdr:rowOff>
        </xdr:to>
        <xdr:sp macro="" textlink="">
          <xdr:nvSpPr>
            <xdr:cNvPr id="2068" name="CheckBox_CheckLibrarie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Feathered">
  <a:themeElements>
    <a:clrScheme name="Feathered">
      <a:dk1>
        <a:sysClr val="windowText" lastClr="000000"/>
      </a:dk1>
      <a:lt1>
        <a:sysClr val="window" lastClr="FFFFFF"/>
      </a:lt1>
      <a:dk2>
        <a:srgbClr val="121316"/>
      </a:dk2>
      <a:lt2>
        <a:srgbClr val="FEFCF7"/>
      </a:lt2>
      <a:accent1>
        <a:srgbClr val="606372"/>
      </a:accent1>
      <a:accent2>
        <a:srgbClr val="79A8A4"/>
      </a:accent2>
      <a:accent3>
        <a:srgbClr val="B2AD8F"/>
      </a:accent3>
      <a:accent4>
        <a:srgbClr val="AD8082"/>
      </a:accent4>
      <a:accent5>
        <a:srgbClr val="DEC18C"/>
      </a:accent5>
      <a:accent6>
        <a:srgbClr val="92A185"/>
      </a:accent6>
      <a:hlink>
        <a:srgbClr val="85C4D2"/>
      </a:hlink>
      <a:folHlink>
        <a:srgbClr val="8E8CA7"/>
      </a:folHlink>
    </a:clrScheme>
    <a:fontScheme name="Feathered">
      <a:majorFont>
        <a:latin typeface="Century Schoolbook" panose="02040604050505020304"/>
        <a:ea typeface=""/>
        <a:cs typeface=""/>
        <a:font script="Jpan" typeface="メイリオ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499984740745262"/>
  </sheetPr>
  <dimension ref="A1:D21"/>
  <sheetViews>
    <sheetView workbookViewId="0">
      <selection activeCell="C28" sqref="C28"/>
    </sheetView>
  </sheetViews>
  <sheetFormatPr defaultColWidth="8.85546875" defaultRowHeight="15"/>
  <cols>
    <col min="1" max="1" width="8.85546875" style="1"/>
    <col min="2" max="2" width="17.28515625" style="1" customWidth="1"/>
    <col min="3" max="3" width="15.28515625" style="1" customWidth="1"/>
    <col min="4" max="4" width="67.28515625" style="1" customWidth="1"/>
    <col min="5" max="16384" width="8.85546875" style="1"/>
  </cols>
  <sheetData>
    <row r="1" spans="1:4" ht="27" customHeight="1"/>
    <row r="2" spans="1:4" s="4" customFormat="1">
      <c r="A2" s="5" t="s">
        <v>16</v>
      </c>
      <c r="B2" s="5" t="s">
        <v>17</v>
      </c>
      <c r="C2" s="5" t="s">
        <v>18</v>
      </c>
      <c r="D2" s="5" t="s">
        <v>19</v>
      </c>
    </row>
    <row r="3" spans="1:4" ht="16.899999999999999" customHeight="1">
      <c r="A3" s="6"/>
      <c r="B3" s="7"/>
      <c r="C3" s="7" t="s">
        <v>15</v>
      </c>
      <c r="D3" s="6" t="s">
        <v>90</v>
      </c>
    </row>
    <row r="4" spans="1:4" ht="16.899999999999999" customHeight="1">
      <c r="A4" s="6"/>
      <c r="B4" s="7"/>
      <c r="C4" s="7" t="s">
        <v>15</v>
      </c>
      <c r="D4" s="6" t="s">
        <v>20</v>
      </c>
    </row>
    <row r="5" spans="1:4" ht="16.899999999999999" customHeight="1">
      <c r="A5" s="6"/>
      <c r="B5" s="7" t="s">
        <v>3</v>
      </c>
      <c r="C5" s="7" t="s">
        <v>10</v>
      </c>
      <c r="D5" s="6" t="s">
        <v>1</v>
      </c>
    </row>
    <row r="6" spans="1:4" ht="16.899999999999999" customHeight="1">
      <c r="A6" s="6"/>
      <c r="B6" s="7" t="s">
        <v>4</v>
      </c>
      <c r="C6" s="7" t="s">
        <v>10</v>
      </c>
      <c r="D6" s="6" t="s">
        <v>2</v>
      </c>
    </row>
    <row r="7" spans="1:4" ht="16.899999999999999" customHeight="1">
      <c r="A7" s="6"/>
      <c r="B7" s="7" t="s">
        <v>5</v>
      </c>
      <c r="C7" s="7" t="s">
        <v>10</v>
      </c>
      <c r="D7" s="6" t="s">
        <v>9</v>
      </c>
    </row>
    <row r="8" spans="1:4" ht="16.899999999999999" customHeight="1">
      <c r="A8" s="6"/>
      <c r="B8" s="7" t="s">
        <v>6</v>
      </c>
      <c r="C8" s="7" t="s">
        <v>10</v>
      </c>
      <c r="D8" s="6" t="s">
        <v>140</v>
      </c>
    </row>
    <row r="9" spans="1:4" ht="16.899999999999999" customHeight="1">
      <c r="A9" s="6"/>
      <c r="B9" s="7" t="s">
        <v>7</v>
      </c>
      <c r="C9" s="7" t="s">
        <v>10</v>
      </c>
      <c r="D9" s="6" t="s">
        <v>46</v>
      </c>
    </row>
    <row r="10" spans="1:4" ht="16.899999999999999" customHeight="1">
      <c r="A10" s="6"/>
      <c r="B10" s="7" t="s">
        <v>8</v>
      </c>
      <c r="C10" s="7" t="s">
        <v>11</v>
      </c>
      <c r="D10" s="6" t="s">
        <v>12</v>
      </c>
    </row>
    <row r="11" spans="1:4" ht="16.899999999999999" customHeight="1">
      <c r="A11" s="6"/>
      <c r="B11" s="7" t="s">
        <v>13</v>
      </c>
      <c r="C11" s="7" t="s">
        <v>11</v>
      </c>
      <c r="D11" s="6" t="s">
        <v>14</v>
      </c>
    </row>
    <row r="12" spans="1:4" ht="16.899999999999999" customHeight="1">
      <c r="A12" s="6"/>
      <c r="B12" s="7" t="s">
        <v>139</v>
      </c>
      <c r="C12" s="7" t="s">
        <v>10</v>
      </c>
      <c r="D12" s="6" t="s">
        <v>37</v>
      </c>
    </row>
    <row r="13" spans="1:4" ht="16.899999999999999" customHeight="1">
      <c r="A13" s="6"/>
      <c r="B13" s="7"/>
      <c r="C13" s="7" t="s">
        <v>15</v>
      </c>
      <c r="D13" s="6" t="s">
        <v>47</v>
      </c>
    </row>
    <row r="14" spans="1:4" ht="16.899999999999999" customHeight="1">
      <c r="A14" s="6"/>
      <c r="B14" s="7"/>
      <c r="C14" s="7" t="s">
        <v>15</v>
      </c>
      <c r="D14" s="6" t="s">
        <v>0</v>
      </c>
    </row>
    <row r="15" spans="1:4" s="3" customFormat="1" ht="16.899999999999999" customHeight="1">
      <c r="A15" s="8"/>
      <c r="B15" s="7"/>
      <c r="C15" s="7" t="s">
        <v>15</v>
      </c>
      <c r="D15" s="8" t="s">
        <v>38</v>
      </c>
    </row>
    <row r="21" spans="4:4">
      <c r="D21" s="9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heckBox_ExportData">
          <controlPr defaultSize="0" autoLine="0" r:id="rId5">
            <anchor moveWithCells="1">
              <from>
                <xdr:col>0</xdr:col>
                <xdr:colOff>161925</xdr:colOff>
                <xdr:row>10</xdr:row>
                <xdr:rowOff>28575</xdr:rowOff>
              </from>
              <to>
                <xdr:col>0</xdr:col>
                <xdr:colOff>342900</xdr:colOff>
                <xdr:row>10</xdr:row>
                <xdr:rowOff>200025</xdr:rowOff>
              </to>
            </anchor>
          </controlPr>
        </control>
      </mc:Choice>
      <mc:Fallback>
        <control shapeId="2057" r:id="rId4" name="CheckBox_ExportData"/>
      </mc:Fallback>
    </mc:AlternateContent>
    <mc:AlternateContent xmlns:mc="http://schemas.openxmlformats.org/markup-compatibility/2006">
      <mc:Choice Requires="x14">
        <control shapeId="2056" r:id="rId6" name="CheckBox_SaveFile">
          <controlPr defaultSize="0" autoLine="0" r:id="rId5">
            <anchor moveWithCells="1">
              <from>
                <xdr:col>0</xdr:col>
                <xdr:colOff>161925</xdr:colOff>
                <xdr:row>13</xdr:row>
                <xdr:rowOff>28575</xdr:rowOff>
              </from>
              <to>
                <xdr:col>0</xdr:col>
                <xdr:colOff>342900</xdr:colOff>
                <xdr:row>13</xdr:row>
                <xdr:rowOff>200025</xdr:rowOff>
              </to>
            </anchor>
          </controlPr>
        </control>
      </mc:Choice>
      <mc:Fallback>
        <control shapeId="2056" r:id="rId6" name="CheckBox_SaveFile"/>
      </mc:Fallback>
    </mc:AlternateContent>
    <mc:AlternateContent xmlns:mc="http://schemas.openxmlformats.org/markup-compatibility/2006">
      <mc:Choice Requires="x14">
        <control shapeId="2055" r:id="rId7" name="CheckBox_CheckDataUpToDate">
          <controlPr defaultSize="0" autoLine="0" r:id="rId5">
            <anchor moveWithCells="1">
              <from>
                <xdr:col>0</xdr:col>
                <xdr:colOff>161925</xdr:colOff>
                <xdr:row>8</xdr:row>
                <xdr:rowOff>19050</xdr:rowOff>
              </from>
              <to>
                <xdr:col>0</xdr:col>
                <xdr:colOff>342900</xdr:colOff>
                <xdr:row>8</xdr:row>
                <xdr:rowOff>190500</xdr:rowOff>
              </to>
            </anchor>
          </controlPr>
        </control>
      </mc:Choice>
      <mc:Fallback>
        <control shapeId="2055" r:id="rId7" name="CheckBox_CheckDataUpToDate"/>
      </mc:Fallback>
    </mc:AlternateContent>
    <mc:AlternateContent xmlns:mc="http://schemas.openxmlformats.org/markup-compatibility/2006">
      <mc:Choice Requires="x14">
        <control shapeId="2054" r:id="rId8" name="CheckBox_CheckBusinessDay">
          <controlPr defaultSize="0" autoLine="0" r:id="rId5">
            <anchor moveWithCells="1">
              <from>
                <xdr:col>0</xdr:col>
                <xdr:colOff>161925</xdr:colOff>
                <xdr:row>4</xdr:row>
                <xdr:rowOff>28575</xdr:rowOff>
              </from>
              <to>
                <xdr:col>0</xdr:col>
                <xdr:colOff>342900</xdr:colOff>
                <xdr:row>4</xdr:row>
                <xdr:rowOff>200025</xdr:rowOff>
              </to>
            </anchor>
          </controlPr>
        </control>
      </mc:Choice>
      <mc:Fallback>
        <control shapeId="2054" r:id="rId8" name="CheckBox_CheckBusinessDay"/>
      </mc:Fallback>
    </mc:AlternateContent>
    <mc:AlternateContent xmlns:mc="http://schemas.openxmlformats.org/markup-compatibility/2006">
      <mc:Choice Requires="x14">
        <control shapeId="2058" r:id="rId9" name="CheckBox_CloseFile">
          <controlPr defaultSize="0" autoLine="0" r:id="rId5">
            <anchor moveWithCells="1">
              <from>
                <xdr:col>0</xdr:col>
                <xdr:colOff>161925</xdr:colOff>
                <xdr:row>14</xdr:row>
                <xdr:rowOff>28575</xdr:rowOff>
              </from>
              <to>
                <xdr:col>0</xdr:col>
                <xdr:colOff>342900</xdr:colOff>
                <xdr:row>14</xdr:row>
                <xdr:rowOff>200025</xdr:rowOff>
              </to>
            </anchor>
          </controlPr>
        </control>
      </mc:Choice>
      <mc:Fallback>
        <control shapeId="2058" r:id="rId9" name="CheckBox_CloseFile"/>
      </mc:Fallback>
    </mc:AlternateContent>
    <mc:AlternateContent xmlns:mc="http://schemas.openxmlformats.org/markup-compatibility/2006">
      <mc:Choice Requires="x14">
        <control shapeId="2061" r:id="rId10" name="CheckBox1">
          <controlPr defaultSize="0" autoLine="0" r:id="rId5">
            <anchor moveWithCells="1">
              <from>
                <xdr:col>0</xdr:col>
                <xdr:colOff>171450</xdr:colOff>
                <xdr:row>3</xdr:row>
                <xdr:rowOff>19050</xdr:rowOff>
              </from>
              <to>
                <xdr:col>0</xdr:col>
                <xdr:colOff>352425</xdr:colOff>
                <xdr:row>3</xdr:row>
                <xdr:rowOff>190500</xdr:rowOff>
              </to>
            </anchor>
          </controlPr>
        </control>
      </mc:Choice>
      <mc:Fallback>
        <control shapeId="2061" r:id="rId10" name="CheckBox1"/>
      </mc:Fallback>
    </mc:AlternateContent>
    <mc:AlternateContent xmlns:mc="http://schemas.openxmlformats.org/markup-compatibility/2006">
      <mc:Choice Requires="x14">
        <control shapeId="2066" r:id="rId11" name="CheckBox_AutoStart">
          <controlPr defaultSize="0" autoLine="0" r:id="rId12">
            <anchor moveWithCells="1">
              <from>
                <xdr:col>0</xdr:col>
                <xdr:colOff>161925</xdr:colOff>
                <xdr:row>3</xdr:row>
                <xdr:rowOff>19050</xdr:rowOff>
              </from>
              <to>
                <xdr:col>0</xdr:col>
                <xdr:colOff>342900</xdr:colOff>
                <xdr:row>3</xdr:row>
                <xdr:rowOff>190500</xdr:rowOff>
              </to>
            </anchor>
          </controlPr>
        </control>
      </mc:Choice>
      <mc:Fallback>
        <control shapeId="2066" r:id="rId11" name="CheckBox_AutoStart"/>
      </mc:Fallback>
    </mc:AlternateContent>
    <mc:AlternateContent xmlns:mc="http://schemas.openxmlformats.org/markup-compatibility/2006">
      <mc:Choice Requires="x14">
        <control shapeId="2067" r:id="rId13" name="CheckBox_MailGlobalStatus">
          <controlPr defaultSize="0" autoLine="0" r:id="rId5">
            <anchor moveWithCells="1">
              <from>
                <xdr:col>0</xdr:col>
                <xdr:colOff>161925</xdr:colOff>
                <xdr:row>12</xdr:row>
                <xdr:rowOff>19050</xdr:rowOff>
              </from>
              <to>
                <xdr:col>0</xdr:col>
                <xdr:colOff>342900</xdr:colOff>
                <xdr:row>12</xdr:row>
                <xdr:rowOff>190500</xdr:rowOff>
              </to>
            </anchor>
          </controlPr>
        </control>
      </mc:Choice>
      <mc:Fallback>
        <control shapeId="2067" r:id="rId13" name="CheckBox_MailGlobalStatus"/>
      </mc:Fallback>
    </mc:AlternateContent>
    <mc:AlternateContent xmlns:mc="http://schemas.openxmlformats.org/markup-compatibility/2006">
      <mc:Choice Requires="x14">
        <control shapeId="2068" r:id="rId14" name="CheckBox_CheckLibraries">
          <controlPr defaultSize="0" autoLine="0" r:id="rId5">
            <anchor moveWithCells="1">
              <from>
                <xdr:col>0</xdr:col>
                <xdr:colOff>161925</xdr:colOff>
                <xdr:row>2</xdr:row>
                <xdr:rowOff>19050</xdr:rowOff>
              </from>
              <to>
                <xdr:col>0</xdr:col>
                <xdr:colOff>342900</xdr:colOff>
                <xdr:row>2</xdr:row>
                <xdr:rowOff>190500</xdr:rowOff>
              </to>
            </anchor>
          </controlPr>
        </control>
      </mc:Choice>
      <mc:Fallback>
        <control shapeId="2068" r:id="rId14" name="CheckBox_CheckLibraries"/>
      </mc:Fallback>
    </mc:AlternateContent>
    <mc:AlternateContent xmlns:mc="http://schemas.openxmlformats.org/markup-compatibility/2006">
      <mc:Choice Requires="x14">
        <control shapeId="2060" r:id="rId15" name="Button 12">
          <controlPr defaultSize="0" print="0" autoFill="0" autoPict="0" macro="[0]!Control">
            <anchor moveWithCells="1" siz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1143000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6EA92D"/>
  </sheetPr>
  <dimension ref="A1:G43"/>
  <sheetViews>
    <sheetView zoomScaleNormal="100" workbookViewId="0">
      <pane xSplit="1" ySplit="1" topLeftCell="B5" activePane="bottomRight" state="frozen"/>
      <selection pane="topRight" activeCell="B1" sqref="B1"/>
      <selection pane="bottomLeft" activeCell="A3" sqref="A3"/>
      <selection pane="bottomRight" activeCell="G15" sqref="G15"/>
    </sheetView>
  </sheetViews>
  <sheetFormatPr defaultColWidth="8.85546875" defaultRowHeight="15"/>
  <cols>
    <col min="1" max="1" width="39.28515625" style="1" bestFit="1" customWidth="1"/>
    <col min="2" max="2" width="61.140625" style="1" customWidth="1"/>
    <col min="3" max="3" width="15.7109375" style="2" customWidth="1"/>
    <col min="4" max="5" width="15.7109375" style="18" customWidth="1"/>
    <col min="6" max="6" width="8.85546875" style="1"/>
    <col min="7" max="7" width="39" style="1" customWidth="1"/>
    <col min="8" max="16384" width="8.85546875" style="1"/>
  </cols>
  <sheetData>
    <row r="1" spans="1:7" s="10" customFormat="1">
      <c r="A1" s="15"/>
      <c r="B1" s="15"/>
      <c r="C1" s="15" t="s">
        <v>36</v>
      </c>
      <c r="D1" s="16" t="s">
        <v>48</v>
      </c>
      <c r="E1" s="16" t="s">
        <v>110</v>
      </c>
    </row>
    <row r="2" spans="1:7" s="3" customFormat="1">
      <c r="A2" s="22" t="s">
        <v>106</v>
      </c>
      <c r="B2" s="22"/>
      <c r="C2" s="23"/>
      <c r="D2" s="24"/>
      <c r="E2" s="24"/>
      <c r="F2" s="29"/>
      <c r="G2" s="29"/>
    </row>
    <row r="3" spans="1:7" s="11" customFormat="1" ht="36">
      <c r="A3" s="13" t="s">
        <v>107</v>
      </c>
      <c r="B3" s="14" t="s">
        <v>108</v>
      </c>
      <c r="C3" s="21"/>
      <c r="D3" s="26" t="s">
        <v>141</v>
      </c>
      <c r="E3" s="20"/>
      <c r="F3" s="29"/>
      <c r="G3" s="29"/>
    </row>
    <row r="4" spans="1:7" s="3" customFormat="1">
      <c r="A4" s="22" t="s">
        <v>53</v>
      </c>
      <c r="B4" s="22"/>
      <c r="C4" s="23"/>
      <c r="D4" s="24"/>
      <c r="E4" s="24"/>
    </row>
    <row r="5" spans="1:7" s="11" customFormat="1" ht="24">
      <c r="A5" s="13" t="s">
        <v>54</v>
      </c>
      <c r="B5" s="14" t="s">
        <v>74</v>
      </c>
      <c r="C5" s="21" t="s">
        <v>96</v>
      </c>
      <c r="D5" s="26"/>
      <c r="E5" s="20"/>
    </row>
    <row r="6" spans="1:7" s="11" customFormat="1" ht="36">
      <c r="A6" s="13" t="s">
        <v>55</v>
      </c>
      <c r="B6" s="14" t="s">
        <v>56</v>
      </c>
      <c r="C6" s="21" t="s">
        <v>57</v>
      </c>
      <c r="D6" s="26"/>
      <c r="E6" s="20"/>
    </row>
    <row r="7" spans="1:7" s="11" customFormat="1" ht="24">
      <c r="A7" s="13" t="s">
        <v>58</v>
      </c>
      <c r="B7" s="14" t="s">
        <v>89</v>
      </c>
      <c r="C7" s="21" t="b">
        <v>0</v>
      </c>
      <c r="D7" s="26"/>
      <c r="E7" s="20"/>
    </row>
    <row r="8" spans="1:7" s="3" customFormat="1">
      <c r="A8" s="22" t="s">
        <v>59</v>
      </c>
      <c r="B8" s="22"/>
      <c r="C8" s="23"/>
      <c r="D8" s="24"/>
      <c r="E8" s="24"/>
    </row>
    <row r="9" spans="1:7" s="11" customFormat="1" ht="24">
      <c r="A9" s="13" t="s">
        <v>61</v>
      </c>
      <c r="B9" s="14" t="s">
        <v>75</v>
      </c>
      <c r="C9" s="25" t="s">
        <v>51</v>
      </c>
      <c r="D9" s="20"/>
      <c r="E9" s="27"/>
    </row>
    <row r="10" spans="1:7" s="11" customFormat="1" ht="24">
      <c r="A10" s="13" t="s">
        <v>62</v>
      </c>
      <c r="B10" s="14" t="s">
        <v>76</v>
      </c>
      <c r="C10" s="25" t="s">
        <v>52</v>
      </c>
      <c r="D10" s="20"/>
      <c r="E10" s="26" t="s">
        <v>143</v>
      </c>
    </row>
    <row r="11" spans="1:7" s="3" customFormat="1">
      <c r="A11" s="22" t="s">
        <v>42</v>
      </c>
      <c r="B11" s="22"/>
      <c r="C11" s="23"/>
      <c r="D11" s="24"/>
      <c r="E11" s="24"/>
    </row>
    <row r="12" spans="1:7" s="11" customFormat="1" ht="36">
      <c r="A12" s="13" t="s">
        <v>98</v>
      </c>
      <c r="B12" s="14" t="s">
        <v>100</v>
      </c>
      <c r="C12" s="21" t="s">
        <v>35</v>
      </c>
      <c r="D12" s="17"/>
      <c r="E12" s="26" t="s">
        <v>155</v>
      </c>
    </row>
    <row r="13" spans="1:7" s="11" customFormat="1" ht="36">
      <c r="A13" s="13" t="s">
        <v>99</v>
      </c>
      <c r="B13" s="14" t="s">
        <v>101</v>
      </c>
      <c r="C13" s="21" t="s">
        <v>35</v>
      </c>
      <c r="D13" s="17"/>
      <c r="E13" s="26"/>
    </row>
    <row r="14" spans="1:7" s="11" customFormat="1" ht="24">
      <c r="A14" s="13" t="s">
        <v>22</v>
      </c>
      <c r="B14" s="14" t="s">
        <v>40</v>
      </c>
      <c r="C14" s="21"/>
      <c r="D14" s="17"/>
      <c r="E14" s="26"/>
    </row>
    <row r="15" spans="1:7" s="11" customFormat="1" ht="24">
      <c r="A15" s="13" t="s">
        <v>23</v>
      </c>
      <c r="B15" s="14" t="s">
        <v>41</v>
      </c>
      <c r="C15" s="21"/>
      <c r="D15" s="17"/>
      <c r="E15" s="26"/>
    </row>
    <row r="16" spans="1:7" s="11" customFormat="1" ht="24">
      <c r="A16" s="13" t="s">
        <v>24</v>
      </c>
      <c r="B16" s="14" t="s">
        <v>77</v>
      </c>
      <c r="C16" s="21" t="s">
        <v>35</v>
      </c>
      <c r="D16" s="17"/>
      <c r="E16" s="26" t="s">
        <v>111</v>
      </c>
    </row>
    <row r="17" spans="1:6" s="11" customFormat="1" ht="24">
      <c r="A17" s="13" t="s">
        <v>25</v>
      </c>
      <c r="B17" s="14" t="s">
        <v>41</v>
      </c>
      <c r="C17" s="21"/>
      <c r="D17" s="17"/>
      <c r="E17" s="26"/>
    </row>
    <row r="18" spans="1:6" s="11" customFormat="1" ht="48">
      <c r="A18" s="13" t="s">
        <v>39</v>
      </c>
      <c r="B18" s="14" t="s">
        <v>88</v>
      </c>
      <c r="C18" s="21"/>
      <c r="D18" s="17"/>
      <c r="E18" s="26" t="s">
        <v>112</v>
      </c>
    </row>
    <row r="19" spans="1:6" s="11" customFormat="1" ht="24">
      <c r="A19" s="13" t="s">
        <v>26</v>
      </c>
      <c r="B19" s="14" t="s">
        <v>78</v>
      </c>
      <c r="C19" s="21">
        <v>1</v>
      </c>
      <c r="D19" s="17"/>
      <c r="E19" s="26"/>
    </row>
    <row r="20" spans="1:6" s="11" customFormat="1" ht="24">
      <c r="A20" s="13" t="s">
        <v>27</v>
      </c>
      <c r="B20" s="14" t="s">
        <v>79</v>
      </c>
      <c r="C20" s="21">
        <v>2</v>
      </c>
      <c r="D20" s="17"/>
      <c r="E20" s="26"/>
    </row>
    <row r="21" spans="1:6" s="11" customFormat="1" ht="24">
      <c r="A21" s="13" t="s">
        <v>28</v>
      </c>
      <c r="B21" s="14" t="s">
        <v>80</v>
      </c>
      <c r="C21" s="21">
        <v>3</v>
      </c>
      <c r="D21" s="17"/>
      <c r="E21" s="26"/>
    </row>
    <row r="22" spans="1:6" s="11" customFormat="1" ht="48">
      <c r="A22" s="13" t="s">
        <v>29</v>
      </c>
      <c r="B22" s="14" t="s">
        <v>81</v>
      </c>
      <c r="C22" s="21">
        <v>2</v>
      </c>
      <c r="D22" s="17"/>
      <c r="E22" s="26">
        <v>3</v>
      </c>
    </row>
    <row r="23" spans="1:6" s="3" customFormat="1">
      <c r="A23" s="22" t="s">
        <v>43</v>
      </c>
      <c r="B23" s="22"/>
      <c r="C23" s="23"/>
      <c r="D23" s="24"/>
      <c r="E23" s="24"/>
    </row>
    <row r="24" spans="1:6" s="11" customFormat="1" ht="36">
      <c r="A24" s="13" t="s">
        <v>21</v>
      </c>
      <c r="B24" s="14" t="s">
        <v>50</v>
      </c>
      <c r="C24" s="21" t="s">
        <v>11</v>
      </c>
      <c r="D24" s="17"/>
      <c r="E24" s="26"/>
    </row>
    <row r="25" spans="1:6" s="11" customFormat="1" ht="24">
      <c r="A25" s="13" t="s">
        <v>30</v>
      </c>
      <c r="B25" s="14" t="s">
        <v>82</v>
      </c>
      <c r="C25" s="21" t="s">
        <v>35</v>
      </c>
      <c r="D25" s="17"/>
      <c r="E25" s="26"/>
    </row>
    <row r="26" spans="1:6" s="11" customFormat="1" ht="24">
      <c r="A26" s="13" t="s">
        <v>31</v>
      </c>
      <c r="B26" s="14" t="s">
        <v>83</v>
      </c>
      <c r="C26" s="21" t="s">
        <v>35</v>
      </c>
      <c r="D26" s="17"/>
      <c r="E26" s="26"/>
    </row>
    <row r="27" spans="1:6" s="11" customFormat="1" ht="36">
      <c r="A27" s="13" t="s">
        <v>34</v>
      </c>
      <c r="B27" s="14" t="s">
        <v>44</v>
      </c>
      <c r="C27" s="21"/>
      <c r="D27" s="17"/>
      <c r="E27" s="26"/>
    </row>
    <row r="28" spans="1:6" s="11" customFormat="1" ht="24.6" customHeight="1">
      <c r="A28" s="13" t="s">
        <v>33</v>
      </c>
      <c r="B28" s="14" t="s">
        <v>84</v>
      </c>
      <c r="C28" s="21">
        <v>2</v>
      </c>
      <c r="D28" s="17"/>
      <c r="E28" s="26"/>
    </row>
    <row r="29" spans="1:6" s="11" customFormat="1" ht="36">
      <c r="A29" s="13" t="s">
        <v>32</v>
      </c>
      <c r="B29" s="14" t="s">
        <v>105</v>
      </c>
      <c r="C29" s="21">
        <v>2</v>
      </c>
      <c r="D29" s="17"/>
      <c r="E29" s="26">
        <v>1</v>
      </c>
    </row>
    <row r="30" spans="1:6" s="3" customFormat="1">
      <c r="A30" s="22" t="s">
        <v>66</v>
      </c>
      <c r="B30" s="22"/>
      <c r="C30" s="23"/>
      <c r="D30" s="24"/>
      <c r="E30" s="24"/>
    </row>
    <row r="31" spans="1:6" s="11" customFormat="1" ht="48">
      <c r="A31" s="13" t="s">
        <v>109</v>
      </c>
      <c r="B31" s="14" t="s">
        <v>97</v>
      </c>
      <c r="C31" s="21" t="s">
        <v>67</v>
      </c>
      <c r="D31" s="17"/>
      <c r="E31" s="26" t="s">
        <v>144</v>
      </c>
      <c r="F31" s="3"/>
    </row>
    <row r="32" spans="1:6" s="11" customFormat="1" ht="36">
      <c r="A32" s="13" t="s">
        <v>71</v>
      </c>
      <c r="B32" s="14" t="s">
        <v>73</v>
      </c>
      <c r="C32" s="21" t="s">
        <v>72</v>
      </c>
      <c r="D32" s="17"/>
      <c r="E32" s="26" t="s">
        <v>154</v>
      </c>
    </row>
    <row r="33" spans="1:7" s="11" customFormat="1" ht="36">
      <c r="A33" s="13" t="s">
        <v>93</v>
      </c>
      <c r="B33" s="14" t="s">
        <v>95</v>
      </c>
      <c r="C33" s="21" t="b">
        <v>0</v>
      </c>
      <c r="D33" s="17"/>
      <c r="E33" s="26"/>
    </row>
    <row r="34" spans="1:7" s="3" customFormat="1">
      <c r="A34" s="22" t="s">
        <v>60</v>
      </c>
      <c r="B34" s="22"/>
      <c r="C34" s="23"/>
      <c r="D34" s="24"/>
      <c r="E34" s="24"/>
    </row>
    <row r="35" spans="1:7" s="11" customFormat="1" ht="36">
      <c r="A35" s="13" t="s">
        <v>69</v>
      </c>
      <c r="B35" s="14" t="s">
        <v>97</v>
      </c>
      <c r="C35" s="21" t="s">
        <v>67</v>
      </c>
      <c r="D35" s="26" t="s">
        <v>113</v>
      </c>
      <c r="E35" s="17"/>
      <c r="F35" s="3"/>
    </row>
    <row r="36" spans="1:7" s="11" customFormat="1" ht="36">
      <c r="A36" s="13" t="s">
        <v>70</v>
      </c>
      <c r="B36" s="14" t="s">
        <v>45</v>
      </c>
      <c r="C36" s="21" t="s">
        <v>68</v>
      </c>
      <c r="D36" s="26"/>
      <c r="E36" s="17"/>
    </row>
    <row r="37" spans="1:7" s="11" customFormat="1" ht="36">
      <c r="A37" s="13" t="s">
        <v>92</v>
      </c>
      <c r="B37" s="14" t="s">
        <v>94</v>
      </c>
      <c r="C37" s="21" t="b">
        <v>0</v>
      </c>
      <c r="D37" s="26" t="b">
        <v>1</v>
      </c>
      <c r="E37" s="17"/>
    </row>
    <row r="38" spans="1:7" s="11" customFormat="1" ht="60">
      <c r="A38" s="13" t="s">
        <v>91</v>
      </c>
      <c r="B38" s="14" t="s">
        <v>87</v>
      </c>
      <c r="C38" s="21" t="b">
        <v>0</v>
      </c>
      <c r="D38" s="26"/>
      <c r="E38" s="17"/>
    </row>
    <row r="39" spans="1:7" s="3" customFormat="1">
      <c r="A39" s="22" t="s">
        <v>63</v>
      </c>
      <c r="B39" s="22"/>
      <c r="C39" s="23"/>
      <c r="D39" s="24"/>
      <c r="E39" s="24"/>
    </row>
    <row r="40" spans="1:7" s="11" customFormat="1" ht="24">
      <c r="A40" s="13" t="s">
        <v>64</v>
      </c>
      <c r="B40" s="14" t="s">
        <v>85</v>
      </c>
      <c r="C40" s="21" t="s">
        <v>49</v>
      </c>
      <c r="D40" s="26"/>
      <c r="E40" s="17"/>
    </row>
    <row r="41" spans="1:7" s="11" customFormat="1" ht="24">
      <c r="A41" s="13" t="s">
        <v>65</v>
      </c>
      <c r="B41" s="14" t="s">
        <v>86</v>
      </c>
      <c r="C41" s="21" t="s">
        <v>146</v>
      </c>
      <c r="D41" s="26"/>
      <c r="E41" s="17"/>
    </row>
    <row r="42" spans="1:7" s="11" customFormat="1" ht="48">
      <c r="A42" s="13" t="s">
        <v>103</v>
      </c>
      <c r="B42" s="14" t="s">
        <v>104</v>
      </c>
      <c r="C42" s="21"/>
      <c r="D42" s="26" t="s">
        <v>145</v>
      </c>
      <c r="E42" s="17"/>
      <c r="F42" s="28"/>
      <c r="G42" s="28"/>
    </row>
    <row r="43" spans="1:7">
      <c r="B43" s="12"/>
      <c r="C43" s="1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2" tint="-0.499984740745262"/>
  </sheetPr>
  <dimension ref="A1:J13"/>
  <sheetViews>
    <sheetView tabSelected="1" zoomScale="85" zoomScaleNormal="85" workbookViewId="0">
      <selection activeCell="H3" sqref="H3:H9"/>
    </sheetView>
  </sheetViews>
  <sheetFormatPr defaultColWidth="15.28515625" defaultRowHeight="12" customHeight="1" outlineLevelRow="1"/>
  <cols>
    <col min="1" max="1" width="15.28515625" style="30" bestFit="1" customWidth="1"/>
    <col min="2" max="2" width="7.85546875" style="1" bestFit="1" customWidth="1"/>
    <col min="3" max="3" width="12.85546875" style="30" customWidth="1"/>
    <col min="4" max="4" width="8.5703125" style="1" bestFit="1" customWidth="1"/>
    <col min="5" max="5" width="12.5703125" style="1" bestFit="1" customWidth="1"/>
    <col min="6" max="6" width="15.28515625" style="30"/>
    <col min="7" max="7" width="12.85546875" style="30" customWidth="1"/>
    <col min="8" max="8" width="8.42578125" style="1" bestFit="1" customWidth="1"/>
    <col min="9" max="16384" width="15.28515625" style="1"/>
  </cols>
  <sheetData>
    <row r="1" spans="1:10" ht="12" customHeight="1" outlineLevel="1">
      <c r="E1" s="1" t="str">
        <f>IF($C1="","",AND(ISNUMBER($G1),ISNUMBER($H1)))</f>
        <v/>
      </c>
      <c r="F1" s="30">
        <f>$A1</f>
        <v>0</v>
      </c>
      <c r="G1" s="30" t="str">
        <f>IF($C1="", "", $C1)</f>
        <v/>
      </c>
      <c r="H1" s="1" t="e">
        <f>IF($C1="","",_xll.BDH($A1,$B1,$C1,$C1,IF(NOT(ISBLANK($D1)),"Curr="&amp;$D1,"")))*IF($F1="XAU Curncy",_xll.BDH("USDEUR Curncy",$B1,$C1,$C1),1)</f>
        <v>#VALUE!</v>
      </c>
    </row>
    <row r="2" spans="1:10" ht="12" customHeight="1">
      <c r="A2" s="31" t="s">
        <v>102</v>
      </c>
      <c r="B2" s="32" t="s">
        <v>114</v>
      </c>
      <c r="C2" s="31" t="s">
        <v>115</v>
      </c>
      <c r="D2" s="32" t="s">
        <v>116</v>
      </c>
      <c r="E2" s="32" t="s">
        <v>117</v>
      </c>
      <c r="F2" s="31" t="s">
        <v>102</v>
      </c>
      <c r="G2" s="31" t="s">
        <v>115</v>
      </c>
      <c r="H2" s="32" t="s">
        <v>118</v>
      </c>
    </row>
    <row r="3" spans="1:10" ht="12" customHeight="1">
      <c r="A3" s="30" t="s">
        <v>119</v>
      </c>
      <c r="B3" s="1" t="s">
        <v>120</v>
      </c>
      <c r="C3" s="30">
        <f ca="1">WORKDAY(TODAY(),-1)</f>
        <v>44648</v>
      </c>
      <c r="D3" s="1" t="s">
        <v>121</v>
      </c>
      <c r="E3" s="1" t="b">
        <f t="shared" ref="E3:E9" ca="1" si="0">IF($C3="","",AND(ISNUMBER($G3),ISNUMBER($H3)))</f>
        <v>1</v>
      </c>
      <c r="F3" s="30" t="str">
        <f t="shared" ref="F3:F9" si="1">$A3</f>
        <v>JCGMGGI Index</v>
      </c>
      <c r="G3" s="30">
        <f t="shared" ref="G3:G9" ca="1" si="2">IF($C3="", "", $C3)</f>
        <v>44648</v>
      </c>
      <c r="H3" s="1">
        <f ca="1">IF($C3="","",_xll.BDH($A3,$B3,$C3,$C3,IF(NOT(ISBLANK($D3)),"Curr="&amp;$D3,"")))*IF($F3="XAU Curncy",_xll.BDH("USDEUR Curncy",$B3,$C3,$C3),1)</f>
        <v>173.673</v>
      </c>
    </row>
    <row r="4" spans="1:10" ht="12" customHeight="1">
      <c r="A4" s="30" t="s">
        <v>122</v>
      </c>
      <c r="B4" s="1" t="s">
        <v>120</v>
      </c>
      <c r="C4" s="30">
        <f ca="1">WORKDAY(TODAY(),-1)</f>
        <v>44648</v>
      </c>
      <c r="D4" s="1" t="s">
        <v>121</v>
      </c>
      <c r="E4" s="1" t="b">
        <f t="shared" ca="1" si="0"/>
        <v>1</v>
      </c>
      <c r="F4" s="30" t="str">
        <f t="shared" si="1"/>
        <v>TPXDDVD Index</v>
      </c>
      <c r="G4" s="30">
        <f t="shared" ca="1" si="2"/>
        <v>44648</v>
      </c>
      <c r="H4" s="1">
        <f ca="1">IF($C4="","",_xll.BDH($A4,$B4,$C4,$C4,IF(NOT(ISBLANK($D4)),"Curr="&amp;$D4,"")))*IF($F4="XAU Curncy",_xll.BDH("USDEUR Curncy",$B4,$C4,$C4),1)</f>
        <v>23.223949999999999</v>
      </c>
    </row>
    <row r="5" spans="1:10" ht="12" customHeight="1">
      <c r="A5" s="30" t="s">
        <v>123</v>
      </c>
      <c r="B5" s="1" t="s">
        <v>120</v>
      </c>
      <c r="C5" s="30">
        <f ca="1">WORKDAY(TODAY(),-4)</f>
        <v>44643</v>
      </c>
      <c r="D5" s="1" t="s">
        <v>121</v>
      </c>
      <c r="E5" s="1" t="b">
        <f t="shared" ca="1" si="0"/>
        <v>1</v>
      </c>
      <c r="F5" s="30" t="str">
        <f t="shared" si="1"/>
        <v>BBOOBLNC Index</v>
      </c>
      <c r="G5" s="30">
        <f t="shared" ca="1" si="2"/>
        <v>44643</v>
      </c>
      <c r="H5" s="1">
        <f ca="1">IF($C5="","",_xll.BDH($A5,$B5,$C5,$C5,IF(NOT(ISBLANK($D5)),"Curr="&amp;$D5,"")))*IF($F5="XAU Curncy",_xll.BDH("USDEUR Curncy",$B5,$C5,$C5),1)</f>
        <v>111.25827</v>
      </c>
    </row>
    <row r="6" spans="1:10" ht="12" customHeight="1">
      <c r="A6" s="30" t="s">
        <v>150</v>
      </c>
      <c r="B6" s="1" t="s">
        <v>120</v>
      </c>
      <c r="C6" s="30">
        <f ca="1">WORKDAY(TODAY(),-1)</f>
        <v>44648</v>
      </c>
      <c r="D6" s="1" t="s">
        <v>121</v>
      </c>
      <c r="E6" s="1" t="b">
        <f t="shared" ca="1" si="0"/>
        <v>1</v>
      </c>
      <c r="F6" s="30" t="str">
        <f t="shared" si="1"/>
        <v>XAU Curncy</v>
      </c>
      <c r="G6" s="30">
        <f t="shared" ca="1" si="2"/>
        <v>44648</v>
      </c>
      <c r="H6" s="1">
        <f ca="1">IF($C6="","",_xll.BDH($A6,$B6,$C6,$C6,IF(NOT(ISBLANK($D6)),"Curr="&amp;$D6,"")))*IF($F6="XAU Curncy",_xll.BDH("USDEUR Curncy",$B6,$C6,$C6),1)</f>
        <v>1750.13256</v>
      </c>
    </row>
    <row r="7" spans="1:10" ht="12" customHeight="1">
      <c r="A7" s="30" t="s">
        <v>151</v>
      </c>
      <c r="B7" s="1" t="s">
        <v>120</v>
      </c>
      <c r="C7" s="30">
        <f ca="1">WORKDAY(TODAY(),-1)</f>
        <v>44648</v>
      </c>
      <c r="D7" s="1" t="s">
        <v>121</v>
      </c>
      <c r="E7" s="1" t="b">
        <f t="shared" ca="1" si="0"/>
        <v>1</v>
      </c>
      <c r="F7" s="30" t="str">
        <f t="shared" si="1"/>
        <v>XAU Index</v>
      </c>
      <c r="G7" s="30">
        <f t="shared" ca="1" si="2"/>
        <v>44648</v>
      </c>
      <c r="H7" s="1">
        <f ca="1">IF($C7="","",_xll.BDH($A7,$B7,$C7,$C7,IF(NOT(ISBLANK($D7)),"Curr="&amp;$D7,"")))*IF($F7="XAU Curncy",_xll.BDH("USDEUR Curncy",$B7,$C7,$C7),1)</f>
        <v>142.04038</v>
      </c>
    </row>
    <row r="8" spans="1:10" ht="12" customHeight="1">
      <c r="A8" s="30" t="s">
        <v>152</v>
      </c>
      <c r="B8" s="1" t="s">
        <v>120</v>
      </c>
      <c r="C8" s="30">
        <f ca="1">WORKDAY(TODAY(),-1)</f>
        <v>44648</v>
      </c>
      <c r="D8" s="1" t="s">
        <v>121</v>
      </c>
      <c r="E8" s="1" t="b">
        <f t="shared" ca="1" si="0"/>
        <v>1</v>
      </c>
      <c r="F8" s="30" t="str">
        <f t="shared" si="1"/>
        <v>GDMNTR Index</v>
      </c>
      <c r="G8" s="30">
        <f t="shared" ca="1" si="2"/>
        <v>44648</v>
      </c>
      <c r="H8" s="1">
        <f ca="1">IF($C8="","",_xll.BDH($A8,$B8,$C8,$C8,IF(NOT(ISBLANK($D8)),"Curr="&amp;$D8,"")))*IF($F8="XAU Curncy",_xll.BDH("USDEUR Curncy",$B8,$C8,$C8),1)</f>
        <v>1155.24101</v>
      </c>
    </row>
    <row r="9" spans="1:10" ht="12" customHeight="1">
      <c r="A9" s="30" t="s">
        <v>153</v>
      </c>
      <c r="B9" s="1" t="s">
        <v>120</v>
      </c>
      <c r="C9" s="30">
        <f ca="1">WORKDAY(TODAY(),-1)</f>
        <v>44648</v>
      </c>
      <c r="D9" s="1" t="s">
        <v>121</v>
      </c>
      <c r="E9" s="1" t="b">
        <f t="shared" ca="1" si="0"/>
        <v>1</v>
      </c>
      <c r="F9" s="30" t="str">
        <f t="shared" si="1"/>
        <v>MVGDXJTR Index</v>
      </c>
      <c r="G9" s="30">
        <f t="shared" ca="1" si="2"/>
        <v>44648</v>
      </c>
      <c r="H9" s="1">
        <f ca="1">IF($C9="","",_xll.BDH($A9,$B9,$C9,$C9,IF(NOT(ISBLANK($D9)),"Curr="&amp;$D9,"")))*IF($F9="XAU Curncy",_xll.BDH("USDEUR Curncy",$B9,$C9,$C9),1)</f>
        <v>1105.4484</v>
      </c>
    </row>
    <row r="10" spans="1:10" ht="12" customHeight="1">
      <c r="A10" s="30" t="s">
        <v>120</v>
      </c>
      <c r="E10" s="1" t="str">
        <f t="shared" ref="E3:E13" si="3">IF($C10="","",AND(ISNUMBER($G10),ISNUMBER($H10)))</f>
        <v/>
      </c>
      <c r="F10" s="30" t="str">
        <f t="shared" ref="F3:F13" si="4">$A10</f>
        <v>PX_LAST</v>
      </c>
      <c r="G10" s="30" t="str">
        <f t="shared" ref="G3:G13" si="5">IF($C10="", "", $C10)</f>
        <v/>
      </c>
      <c r="J10" s="1" t="str">
        <f>IF($C10="","",_xll.BDH($A10,$B10,$C10,$C10))</f>
        <v/>
      </c>
    </row>
    <row r="11" spans="1:10" s="30" customFormat="1" ht="12" customHeight="1">
      <c r="A11" s="30">
        <f ca="1">WORKDAY(TODAY(),-1)</f>
        <v>44648</v>
      </c>
      <c r="E11" s="1" t="str">
        <f t="shared" si="3"/>
        <v/>
      </c>
      <c r="F11" s="30">
        <f t="shared" ca="1" si="4"/>
        <v>44648</v>
      </c>
      <c r="G11" s="30" t="str">
        <f t="shared" si="5"/>
        <v/>
      </c>
      <c r="H11" s="1"/>
    </row>
    <row r="12" spans="1:10" s="30" customFormat="1" ht="12" customHeight="1">
      <c r="A12" s="30">
        <f ca="1">TODAY()</f>
        <v>44649</v>
      </c>
      <c r="E12" s="1" t="str">
        <f t="shared" si="3"/>
        <v/>
      </c>
      <c r="F12" s="30">
        <f t="shared" ca="1" si="4"/>
        <v>44649</v>
      </c>
      <c r="G12" s="30" t="str">
        <f t="shared" si="5"/>
        <v/>
      </c>
      <c r="H12" s="1"/>
    </row>
    <row r="13" spans="1:10" ht="12" customHeight="1">
      <c r="A13" s="30" t="s">
        <v>121</v>
      </c>
      <c r="E13" s="1" t="str">
        <f t="shared" si="3"/>
        <v/>
      </c>
      <c r="F13" s="30" t="str">
        <f t="shared" si="4"/>
        <v>EUR</v>
      </c>
      <c r="G13" s="30" t="str">
        <f t="shared" si="5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9.9978637043366805E-2"/>
  </sheetPr>
  <dimension ref="A1:C7"/>
  <sheetViews>
    <sheetView workbookViewId="0">
      <selection sqref="A1:C7"/>
    </sheetView>
  </sheetViews>
  <sheetFormatPr defaultRowHeight="15"/>
  <sheetData>
    <row r="1" spans="1:3">
      <c r="A1" s="30" t="s">
        <v>119</v>
      </c>
      <c r="B1" s="30">
        <v>43781</v>
      </c>
      <c r="C1" s="1">
        <v>122.88984000000001</v>
      </c>
    </row>
    <row r="2" spans="1:3">
      <c r="A2" s="30" t="s">
        <v>122</v>
      </c>
      <c r="B2" s="30">
        <v>43781</v>
      </c>
      <c r="C2" s="1">
        <v>21.678419999999999</v>
      </c>
    </row>
    <row r="3" spans="1:3">
      <c r="A3" s="30" t="s">
        <v>123</v>
      </c>
      <c r="B3" s="30">
        <v>43776</v>
      </c>
      <c r="C3" s="1">
        <v>104.43711</v>
      </c>
    </row>
    <row r="4" spans="1:3">
      <c r="A4" s="30" t="s">
        <v>120</v>
      </c>
      <c r="B4" s="30" t="s">
        <v>142</v>
      </c>
      <c r="C4" s="1" t="s">
        <v>142</v>
      </c>
    </row>
    <row r="5" spans="1:3">
      <c r="A5" s="30">
        <v>43781</v>
      </c>
      <c r="B5" s="30" t="s">
        <v>142</v>
      </c>
      <c r="C5" s="1" t="s">
        <v>142</v>
      </c>
    </row>
    <row r="6" spans="1:3">
      <c r="A6" s="30">
        <v>43782</v>
      </c>
      <c r="B6" s="30" t="s">
        <v>142</v>
      </c>
      <c r="C6" s="1" t="s">
        <v>142</v>
      </c>
    </row>
    <row r="7" spans="1:3">
      <c r="A7" s="30" t="s">
        <v>121</v>
      </c>
      <c r="B7" s="30" t="s">
        <v>142</v>
      </c>
      <c r="C7" s="1" t="s">
        <v>142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6EA92D"/>
  </sheetPr>
  <dimension ref="A1:C19"/>
  <sheetViews>
    <sheetView workbookViewId="0">
      <selection activeCell="A20" sqref="A20"/>
    </sheetView>
  </sheetViews>
  <sheetFormatPr defaultColWidth="9.140625" defaultRowHeight="12"/>
  <cols>
    <col min="1" max="1" width="15" style="35" bestFit="1" customWidth="1"/>
    <col min="2" max="2" width="61.5703125" style="35" customWidth="1"/>
    <col min="3" max="16384" width="9.140625" style="35"/>
  </cols>
  <sheetData>
    <row r="1" spans="1:3" ht="12.75" thickBot="1">
      <c r="A1" s="33">
        <v>44562</v>
      </c>
      <c r="B1" s="34" t="s">
        <v>124</v>
      </c>
      <c r="C1" s="35" t="s">
        <v>149</v>
      </c>
    </row>
    <row r="2" spans="1:3" ht="12.75" thickBot="1">
      <c r="A2" s="33">
        <v>44563</v>
      </c>
      <c r="B2" s="34" t="s">
        <v>125</v>
      </c>
    </row>
    <row r="3" spans="1:3" ht="12.75" thickBot="1">
      <c r="A3" s="33">
        <v>44564</v>
      </c>
      <c r="B3" s="34" t="s">
        <v>125</v>
      </c>
    </row>
    <row r="4" spans="1:3" ht="12.75" thickBot="1">
      <c r="A4" s="33">
        <v>44571</v>
      </c>
      <c r="B4" s="34" t="s">
        <v>126</v>
      </c>
    </row>
    <row r="5" spans="1:3" ht="12.75" thickBot="1">
      <c r="A5" s="33">
        <v>44603</v>
      </c>
      <c r="B5" s="34" t="s">
        <v>127</v>
      </c>
    </row>
    <row r="6" spans="1:3" ht="12.75" thickBot="1">
      <c r="A6" s="33">
        <v>44615</v>
      </c>
      <c r="B6" s="34" t="s">
        <v>136</v>
      </c>
    </row>
    <row r="7" spans="1:3" ht="12.75" thickBot="1">
      <c r="A7" s="33">
        <v>44643</v>
      </c>
      <c r="B7" s="34" t="s">
        <v>128</v>
      </c>
    </row>
    <row r="8" spans="1:3" ht="12.75" thickBot="1">
      <c r="A8" s="33">
        <v>44680</v>
      </c>
      <c r="B8" s="34" t="s">
        <v>129</v>
      </c>
    </row>
    <row r="9" spans="1:3" ht="12.75" thickBot="1">
      <c r="A9" s="33">
        <v>44684</v>
      </c>
      <c r="B9" s="34" t="s">
        <v>130</v>
      </c>
    </row>
    <row r="10" spans="1:3" ht="12.75" thickBot="1">
      <c r="A10" s="33">
        <v>44685</v>
      </c>
      <c r="B10" s="34" t="s">
        <v>131</v>
      </c>
    </row>
    <row r="11" spans="1:3" ht="12.75" thickBot="1">
      <c r="A11" s="33">
        <v>44686</v>
      </c>
      <c r="B11" s="34" t="s">
        <v>147</v>
      </c>
    </row>
    <row r="12" spans="1:3" ht="12.75" thickBot="1">
      <c r="A12" s="33">
        <v>44760</v>
      </c>
      <c r="B12" s="34" t="s">
        <v>132</v>
      </c>
    </row>
    <row r="13" spans="1:3" ht="12.75" thickBot="1">
      <c r="A13" s="33">
        <v>44784</v>
      </c>
      <c r="B13" s="34" t="s">
        <v>137</v>
      </c>
    </row>
    <row r="14" spans="1:3" ht="12.75" thickBot="1">
      <c r="A14" s="33">
        <v>44823</v>
      </c>
      <c r="B14" s="34" t="s">
        <v>133</v>
      </c>
    </row>
    <row r="15" spans="1:3" ht="12.75" thickBot="1">
      <c r="A15" s="33">
        <v>44827</v>
      </c>
      <c r="B15" s="34" t="s">
        <v>134</v>
      </c>
    </row>
    <row r="16" spans="1:3" ht="12.75" thickBot="1">
      <c r="A16" s="33">
        <v>44844</v>
      </c>
      <c r="B16" s="34" t="s">
        <v>148</v>
      </c>
    </row>
    <row r="17" spans="1:2" ht="12.75" thickBot="1">
      <c r="A17" s="33">
        <v>44868</v>
      </c>
      <c r="B17" s="34" t="s">
        <v>138</v>
      </c>
    </row>
    <row r="18" spans="1:2" ht="12.75" thickBot="1">
      <c r="A18" s="33">
        <v>44888</v>
      </c>
      <c r="B18" s="34" t="s">
        <v>135</v>
      </c>
    </row>
    <row r="19" spans="1:2">
      <c r="A19" s="33">
        <v>44926</v>
      </c>
      <c r="B19" s="34" t="s">
        <v>125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Control</vt:lpstr>
      <vt:lpstr>Parameters</vt:lpstr>
      <vt:lpstr>InputAnevis</vt:lpstr>
      <vt:lpstr>OutputAnevis</vt:lpstr>
      <vt:lpstr>TOPIXCalendar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iW Partners</cp:lastModifiedBy>
  <dcterms:created xsi:type="dcterms:W3CDTF">2019-01-21T17:30:05Z</dcterms:created>
  <dcterms:modified xsi:type="dcterms:W3CDTF">2022-03-29T14:24:35Z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  <property fmtid="{D5CDD505-2E9C-101B-9397-08002B2CF9AE}" pid="4" name="SpreadsheetBuilder_3">
    <vt:lpwstr>eyIwIjoiSGlzdG9yeSIsIjEiOjAsIjIiOjEsIjMiOjEsIjQiOjEsIjUiOjEsIjYiOjEsIjciOjEsIjgiOjAsIjkiOjEsIjEwIjoxLCIxMSI6MCwiMTIiOjB9</vt:lpwstr>
  </property>
  <property fmtid="{D5CDD505-2E9C-101B-9397-08002B2CF9AE}" pid="5" name="SpreadsheetBuilder_4">
    <vt:lpwstr>eyIwIjoiSGlzdG9yeSIsIjEiOjAsIjIiOjEsIjMiOjEsIjQiOjEsIjUiOjEsIjYiOjEsIjciOjEsIjgiOjAsIjkiOjEsIjEwIjoxLCIxMSI6MCwiMTIiOjB9</vt:lpwstr>
  </property>
</Properties>
</file>