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Data\ExternalGateway\Applications\Transformers\"/>
    </mc:Choice>
  </mc:AlternateContent>
  <xr:revisionPtr revIDLastSave="0" documentId="13_ncr:1_{CE1149DB-AB54-4A6F-AE58-334094184874}" xr6:coauthVersionLast="44" xr6:coauthVersionMax="44" xr10:uidLastSave="{00000000-0000-0000-0000-000000000000}"/>
  <bookViews>
    <workbookView xWindow="-120" yWindow="-120" windowWidth="22905" windowHeight="13335" activeTab="1" xr2:uid="{00000000-000D-0000-FFFF-FFFF00000000}"/>
  </bookViews>
  <sheets>
    <sheet name="Control" sheetId="2" r:id="rId1"/>
    <sheet name="Parameters" sheetId="5" r:id="rId2"/>
    <sheet name="InputPwCLeverageALU" sheetId="39" r:id="rId3"/>
    <sheet name="OutputPwCLeverageALU" sheetId="45" r:id="rId4"/>
    <sheet name="InputPwCLeverageREV" sheetId="41" r:id="rId5"/>
    <sheet name="OutputPwCLeverageREV" sheetId="46" r:id="rId6"/>
    <sheet name="InputPwCLeverageCOM" sheetId="42" r:id="rId7"/>
    <sheet name="OutputPwCLeverageCOM" sheetId="47" r:id="rId8"/>
    <sheet name="InputPwCLeverageLWR" sheetId="43" r:id="rId9"/>
    <sheet name="OutputPwCLeverageLWR" sheetId="48" r:id="rId10"/>
    <sheet name="InputPwCLeverageRVG" sheetId="44" r:id="rId11"/>
    <sheet name="OutputPwCLeverageRVG" sheetId="49" r:id="rId12"/>
    <sheet name="InputPwCLeverageDCM" sheetId="50" r:id="rId13"/>
    <sheet name="OutputPwCLeverageDCM" sheetId="51" r:id="rId14"/>
    <sheet name="InputPwCLeverageNSBalanced" sheetId="52" r:id="rId15"/>
    <sheet name="OutputPwCLeverageNSBalanced" sheetId="54" r:id="rId16"/>
    <sheet name="InputPwCLeverageNSLongTerm" sheetId="53" r:id="rId17"/>
    <sheet name="OutputPwCLeverageNSLongTerm" sheetId="55" r:id="rId18"/>
  </sheets>
  <functionGroups builtInGroupCount="19"/>
  <definedNames>
    <definedName name="Currency">#REF!</definedName>
    <definedName name="EndDate">#REF!</definedName>
    <definedName name="JR_PAGE_ANCHOR_0_1">#REF!</definedName>
    <definedName name="NAV">#REF!</definedName>
    <definedName name="SpreadsheetBuilder_1" hidden="1">#REF!</definedName>
    <definedName name="SpreadsheetBuilder_2" hidden="1">#REF!</definedName>
    <definedName name="SpreadsheetBuilder_3" hidden="1">#REF!</definedName>
    <definedName name="SpreadsheetBuilder_4" hidden="1">#REF!</definedName>
    <definedName name="Start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53" l="1"/>
  <c r="B4" i="53" l="1"/>
  <c r="B2" i="53" s="1"/>
  <c r="B4" i="52"/>
  <c r="B2" i="52" s="1"/>
  <c r="A6" i="52" a="1"/>
  <c r="A6" i="53" a="1"/>
  <c r="A7" i="52" l="1"/>
  <c r="A6" i="52"/>
  <c r="B7" i="52"/>
  <c r="C8" i="52"/>
  <c r="B6" i="52"/>
  <c r="C6" i="52"/>
  <c r="A8" i="52"/>
  <c r="B8" i="52"/>
  <c r="C7" i="52"/>
  <c r="A7" i="53"/>
  <c r="B8" i="53"/>
  <c r="B7" i="53"/>
  <c r="C8" i="53"/>
  <c r="B6" i="53"/>
  <c r="C7" i="53"/>
  <c r="A6" i="53"/>
  <c r="A8" i="53"/>
  <c r="C6" i="53"/>
  <c r="B4" i="50"/>
  <c r="B2" i="50" s="1"/>
  <c r="A6" i="50" a="1"/>
  <c r="A7" i="50" l="1"/>
  <c r="B8" i="50"/>
  <c r="C9" i="50"/>
  <c r="A6" i="50"/>
  <c r="B7" i="50"/>
  <c r="C8" i="50"/>
  <c r="A10" i="50"/>
  <c r="B6" i="50"/>
  <c r="C7" i="50"/>
  <c r="A9" i="50"/>
  <c r="B10" i="50"/>
  <c r="C6" i="50"/>
  <c r="A8" i="50"/>
  <c r="B9" i="50"/>
  <c r="C10" i="50"/>
  <c r="B4" i="44"/>
  <c r="B2" i="44" s="1"/>
  <c r="B4" i="43"/>
  <c r="B2" i="43" s="1"/>
  <c r="B4" i="42"/>
  <c r="B2" i="42" s="1"/>
  <c r="B4" i="41"/>
  <c r="B2" i="41" s="1"/>
  <c r="B4" i="39"/>
  <c r="B2" i="39" s="1"/>
  <c r="A6" i="43" a="1"/>
  <c r="A6" i="41" a="1"/>
  <c r="A6" i="42" a="1"/>
  <c r="A6" i="39" a="1"/>
  <c r="A6" i="44" a="1"/>
  <c r="A7" i="43" l="1"/>
  <c r="B8" i="43"/>
  <c r="C9" i="43"/>
  <c r="B7" i="43"/>
  <c r="C8" i="43"/>
  <c r="B6" i="43"/>
  <c r="C7" i="43"/>
  <c r="A9" i="43"/>
  <c r="C6" i="43"/>
  <c r="A8" i="43"/>
  <c r="B9" i="43"/>
  <c r="A6" i="43"/>
  <c r="A7" i="41"/>
  <c r="B8" i="41"/>
  <c r="C9" i="41"/>
  <c r="A11" i="41"/>
  <c r="B12" i="41"/>
  <c r="C13" i="41"/>
  <c r="A15" i="41"/>
  <c r="B16" i="41"/>
  <c r="C17" i="41"/>
  <c r="A19" i="41"/>
  <c r="B20" i="41"/>
  <c r="C21" i="41"/>
  <c r="A23" i="41"/>
  <c r="B24" i="41"/>
  <c r="C25" i="41"/>
  <c r="A6" i="41"/>
  <c r="B7" i="41"/>
  <c r="C8" i="41"/>
  <c r="A10" i="41"/>
  <c r="B11" i="41"/>
  <c r="C12" i="41"/>
  <c r="A14" i="41"/>
  <c r="B15" i="41"/>
  <c r="C16" i="41"/>
  <c r="A18" i="41"/>
  <c r="B19" i="41"/>
  <c r="C20" i="41"/>
  <c r="A22" i="41"/>
  <c r="B23" i="41"/>
  <c r="C24" i="41"/>
  <c r="B6" i="41"/>
  <c r="C7" i="41"/>
  <c r="A9" i="41"/>
  <c r="B10" i="41"/>
  <c r="C11" i="41"/>
  <c r="A13" i="41"/>
  <c r="B14" i="41"/>
  <c r="C15" i="41"/>
  <c r="A17" i="41"/>
  <c r="B18" i="41"/>
  <c r="C19" i="41"/>
  <c r="A21" i="41"/>
  <c r="B22" i="41"/>
  <c r="C23" i="41"/>
  <c r="A25" i="41"/>
  <c r="B26" i="41"/>
  <c r="C6" i="41"/>
  <c r="A8" i="41"/>
  <c r="B9" i="41"/>
  <c r="C10" i="41"/>
  <c r="A12" i="41"/>
  <c r="B13" i="41"/>
  <c r="C14" i="41"/>
  <c r="A16" i="41"/>
  <c r="B17" i="41"/>
  <c r="C18" i="41"/>
  <c r="A20" i="41"/>
  <c r="B21" i="41"/>
  <c r="C22" i="41"/>
  <c r="A24" i="41"/>
  <c r="B25" i="41"/>
  <c r="C26" i="41"/>
  <c r="A26" i="41"/>
  <c r="B8" i="42"/>
  <c r="A19" i="42"/>
  <c r="B24" i="42"/>
  <c r="A6" i="42"/>
  <c r="B7" i="42"/>
  <c r="C8" i="42"/>
  <c r="A10" i="42"/>
  <c r="B11" i="42"/>
  <c r="C12" i="42"/>
  <c r="A14" i="42"/>
  <c r="B15" i="42"/>
  <c r="C16" i="42"/>
  <c r="A18" i="42"/>
  <c r="B19" i="42"/>
  <c r="C20" i="42"/>
  <c r="A22" i="42"/>
  <c r="B23" i="42"/>
  <c r="C24" i="42"/>
  <c r="B6" i="42"/>
  <c r="C7" i="42"/>
  <c r="A9" i="42"/>
  <c r="B10" i="42"/>
  <c r="C11" i="42"/>
  <c r="A13" i="42"/>
  <c r="B14" i="42"/>
  <c r="C15" i="42"/>
  <c r="A17" i="42"/>
  <c r="B18" i="42"/>
  <c r="C19" i="42"/>
  <c r="A21" i="42"/>
  <c r="B22" i="42"/>
  <c r="C23" i="42"/>
  <c r="A25" i="42"/>
  <c r="C6" i="42"/>
  <c r="A8" i="42"/>
  <c r="B9" i="42"/>
  <c r="C10" i="42"/>
  <c r="A12" i="42"/>
  <c r="B13" i="42"/>
  <c r="C14" i="42"/>
  <c r="A16" i="42"/>
  <c r="B17" i="42"/>
  <c r="C18" i="42"/>
  <c r="A20" i="42"/>
  <c r="B21" i="42"/>
  <c r="C22" i="42"/>
  <c r="A24" i="42"/>
  <c r="B25" i="42"/>
  <c r="A7" i="42"/>
  <c r="C9" i="42"/>
  <c r="A11" i="42"/>
  <c r="B12" i="42"/>
  <c r="C13" i="42"/>
  <c r="A15" i="42"/>
  <c r="B16" i="42"/>
  <c r="C17" i="42"/>
  <c r="B20" i="42"/>
  <c r="C21" i="42"/>
  <c r="A23" i="42"/>
  <c r="C25" i="42"/>
  <c r="A7" i="39"/>
  <c r="B8" i="39"/>
  <c r="B7" i="39"/>
  <c r="C8" i="39"/>
  <c r="B6" i="39"/>
  <c r="C7" i="39"/>
  <c r="C6" i="39"/>
  <c r="A8" i="39"/>
  <c r="A6" i="39"/>
  <c r="A7" i="44"/>
  <c r="B8" i="44"/>
  <c r="B7" i="44"/>
  <c r="C8" i="44"/>
  <c r="B6" i="44"/>
  <c r="C7" i="44"/>
  <c r="C6" i="44"/>
  <c r="A8" i="44"/>
  <c r="A6" i="44"/>
</calcChain>
</file>

<file path=xl/sharedStrings.xml><?xml version="1.0" encoding="utf-8"?>
<sst xmlns="http://schemas.openxmlformats.org/spreadsheetml/2006/main" count="267" uniqueCount="146">
  <si>
    <t>Save the file</t>
  </si>
  <si>
    <t>Check Business day (and stop the processing if today is not a Business day)</t>
  </si>
  <si>
    <t>Delete formulas before copying</t>
  </si>
  <si>
    <t>Step 1</t>
  </si>
  <si>
    <t>Step 2</t>
  </si>
  <si>
    <t>Step 3</t>
  </si>
  <si>
    <t>Step 4</t>
  </si>
  <si>
    <t>Step 5</t>
  </si>
  <si>
    <t>Step 6</t>
  </si>
  <si>
    <t>Copy formulas</t>
  </si>
  <si>
    <t>Input</t>
  </si>
  <si>
    <t>Output</t>
  </si>
  <si>
    <t>Copy-paste values to Output sheet</t>
  </si>
  <si>
    <t>Step 7</t>
  </si>
  <si>
    <t>Export the data contained in Output sheet</t>
  </si>
  <si>
    <t>This file</t>
  </si>
  <si>
    <t>Activate ?</t>
  </si>
  <si>
    <t>Step</t>
  </si>
  <si>
    <t>Concerned sheet</t>
  </si>
  <si>
    <t>Description</t>
  </si>
  <si>
    <t>Start the process as soon as the Excel file is open</t>
  </si>
  <si>
    <t>OUTPUT_SHEETNAME</t>
  </si>
  <si>
    <t>INPUT_COL_FIRSTFORMULA</t>
  </si>
  <si>
    <t>INPUT_COL_LASTFORMULA</t>
  </si>
  <si>
    <t>INPUT_COL_FIRSTDATA</t>
  </si>
  <si>
    <t>INPUT_COL_LASTDATA</t>
  </si>
  <si>
    <t>INPUT_LINE_FORMULAS</t>
  </si>
  <si>
    <t>INPUT_LINE_COUNT</t>
  </si>
  <si>
    <t>INPUT_LINE_FIRSTDATAFORCOPYINGDATA</t>
  </si>
  <si>
    <t>OUTPUT_COL_COUNT</t>
  </si>
  <si>
    <t>OUTPUT_COL_FIRSTDATA</t>
  </si>
  <si>
    <t>OUTPUT_LINE_FIRSTDATA</t>
  </si>
  <si>
    <t>OUTPUT_LINE_COUNT</t>
  </si>
  <si>
    <t>OUTPUT_COL_LASTDATA</t>
  </si>
  <si>
    <t>A</t>
  </si>
  <si>
    <t>Default value</t>
  </si>
  <si>
    <t>Log processing status</t>
  </si>
  <si>
    <t>Automatically close the file at the end of all input sheets</t>
  </si>
  <si>
    <t>INPUT_COL_AREDATAUPDATED</t>
  </si>
  <si>
    <t>Input Sheet parameters</t>
  </si>
  <si>
    <t>Output Sheet parameters</t>
  </si>
  <si>
    <t>Optional (default : last filled column on OUTPUT_LINE_COUNT line)
Last column to copy from Output sheet to exported file containing static data</t>
  </si>
  <si>
    <t>Optional (default : current filename of this file)
Filename to use when saving the file if requested in the process</t>
  </si>
  <si>
    <t>Check if data are updated (and stop the processing if data are not updated)</t>
  </si>
  <si>
    <t>Mail global status</t>
  </si>
  <si>
    <t>Global</t>
  </si>
  <si>
    <t>From iW Partners Gateway</t>
  </si>
  <si>
    <t>Optional (default: "Output" + Name of the input sheet where "Input" keyword is deleted)
Name of the Output sheet</t>
  </si>
  <si>
    <t>"00:00:01"</t>
  </si>
  <si>
    <t>"00:00:05"</t>
  </si>
  <si>
    <t>Logging</t>
  </si>
  <si>
    <t>LOG_FOLDER</t>
  </si>
  <si>
    <t>LOG_FILENAME</t>
  </si>
  <si>
    <t>Optional (see default value)
Filename of the logs</t>
  </si>
  <si>
    <t>Name of the workbook + .log (dynamically set)</t>
  </si>
  <si>
    <t>LOG_DEBUGLEVEL</t>
  </si>
  <si>
    <t>Control</t>
  </si>
  <si>
    <t>Save file</t>
  </si>
  <si>
    <t>CONTROL_VALUE_WAITDELAYAFTERDELETE</t>
  </si>
  <si>
    <t>CONTROL_VALUE_WAITDELAYAFTERCOPY</t>
  </si>
  <si>
    <t>Mail status</t>
  </si>
  <si>
    <t>MAIL_BODY</t>
  </si>
  <si>
    <t>MAIL_TO</t>
  </si>
  <si>
    <t>Export</t>
  </si>
  <si>
    <t>.</t>
  </si>
  <si>
    <t>Current name of the workbook (dynamically set)</t>
  </si>
  <si>
    <t>SAVE_FILENAME</t>
  </si>
  <si>
    <t>EXPORT_FILENAME</t>
  </si>
  <si>
    <t>Name of the Output sheet (dynamically set)</t>
  </si>
  <si>
    <t>Optional (default : name of the Output sheet)
Filename to use when exporting file containing static data.
Extension (if any) is removed.</t>
  </si>
  <si>
    <t>Optional (see default value)
Directory where the logs will be generated</t>
  </si>
  <si>
    <t>Optional (see default value)
Delay to wait after having deleting the formulas</t>
  </si>
  <si>
    <t>Optional (see default value)
Delay to wait after having copying the formulas</t>
  </si>
  <si>
    <t>Optional (see default value)
First column to copy from Input sheet to Output sheet</t>
  </si>
  <si>
    <t>Optional (see default value)
Reference line where the formulas are indicated</t>
  </si>
  <si>
    <t>Optional (see default value)
Reference line to count the columns in the Input sheet</t>
  </si>
  <si>
    <t>Optional (see default value)
First line with data calculated with formulas</t>
  </si>
  <si>
    <t>Optional (see default value)
First line to copy from Input sheet to Output sheet (can be different from INPUT_LINE_FIRSTDATAFORFORMULAS if labels shall be copied to Output sheet)</t>
  </si>
  <si>
    <t>Optional (see default value)
Reference column to count the lines in the Output sheet</t>
  </si>
  <si>
    <t>Optional (see default value)
First column from Output where data are copied</t>
  </si>
  <si>
    <t>Optional (see default value)
Reference line to count the columns in the Output sheet</t>
  </si>
  <si>
    <t>Optional (see default value)
Message body in the mail providing the global status</t>
  </si>
  <si>
    <t>Optional (see default value)
Destination of the mail providing the global status</t>
  </si>
  <si>
    <t>Optional (see default value)
Indicate that the file should be moved rather than save as (the initial file is deleted).
The deletion of the initial file is cancelled if SAVE_FOLDER is the current directory.</t>
  </si>
  <si>
    <t>Mandatory if the data updated check is requested (default is "")
The data update check is cancelled if this parameter equals ""
Column containing a boolean indicating if the (Bloomberg) data on this line are updated</t>
  </si>
  <si>
    <t>Optional (see default value)
Indicates if the debug level logs must be displayed</t>
  </si>
  <si>
    <t>Check libraries (FORK) references</t>
  </si>
  <si>
    <t>SAVE_MUSTMOVE</t>
  </si>
  <si>
    <t>SAVE_MUSTHORODATE</t>
  </si>
  <si>
    <t>EXPORT_MUSTHORODATE</t>
  </si>
  <si>
    <t>Optional (see default value)
The file will be saved with the date and time appended on the left of its filename.</t>
  </si>
  <si>
    <t>Optional (see default value)
The exported file will be saved with the date and time appended on the left of its filename.</t>
  </si>
  <si>
    <t>..\..\Data\_Logs</t>
  </si>
  <si>
    <t>Optional (default : current directory of this file)
Directory to save this file if requested in the process. There may be several directories, separated by semi-colon.</t>
  </si>
  <si>
    <t>INPUT_COL_COUNTFORFORMULAS</t>
  </si>
  <si>
    <t>INPUT_COL_COUNTFORCOPYINGDATA</t>
  </si>
  <si>
    <t>Optional (see default value)
Refence column to count the number of lines in the input sheet for copying formulas</t>
  </si>
  <si>
    <t>Optional (see default value)
Refence column to count the number of lines in the input sheet for copying data</t>
  </si>
  <si>
    <t>MAIL_INDIRECTFOLDER</t>
  </si>
  <si>
    <t>Autostart</t>
  </si>
  <si>
    <t>AUTOSTART_COMPUTERS</t>
  </si>
  <si>
    <t>Optional (see default value)
List of computers on which the autostart will run if the Austostart checkbox is checked, separated by semi-colon. Null means all computers.</t>
  </si>
  <si>
    <t>EXPORT_FOLDERS</t>
  </si>
  <si>
    <t>Optional (see default value)
First line on which data from input sheet are pasted, and for line to be copied to the exported sheet.</t>
  </si>
  <si>
    <t>SAVE_FOLDERS</t>
  </si>
  <si>
    <t>Mandatory (no default value)
If empty, the status mail is commanded directly by the Transformer to Outlook.
Otherwise, the status is turned into a file which name is the status, and then stored in this folder to be sent by a gateway.</t>
  </si>
  <si>
    <t>""</t>
  </si>
  <si>
    <t>INPUT_LINE_FIRSTDATAFORCOPYINGFORMULAS</t>
  </si>
  <si>
    <t>Optional (defaut is empty : first formula in INPUT_LINE_FORMULAS line)
Column containing the first formula to copy in the input sheet</t>
  </si>
  <si>
    <t>Optional (default is empty : last filled column on INPUT_LINE_COUNT line)
Column containing the last formula to copy in the input sheet</t>
  </si>
  <si>
    <t>APPS01</t>
  </si>
  <si>
    <t>Length</t>
  </si>
  <si>
    <t>Start</t>
  </si>
  <si>
    <t>End</t>
  </si>
  <si>
    <t>Apis Lucrosa</t>
  </si>
  <si>
    <t>68095</t>
  </si>
  <si>
    <t>Commodities &amp; Gold Equities</t>
  </si>
  <si>
    <t>67869</t>
  </si>
  <si>
    <t>Low Risk</t>
  </si>
  <si>
    <t>68098</t>
  </si>
  <si>
    <t>Real Value Growth Fund</t>
  </si>
  <si>
    <t>68099</t>
  </si>
  <si>
    <t>REVO</t>
  </si>
  <si>
    <t>60568</t>
  </si>
  <si>
    <t>DataCentral account</t>
  </si>
  <si>
    <t>..\..\Data\To.RiskManagement.Outlook</t>
  </si>
  <si>
    <t>Date</t>
  </si>
  <si>
    <t>Gross leverage</t>
  </si>
  <si>
    <t>Net leverage</t>
  </si>
  <si>
    <t>InputPwCLeverageALU</t>
  </si>
  <si>
    <t>InputPwCLeverageREV</t>
  </si>
  <si>
    <t>InputPwCLeverageCOM</t>
  </si>
  <si>
    <t>InputPwCLeverageLWR</t>
  </si>
  <si>
    <t>InputPwCLeverageRVG</t>
  </si>
  <si>
    <t>..\..\Data\To.InternalGateway.Outlook</t>
  </si>
  <si>
    <t>73630</t>
  </si>
  <si>
    <t>Diversified Alpha</t>
  </si>
  <si>
    <t>InputPwCLeverageDCM</t>
  </si>
  <si>
    <t>jnc@apis-am.com</t>
  </si>
  <si>
    <t>110311</t>
  </si>
  <si>
    <t>110312</t>
  </si>
  <si>
    <t>NS Long Term</t>
  </si>
  <si>
    <t>InputPwCLeverageNSLongTerm</t>
  </si>
  <si>
    <t>.\Archived</t>
  </si>
  <si>
    <t>NS Balanced</t>
  </si>
  <si>
    <t>InputPwCLeverageNSBalanced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</si>
</sst>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ddd\ d/mmm/yy;@"/>
  </numFmts>
  <fonts count="1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303336"/>
      <name val="Inherit"/>
    </font>
    <font>
      <b/>
      <sz val="9"/>
      <color theme="5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7" fillId="0" borderId="0"/>
    <xf numFmtId="0" fontId="8" fillId="0" borderId="0"/>
  </cellStyleXfs>
  <cellXfs count="40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vertical="center"/>
    </xf>
    <xf numFmtId="0" fontId="4" fillId="0" borderId="0" xfId="0" applyFont="1"/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1" xfId="0" applyFont="1" applyBorder="1" applyAlignment="1">
      <alignment vertical="center" wrapText="1"/>
    </xf>
    <xf numFmtId="0" fontId="6" fillId="2" borderId="1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1" fontId="3" fillId="3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 wrapText="1"/>
    </xf>
    <xf numFmtId="21" fontId="3" fillId="4" borderId="1" xfId="0" quotePrefix="1" applyNumberFormat="1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 wrapText="1"/>
    </xf>
    <xf numFmtId="21" fontId="3" fillId="6" borderId="1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9" fillId="7" borderId="1" xfId="0" applyFont="1" applyFill="1" applyBorder="1" applyAlignment="1">
      <alignment horizontal="center" vertical="center"/>
    </xf>
    <xf numFmtId="164" fontId="1" fillId="8" borderId="2" xfId="0" applyNumberFormat="1" applyFont="1" applyFill="1" applyBorder="1" applyAlignment="1">
      <alignment horizontal="center" vertical="center"/>
    </xf>
    <xf numFmtId="14" fontId="1" fillId="8" borderId="2" xfId="0" applyNumberFormat="1" applyFont="1" applyFill="1" applyBorder="1" applyAlignment="1">
      <alignment horizontal="center" vertical="center"/>
    </xf>
    <xf numFmtId="0" fontId="1" fillId="8" borderId="2" xfId="0" applyNumberFormat="1" applyFont="1" applyFill="1" applyBorder="1" applyAlignment="1">
      <alignment horizontal="center" vertical="center"/>
    </xf>
    <xf numFmtId="14" fontId="1" fillId="8" borderId="2" xfId="0" quotePrefix="1" applyNumberFormat="1" applyFont="1" applyFill="1" applyBorder="1" applyAlignment="1">
      <alignment horizontal="center" vertical="center"/>
    </xf>
    <xf numFmtId="14" fontId="10" fillId="9" borderId="1" xfId="0" applyNumberFormat="1" applyFont="1" applyFill="1" applyBorder="1" applyAlignment="1">
      <alignment horizontal="center"/>
    </xf>
    <xf numFmtId="0" fontId="10" fillId="9" borderId="1" xfId="0" applyFont="1" applyFill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</cellXfs>
  <cellStyles count="3">
    <cellStyle name="Normal" xfId="0" builtinId="0"/>
    <cellStyle name="Normal 2" xfId="1" xr:uid="{00000000-0005-0000-0000-000001000000}"/>
    <cellStyle name="Normal 2 2" xfId="2" xr:uid="{053652D3-7AA8-44D4-AD4C-C418482363D4}"/>
  </cellStyles>
  <dxfs count="0"/>
  <tableStyles count="0" defaultTableStyle="TableStyleMedium2" defaultPivotStyle="PivotStyleLight16"/>
  <colors>
    <mruColors>
      <color rgb="FF6EA92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4</xdr:row>
          <xdr:rowOff>19050</xdr:rowOff>
        </xdr:from>
        <xdr:to>
          <xdr:col>0</xdr:col>
          <xdr:colOff>381000</xdr:colOff>
          <xdr:row>4</xdr:row>
          <xdr:rowOff>190500</xdr:rowOff>
        </xdr:to>
        <xdr:sp macro="" textlink="">
          <xdr:nvSpPr>
            <xdr:cNvPr id="2054" name="CheckBox_CheckBusinessDa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7</xdr:row>
          <xdr:rowOff>19050</xdr:rowOff>
        </xdr:from>
        <xdr:to>
          <xdr:col>0</xdr:col>
          <xdr:colOff>381000</xdr:colOff>
          <xdr:row>7</xdr:row>
          <xdr:rowOff>190500</xdr:rowOff>
        </xdr:to>
        <xdr:sp macro="" textlink="">
          <xdr:nvSpPr>
            <xdr:cNvPr id="2055" name="CheckBox_CheckDataUpToDate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12</xdr:row>
          <xdr:rowOff>28575</xdr:rowOff>
        </xdr:from>
        <xdr:to>
          <xdr:col>0</xdr:col>
          <xdr:colOff>381000</xdr:colOff>
          <xdr:row>12</xdr:row>
          <xdr:rowOff>200025</xdr:rowOff>
        </xdr:to>
        <xdr:sp macro="" textlink="">
          <xdr:nvSpPr>
            <xdr:cNvPr id="2056" name="CheckBox_Sav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9</xdr:row>
          <xdr:rowOff>28575</xdr:rowOff>
        </xdr:from>
        <xdr:to>
          <xdr:col>0</xdr:col>
          <xdr:colOff>381000</xdr:colOff>
          <xdr:row>9</xdr:row>
          <xdr:rowOff>200025</xdr:rowOff>
        </xdr:to>
        <xdr:sp macro="" textlink="">
          <xdr:nvSpPr>
            <xdr:cNvPr id="2057" name="CheckBox_ExportData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13</xdr:row>
          <xdr:rowOff>28575</xdr:rowOff>
        </xdr:from>
        <xdr:to>
          <xdr:col>0</xdr:col>
          <xdr:colOff>381000</xdr:colOff>
          <xdr:row>13</xdr:row>
          <xdr:rowOff>200025</xdr:rowOff>
        </xdr:to>
        <xdr:sp macro="" textlink="">
          <xdr:nvSpPr>
            <xdr:cNvPr id="2058" name="CheckBox_CloseFil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57150</xdr:rowOff>
        </xdr:from>
        <xdr:to>
          <xdr:col>1</xdr:col>
          <xdr:colOff>1143000</xdr:colOff>
          <xdr:row>0</xdr:row>
          <xdr:rowOff>304800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19050</xdr:rowOff>
        </xdr:from>
        <xdr:to>
          <xdr:col>0</xdr:col>
          <xdr:colOff>381000</xdr:colOff>
          <xdr:row>3</xdr:row>
          <xdr:rowOff>190500</xdr:rowOff>
        </xdr:to>
        <xdr:sp macro="" textlink="">
          <xdr:nvSpPr>
            <xdr:cNvPr id="2066" name="CheckBox_AutoStart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11</xdr:row>
          <xdr:rowOff>19050</xdr:rowOff>
        </xdr:from>
        <xdr:to>
          <xdr:col>0</xdr:col>
          <xdr:colOff>381000</xdr:colOff>
          <xdr:row>11</xdr:row>
          <xdr:rowOff>190500</xdr:rowOff>
        </xdr:to>
        <xdr:sp macro="" textlink="">
          <xdr:nvSpPr>
            <xdr:cNvPr id="2067" name="CheckBox_MailGlobalStatus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2</xdr:row>
          <xdr:rowOff>19050</xdr:rowOff>
        </xdr:from>
        <xdr:to>
          <xdr:col>0</xdr:col>
          <xdr:colOff>381000</xdr:colOff>
          <xdr:row>2</xdr:row>
          <xdr:rowOff>190500</xdr:rowOff>
        </xdr:to>
        <xdr:sp macro="" textlink="">
          <xdr:nvSpPr>
            <xdr:cNvPr id="2068" name="CheckBox_CheckLibraries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5</xdr:row>
          <xdr:rowOff>19050</xdr:rowOff>
        </xdr:from>
        <xdr:to>
          <xdr:col>0</xdr:col>
          <xdr:colOff>381000</xdr:colOff>
          <xdr:row>5</xdr:row>
          <xdr:rowOff>190500</xdr:rowOff>
        </xdr:to>
        <xdr:sp macro="" textlink="">
          <xdr:nvSpPr>
            <xdr:cNvPr id="2069" name="CheckBox_DeleteFormulas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6</xdr:row>
          <xdr:rowOff>19050</xdr:rowOff>
        </xdr:from>
        <xdr:to>
          <xdr:col>0</xdr:col>
          <xdr:colOff>381000</xdr:colOff>
          <xdr:row>6</xdr:row>
          <xdr:rowOff>190500</xdr:rowOff>
        </xdr:to>
        <xdr:sp macro="" textlink="">
          <xdr:nvSpPr>
            <xdr:cNvPr id="2070" name="CheckBox_CopyFormulas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Feathered">
  <a:themeElements>
    <a:clrScheme name="iW Partners">
      <a:dk1>
        <a:srgbClr val="4A4D52"/>
      </a:dk1>
      <a:lt1>
        <a:srgbClr val="E4E6E8"/>
      </a:lt1>
      <a:dk2>
        <a:srgbClr val="687078"/>
      </a:dk2>
      <a:lt2>
        <a:srgbClr val="C6D1D7"/>
      </a:lt2>
      <a:accent1>
        <a:srgbClr val="FAC500"/>
      </a:accent1>
      <a:accent2>
        <a:srgbClr val="F59C00"/>
      </a:accent2>
      <a:accent3>
        <a:srgbClr val="D33D0F"/>
      </a:accent3>
      <a:accent4>
        <a:srgbClr val="901A37"/>
      </a:accent4>
      <a:accent5>
        <a:srgbClr val="559172"/>
      </a:accent5>
      <a:accent6>
        <a:srgbClr val="4A66AC"/>
      </a:accent6>
      <a:hlink>
        <a:srgbClr val="0563C1"/>
      </a:hlink>
      <a:folHlink>
        <a:srgbClr val="954F72"/>
      </a:folHlink>
    </a:clrScheme>
    <a:fontScheme name="Feathered">
      <a:majorFont>
        <a:latin typeface="Century Schoolbook" panose="02040604050505020304"/>
        <a:ea typeface=""/>
        <a:cs typeface=""/>
        <a:font script="Jpan" typeface="メイリオ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Feathered">
      <a:fillStyleLst>
        <a:solidFill>
          <a:schemeClr val="phClr"/>
        </a:solidFill>
        <a:solidFill>
          <a:schemeClr val="phClr">
            <a:tint val="67000"/>
            <a:satMod val="105000"/>
          </a:schemeClr>
        </a:solidFill>
        <a:gradFill rotWithShape="1">
          <a:gsLst>
            <a:gs pos="0">
              <a:schemeClr val="phClr">
                <a:tint val="94000"/>
                <a:satMod val="103000"/>
                <a:lumMod val="102000"/>
              </a:schemeClr>
            </a:gs>
            <a:gs pos="50000">
              <a:schemeClr val="phClr">
                <a:shade val="100000"/>
                <a:satMod val="110000"/>
                <a:lumMod val="100000"/>
              </a:schemeClr>
            </a:gs>
            <a:gs pos="100000">
              <a:schemeClr val="phClr">
                <a:shade val="70000"/>
                <a:satMod val="120000"/>
                <a:lumMod val="99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>
              <a:tint val="50000"/>
              <a:shade val="83000"/>
            </a:schemeClr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25400" dir="5400000" algn="ctr" rotWithShape="0">
              <a:srgbClr val="000000">
                <a:alpha val="20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Feathered" id="{EEC9B30E-2747-4D42-BCBE-A02BDEEEA114}" vid="{AACE42CE-5C67-4514-8A89-3472F564E146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7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6.xml"/><Relationship Id="rId1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0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ontrol" Target="../activeX/activeX9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0" tint="-0.499984740745262"/>
  </sheetPr>
  <dimension ref="A1:D20"/>
  <sheetViews>
    <sheetView workbookViewId="0">
      <selection activeCell="D18" sqref="D18"/>
    </sheetView>
  </sheetViews>
  <sheetFormatPr defaultColWidth="8.85546875" defaultRowHeight="15"/>
  <cols>
    <col min="1" max="1" width="8.85546875" style="1"/>
    <col min="2" max="2" width="17.28515625" style="1" customWidth="1"/>
    <col min="3" max="3" width="15.28515625" style="1" customWidth="1"/>
    <col min="4" max="4" width="67.28515625" style="1" customWidth="1"/>
    <col min="5" max="16384" width="8.85546875" style="1"/>
  </cols>
  <sheetData>
    <row r="1" spans="1:4" ht="27" customHeight="1"/>
    <row r="2" spans="1:4" s="4" customFormat="1">
      <c r="A2" s="28" t="s">
        <v>16</v>
      </c>
      <c r="B2" s="28" t="s">
        <v>17</v>
      </c>
      <c r="C2" s="28" t="s">
        <v>18</v>
      </c>
      <c r="D2" s="28" t="s">
        <v>19</v>
      </c>
    </row>
    <row r="3" spans="1:4" ht="16.899999999999999" customHeight="1">
      <c r="A3" s="5"/>
      <c r="B3" s="6"/>
      <c r="C3" s="6" t="s">
        <v>15</v>
      </c>
      <c r="D3" s="5" t="s">
        <v>86</v>
      </c>
    </row>
    <row r="4" spans="1:4" ht="16.899999999999999" customHeight="1">
      <c r="A4" s="5"/>
      <c r="B4" s="6"/>
      <c r="C4" s="6" t="s">
        <v>15</v>
      </c>
      <c r="D4" s="5" t="s">
        <v>20</v>
      </c>
    </row>
    <row r="5" spans="1:4" ht="16.899999999999999" customHeight="1">
      <c r="A5" s="5"/>
      <c r="B5" s="6" t="s">
        <v>3</v>
      </c>
      <c r="C5" s="6" t="s">
        <v>10</v>
      </c>
      <c r="D5" s="5" t="s">
        <v>1</v>
      </c>
    </row>
    <row r="6" spans="1:4" ht="16.899999999999999" customHeight="1">
      <c r="A6" s="5"/>
      <c r="B6" s="6" t="s">
        <v>4</v>
      </c>
      <c r="C6" s="6" t="s">
        <v>10</v>
      </c>
      <c r="D6" s="5" t="s">
        <v>2</v>
      </c>
    </row>
    <row r="7" spans="1:4" ht="16.899999999999999" customHeight="1">
      <c r="A7" s="5"/>
      <c r="B7" s="6" t="s">
        <v>5</v>
      </c>
      <c r="C7" s="6" t="s">
        <v>10</v>
      </c>
      <c r="D7" s="5" t="s">
        <v>9</v>
      </c>
    </row>
    <row r="8" spans="1:4" ht="16.899999999999999" customHeight="1">
      <c r="A8" s="5"/>
      <c r="B8" s="6" t="s">
        <v>6</v>
      </c>
      <c r="C8" s="6" t="s">
        <v>10</v>
      </c>
      <c r="D8" s="5" t="s">
        <v>43</v>
      </c>
    </row>
    <row r="9" spans="1:4" ht="16.899999999999999" customHeight="1">
      <c r="A9" s="5"/>
      <c r="B9" s="6" t="s">
        <v>7</v>
      </c>
      <c r="C9" s="6" t="s">
        <v>11</v>
      </c>
      <c r="D9" s="5" t="s">
        <v>12</v>
      </c>
    </row>
    <row r="10" spans="1:4" ht="16.899999999999999" customHeight="1">
      <c r="A10" s="5"/>
      <c r="B10" s="6" t="s">
        <v>8</v>
      </c>
      <c r="C10" s="6" t="s">
        <v>11</v>
      </c>
      <c r="D10" s="5" t="s">
        <v>14</v>
      </c>
    </row>
    <row r="11" spans="1:4" ht="16.899999999999999" customHeight="1">
      <c r="A11" s="5"/>
      <c r="B11" s="6" t="s">
        <v>13</v>
      </c>
      <c r="C11" s="6" t="s">
        <v>10</v>
      </c>
      <c r="D11" s="5" t="s">
        <v>36</v>
      </c>
    </row>
    <row r="12" spans="1:4" ht="16.899999999999999" customHeight="1">
      <c r="A12" s="5"/>
      <c r="B12" s="6"/>
      <c r="C12" s="6" t="s">
        <v>15</v>
      </c>
      <c r="D12" s="5" t="s">
        <v>44</v>
      </c>
    </row>
    <row r="13" spans="1:4" ht="16.899999999999999" customHeight="1">
      <c r="A13" s="5"/>
      <c r="B13" s="6"/>
      <c r="C13" s="6" t="s">
        <v>15</v>
      </c>
      <c r="D13" s="5" t="s">
        <v>0</v>
      </c>
    </row>
    <row r="14" spans="1:4" s="3" customFormat="1" ht="16.899999999999999" customHeight="1">
      <c r="A14" s="7"/>
      <c r="B14" s="6"/>
      <c r="C14" s="6" t="s">
        <v>15</v>
      </c>
      <c r="D14" s="7" t="s">
        <v>37</v>
      </c>
    </row>
    <row r="20" spans="4:4">
      <c r="D20" s="8"/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8" r:id="rId4" name="CheckBox_CheckLibraries">
          <controlPr defaultSize="0" autoLine="0" r:id="rId5">
            <anchor moveWithCells="1">
              <from>
                <xdr:col>0</xdr:col>
                <xdr:colOff>200025</xdr:colOff>
                <xdr:row>2</xdr:row>
                <xdr:rowOff>19050</xdr:rowOff>
              </from>
              <to>
                <xdr:col>0</xdr:col>
                <xdr:colOff>381000</xdr:colOff>
                <xdr:row>2</xdr:row>
                <xdr:rowOff>190500</xdr:rowOff>
              </to>
            </anchor>
          </controlPr>
        </control>
      </mc:Choice>
      <mc:Fallback>
        <control shapeId="2068" r:id="rId4" name="CheckBox_CheckLibraries"/>
      </mc:Fallback>
    </mc:AlternateContent>
    <mc:AlternateContent xmlns:mc="http://schemas.openxmlformats.org/markup-compatibility/2006">
      <mc:Choice Requires="x14">
        <control shapeId="2067" r:id="rId6" name="CheckBox_MailGlobalStatus">
          <controlPr defaultSize="0" autoLine="0" r:id="rId7">
            <anchor moveWithCells="1">
              <from>
                <xdr:col>0</xdr:col>
                <xdr:colOff>200025</xdr:colOff>
                <xdr:row>11</xdr:row>
                <xdr:rowOff>19050</xdr:rowOff>
              </from>
              <to>
                <xdr:col>0</xdr:col>
                <xdr:colOff>381000</xdr:colOff>
                <xdr:row>11</xdr:row>
                <xdr:rowOff>190500</xdr:rowOff>
              </to>
            </anchor>
          </controlPr>
        </control>
      </mc:Choice>
      <mc:Fallback>
        <control shapeId="2067" r:id="rId6" name="CheckBox_MailGlobalStatus"/>
      </mc:Fallback>
    </mc:AlternateContent>
    <mc:AlternateContent xmlns:mc="http://schemas.openxmlformats.org/markup-compatibility/2006">
      <mc:Choice Requires="x14">
        <control shapeId="2066" r:id="rId8" name="CheckBox_AutoStart">
          <controlPr defaultSize="0" autoLine="0" r:id="rId9">
            <anchor moveWithCells="1">
              <from>
                <xdr:col>0</xdr:col>
                <xdr:colOff>200025</xdr:colOff>
                <xdr:row>3</xdr:row>
                <xdr:rowOff>19050</xdr:rowOff>
              </from>
              <to>
                <xdr:col>0</xdr:col>
                <xdr:colOff>381000</xdr:colOff>
                <xdr:row>3</xdr:row>
                <xdr:rowOff>190500</xdr:rowOff>
              </to>
            </anchor>
          </controlPr>
        </control>
      </mc:Choice>
      <mc:Fallback>
        <control shapeId="2066" r:id="rId8" name="CheckBox_AutoStart"/>
      </mc:Fallback>
    </mc:AlternateContent>
    <mc:AlternateContent xmlns:mc="http://schemas.openxmlformats.org/markup-compatibility/2006">
      <mc:Choice Requires="x14">
        <control shapeId="2058" r:id="rId10" name="CheckBox_CloseFile">
          <controlPr defaultSize="0" autoLine="0" r:id="rId5">
            <anchor moveWithCells="1">
              <from>
                <xdr:col>0</xdr:col>
                <xdr:colOff>200025</xdr:colOff>
                <xdr:row>13</xdr:row>
                <xdr:rowOff>28575</xdr:rowOff>
              </from>
              <to>
                <xdr:col>0</xdr:col>
                <xdr:colOff>381000</xdr:colOff>
                <xdr:row>13</xdr:row>
                <xdr:rowOff>200025</xdr:rowOff>
              </to>
            </anchor>
          </controlPr>
        </control>
      </mc:Choice>
      <mc:Fallback>
        <control shapeId="2058" r:id="rId10" name="CheckBox_CloseFile"/>
      </mc:Fallback>
    </mc:AlternateContent>
    <mc:AlternateContent xmlns:mc="http://schemas.openxmlformats.org/markup-compatibility/2006">
      <mc:Choice Requires="x14">
        <control shapeId="2054" r:id="rId11" name="CheckBox_CheckBusinessDay">
          <controlPr defaultSize="0" autoLine="0" r:id="rId5">
            <anchor moveWithCells="1">
              <from>
                <xdr:col>0</xdr:col>
                <xdr:colOff>200025</xdr:colOff>
                <xdr:row>4</xdr:row>
                <xdr:rowOff>19050</xdr:rowOff>
              </from>
              <to>
                <xdr:col>0</xdr:col>
                <xdr:colOff>381000</xdr:colOff>
                <xdr:row>4</xdr:row>
                <xdr:rowOff>190500</xdr:rowOff>
              </to>
            </anchor>
          </controlPr>
        </control>
      </mc:Choice>
      <mc:Fallback>
        <control shapeId="2054" r:id="rId11" name="CheckBox_CheckBusinessDay"/>
      </mc:Fallback>
    </mc:AlternateContent>
    <mc:AlternateContent xmlns:mc="http://schemas.openxmlformats.org/markup-compatibility/2006">
      <mc:Choice Requires="x14">
        <control shapeId="2055" r:id="rId12" name="CheckBox_CheckDataUpToDate">
          <controlPr defaultSize="0" autoLine="0" r:id="rId7">
            <anchor moveWithCells="1">
              <from>
                <xdr:col>0</xdr:col>
                <xdr:colOff>200025</xdr:colOff>
                <xdr:row>7</xdr:row>
                <xdr:rowOff>19050</xdr:rowOff>
              </from>
              <to>
                <xdr:col>0</xdr:col>
                <xdr:colOff>381000</xdr:colOff>
                <xdr:row>7</xdr:row>
                <xdr:rowOff>190500</xdr:rowOff>
              </to>
            </anchor>
          </controlPr>
        </control>
      </mc:Choice>
      <mc:Fallback>
        <control shapeId="2055" r:id="rId12" name="CheckBox_CheckDataUpToDate"/>
      </mc:Fallback>
    </mc:AlternateContent>
    <mc:AlternateContent xmlns:mc="http://schemas.openxmlformats.org/markup-compatibility/2006">
      <mc:Choice Requires="x14">
        <control shapeId="2056" r:id="rId13" name="CheckBox_SaveFile">
          <controlPr defaultSize="0" autoLine="0" r:id="rId5">
            <anchor moveWithCells="1">
              <from>
                <xdr:col>0</xdr:col>
                <xdr:colOff>200025</xdr:colOff>
                <xdr:row>12</xdr:row>
                <xdr:rowOff>28575</xdr:rowOff>
              </from>
              <to>
                <xdr:col>0</xdr:col>
                <xdr:colOff>381000</xdr:colOff>
                <xdr:row>12</xdr:row>
                <xdr:rowOff>200025</xdr:rowOff>
              </to>
            </anchor>
          </controlPr>
        </control>
      </mc:Choice>
      <mc:Fallback>
        <control shapeId="2056" r:id="rId13" name="CheckBox_SaveFile"/>
      </mc:Fallback>
    </mc:AlternateContent>
    <mc:AlternateContent xmlns:mc="http://schemas.openxmlformats.org/markup-compatibility/2006">
      <mc:Choice Requires="x14">
        <control shapeId="2057" r:id="rId14" name="CheckBox_ExportData">
          <controlPr defaultSize="0" autoLine="0" r:id="rId5">
            <anchor moveWithCells="1">
              <from>
                <xdr:col>0</xdr:col>
                <xdr:colOff>200025</xdr:colOff>
                <xdr:row>9</xdr:row>
                <xdr:rowOff>28575</xdr:rowOff>
              </from>
              <to>
                <xdr:col>0</xdr:col>
                <xdr:colOff>381000</xdr:colOff>
                <xdr:row>9</xdr:row>
                <xdr:rowOff>200025</xdr:rowOff>
              </to>
            </anchor>
          </controlPr>
        </control>
      </mc:Choice>
      <mc:Fallback>
        <control shapeId="2057" r:id="rId14" name="CheckBox_ExportData"/>
      </mc:Fallback>
    </mc:AlternateContent>
    <mc:AlternateContent xmlns:mc="http://schemas.openxmlformats.org/markup-compatibility/2006">
      <mc:Choice Requires="x14">
        <control shapeId="2069" r:id="rId15" name="CheckBox_DeleteFormulas">
          <controlPr defaultSize="0" autoLine="0" r:id="rId7">
            <anchor moveWithCells="1">
              <from>
                <xdr:col>0</xdr:col>
                <xdr:colOff>200025</xdr:colOff>
                <xdr:row>5</xdr:row>
                <xdr:rowOff>19050</xdr:rowOff>
              </from>
              <to>
                <xdr:col>0</xdr:col>
                <xdr:colOff>381000</xdr:colOff>
                <xdr:row>5</xdr:row>
                <xdr:rowOff>190500</xdr:rowOff>
              </to>
            </anchor>
          </controlPr>
        </control>
      </mc:Choice>
      <mc:Fallback>
        <control shapeId="2069" r:id="rId15" name="CheckBox_DeleteFormulas"/>
      </mc:Fallback>
    </mc:AlternateContent>
    <mc:AlternateContent xmlns:mc="http://schemas.openxmlformats.org/markup-compatibility/2006">
      <mc:Choice Requires="x14">
        <control shapeId="2070" r:id="rId16" name="CheckBox_CopyFormulas">
          <controlPr defaultSize="0" autoLine="0" r:id="rId7">
            <anchor moveWithCells="1">
              <from>
                <xdr:col>0</xdr:col>
                <xdr:colOff>200025</xdr:colOff>
                <xdr:row>6</xdr:row>
                <xdr:rowOff>19050</xdr:rowOff>
              </from>
              <to>
                <xdr:col>0</xdr:col>
                <xdr:colOff>381000</xdr:colOff>
                <xdr:row>6</xdr:row>
                <xdr:rowOff>190500</xdr:rowOff>
              </to>
            </anchor>
          </controlPr>
        </control>
      </mc:Choice>
      <mc:Fallback>
        <control shapeId="2070" r:id="rId16" name="CheckBox_CopyFormulas"/>
      </mc:Fallback>
    </mc:AlternateContent>
    <mc:AlternateContent xmlns:mc="http://schemas.openxmlformats.org/markup-compatibility/2006">
      <mc:Choice Requires="x14">
        <control shapeId="2060" r:id="rId17" name="Button 12">
          <controlPr defaultSize="0" print="0" autoFill="0" autoPict="0" macro="[0]!Control">
            <anchor moveWithCells="1" sizeWithCells="1">
              <from>
                <xdr:col>1</xdr:col>
                <xdr:colOff>57150</xdr:colOff>
                <xdr:row>0</xdr:row>
                <xdr:rowOff>57150</xdr:rowOff>
              </from>
              <to>
                <xdr:col>1</xdr:col>
                <xdr:colOff>1143000</xdr:colOff>
                <xdr:row>0</xdr:row>
                <xdr:rowOff>304800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6EA92D"/>
  </sheetPr>
  <dimension ref="A1:L43"/>
  <sheetViews>
    <sheetView tabSelected="1" zoomScale="85" zoomScaleNormal="85" workbookViewId="0">
      <pane xSplit="1" ySplit="1" topLeftCell="E2" activePane="bottomRight" state="frozen"/>
      <selection pane="topRight" activeCell="B1" sqref="B1"/>
      <selection pane="bottomLeft" activeCell="A3" sqref="A3"/>
      <selection pane="bottomRight" activeCell="K2" sqref="K2"/>
    </sheetView>
  </sheetViews>
  <sheetFormatPr defaultColWidth="8.85546875" defaultRowHeight="15"/>
  <cols>
    <col min="1" max="1" width="39.28515625" style="1" bestFit="1" customWidth="1"/>
    <col min="2" max="2" width="61.140625" style="1" customWidth="1"/>
    <col min="3" max="3" width="15.7109375" style="2" customWidth="1"/>
    <col min="4" max="12" width="15.7109375" style="17" customWidth="1"/>
    <col min="13" max="16384" width="8.85546875" style="1"/>
  </cols>
  <sheetData>
    <row r="1" spans="1:12" s="9" customFormat="1" ht="45">
      <c r="A1" s="14"/>
      <c r="B1" s="14"/>
      <c r="C1" s="14" t="s">
        <v>35</v>
      </c>
      <c r="D1" s="15" t="s">
        <v>45</v>
      </c>
      <c r="E1" s="15" t="s">
        <v>129</v>
      </c>
      <c r="F1" s="15" t="s">
        <v>130</v>
      </c>
      <c r="G1" s="15" t="s">
        <v>131</v>
      </c>
      <c r="H1" s="15" t="s">
        <v>132</v>
      </c>
      <c r="I1" s="15" t="s">
        <v>133</v>
      </c>
      <c r="J1" s="15" t="s">
        <v>137</v>
      </c>
      <c r="K1" s="15" t="s">
        <v>145</v>
      </c>
      <c r="L1" s="15" t="s">
        <v>142</v>
      </c>
    </row>
    <row r="2" spans="1:12" s="3" customFormat="1">
      <c r="A2" s="21" t="s">
        <v>99</v>
      </c>
      <c r="B2" s="21"/>
      <c r="C2" s="22"/>
      <c r="D2" s="23"/>
      <c r="E2" s="23"/>
      <c r="F2" s="23"/>
      <c r="G2" s="23"/>
      <c r="H2" s="23"/>
      <c r="I2" s="23"/>
      <c r="J2" s="23"/>
      <c r="K2" s="23"/>
      <c r="L2" s="23"/>
    </row>
    <row r="3" spans="1:12" s="10" customFormat="1" ht="36">
      <c r="A3" s="12" t="s">
        <v>100</v>
      </c>
      <c r="B3" s="13" t="s">
        <v>101</v>
      </c>
      <c r="C3" s="20"/>
      <c r="D3" s="25" t="s">
        <v>110</v>
      </c>
      <c r="E3" s="19"/>
      <c r="F3" s="19"/>
      <c r="G3" s="19"/>
      <c r="H3" s="19"/>
      <c r="I3" s="19"/>
      <c r="J3" s="19"/>
      <c r="K3" s="19"/>
      <c r="L3" s="19"/>
    </row>
    <row r="4" spans="1:12" s="3" customFormat="1">
      <c r="A4" s="21" t="s">
        <v>50</v>
      </c>
      <c r="B4" s="21"/>
      <c r="C4" s="22"/>
      <c r="D4" s="23"/>
      <c r="E4" s="23"/>
      <c r="F4" s="23"/>
      <c r="G4" s="23"/>
      <c r="H4" s="23"/>
      <c r="I4" s="23"/>
      <c r="J4" s="23"/>
      <c r="K4" s="23"/>
      <c r="L4" s="23"/>
    </row>
    <row r="5" spans="1:12" s="10" customFormat="1" ht="24">
      <c r="A5" s="12" t="s">
        <v>51</v>
      </c>
      <c r="B5" s="13" t="s">
        <v>70</v>
      </c>
      <c r="C5" s="20" t="s">
        <v>92</v>
      </c>
      <c r="D5" s="25"/>
      <c r="E5" s="19"/>
      <c r="F5" s="19"/>
      <c r="G5" s="19"/>
      <c r="H5" s="19"/>
      <c r="I5" s="19"/>
      <c r="J5" s="19"/>
      <c r="K5" s="19"/>
      <c r="L5" s="19"/>
    </row>
    <row r="6" spans="1:12" s="10" customFormat="1" ht="36">
      <c r="A6" s="12" t="s">
        <v>52</v>
      </c>
      <c r="B6" s="13" t="s">
        <v>53</v>
      </c>
      <c r="C6" s="20" t="s">
        <v>54</v>
      </c>
      <c r="D6" s="25"/>
      <c r="E6" s="19"/>
      <c r="F6" s="19"/>
      <c r="G6" s="19"/>
      <c r="H6" s="19"/>
      <c r="I6" s="19"/>
      <c r="J6" s="19"/>
      <c r="K6" s="19"/>
      <c r="L6" s="19"/>
    </row>
    <row r="7" spans="1:12" s="10" customFormat="1" ht="24">
      <c r="A7" s="12" t="s">
        <v>55</v>
      </c>
      <c r="B7" s="13" t="s">
        <v>85</v>
      </c>
      <c r="C7" s="20" t="b">
        <v>0</v>
      </c>
      <c r="D7" s="25"/>
      <c r="E7" s="19"/>
      <c r="F7" s="19"/>
      <c r="G7" s="19"/>
      <c r="H7" s="19"/>
      <c r="I7" s="19"/>
      <c r="J7" s="19"/>
      <c r="K7" s="19"/>
      <c r="L7" s="19"/>
    </row>
    <row r="8" spans="1:12" s="3" customFormat="1">
      <c r="A8" s="21" t="s">
        <v>56</v>
      </c>
      <c r="B8" s="21"/>
      <c r="C8" s="22"/>
      <c r="D8" s="23"/>
      <c r="E8" s="23"/>
      <c r="F8" s="23"/>
      <c r="G8" s="23"/>
      <c r="H8" s="23"/>
      <c r="I8" s="23"/>
      <c r="J8" s="23"/>
      <c r="K8" s="23"/>
      <c r="L8" s="23"/>
    </row>
    <row r="9" spans="1:12" s="10" customFormat="1" ht="24">
      <c r="A9" s="12" t="s">
        <v>58</v>
      </c>
      <c r="B9" s="13" t="s">
        <v>71</v>
      </c>
      <c r="C9" s="24" t="s">
        <v>48</v>
      </c>
      <c r="D9" s="19"/>
      <c r="E9" s="26"/>
      <c r="F9" s="26"/>
      <c r="G9" s="26"/>
      <c r="H9" s="26"/>
      <c r="I9" s="26"/>
      <c r="J9" s="26"/>
      <c r="K9" s="26"/>
      <c r="L9" s="26"/>
    </row>
    <row r="10" spans="1:12" s="10" customFormat="1" ht="24">
      <c r="A10" s="12" t="s">
        <v>59</v>
      </c>
      <c r="B10" s="13" t="s">
        <v>72</v>
      </c>
      <c r="C10" s="24" t="s">
        <v>49</v>
      </c>
      <c r="D10" s="19"/>
      <c r="E10" s="26"/>
      <c r="F10" s="26"/>
      <c r="G10" s="26"/>
      <c r="H10" s="26"/>
      <c r="I10" s="26"/>
      <c r="J10" s="26"/>
      <c r="K10" s="26"/>
      <c r="L10" s="26"/>
    </row>
    <row r="11" spans="1:12" s="3" customFormat="1">
      <c r="A11" s="21" t="s">
        <v>39</v>
      </c>
      <c r="B11" s="21"/>
      <c r="C11" s="22"/>
      <c r="D11" s="23"/>
      <c r="E11" s="23"/>
      <c r="F11" s="23"/>
      <c r="G11" s="23"/>
      <c r="H11" s="23"/>
      <c r="I11" s="23"/>
      <c r="J11" s="23"/>
      <c r="K11" s="23"/>
      <c r="L11" s="23"/>
    </row>
    <row r="12" spans="1:12" s="10" customFormat="1" ht="36">
      <c r="A12" s="12" t="s">
        <v>94</v>
      </c>
      <c r="B12" s="13" t="s">
        <v>96</v>
      </c>
      <c r="C12" s="20" t="s">
        <v>34</v>
      </c>
      <c r="D12" s="16"/>
      <c r="E12" s="25"/>
      <c r="F12" s="25"/>
      <c r="G12" s="25"/>
      <c r="H12" s="25"/>
      <c r="I12" s="25"/>
      <c r="J12" s="25"/>
      <c r="K12" s="25"/>
      <c r="L12" s="25"/>
    </row>
    <row r="13" spans="1:12" s="10" customFormat="1" ht="36">
      <c r="A13" s="12" t="s">
        <v>95</v>
      </c>
      <c r="B13" s="13" t="s">
        <v>97</v>
      </c>
      <c r="C13" s="20" t="s">
        <v>34</v>
      </c>
      <c r="D13" s="16"/>
      <c r="E13" s="25"/>
      <c r="F13" s="25"/>
      <c r="G13" s="25"/>
      <c r="H13" s="25"/>
      <c r="I13" s="25"/>
      <c r="J13" s="25"/>
      <c r="K13" s="25"/>
      <c r="L13" s="25"/>
    </row>
    <row r="14" spans="1:12" s="10" customFormat="1" ht="24">
      <c r="A14" s="12" t="s">
        <v>22</v>
      </c>
      <c r="B14" s="13" t="s">
        <v>108</v>
      </c>
      <c r="C14" s="20"/>
      <c r="D14" s="16"/>
      <c r="E14" s="25"/>
      <c r="F14" s="25"/>
      <c r="G14" s="25"/>
      <c r="H14" s="25"/>
      <c r="I14" s="25"/>
      <c r="J14" s="25"/>
      <c r="K14" s="25"/>
      <c r="L14" s="25"/>
    </row>
    <row r="15" spans="1:12" s="10" customFormat="1" ht="24">
      <c r="A15" s="12" t="s">
        <v>23</v>
      </c>
      <c r="B15" s="13" t="s">
        <v>109</v>
      </c>
      <c r="C15" s="20"/>
      <c r="D15" s="16"/>
      <c r="E15" s="25"/>
      <c r="F15" s="25"/>
      <c r="G15" s="25"/>
      <c r="H15" s="25"/>
      <c r="I15" s="25"/>
      <c r="J15" s="25"/>
      <c r="K15" s="25"/>
      <c r="L15" s="25"/>
    </row>
    <row r="16" spans="1:12" s="10" customFormat="1" ht="24">
      <c r="A16" s="12" t="s">
        <v>24</v>
      </c>
      <c r="B16" s="13" t="s">
        <v>73</v>
      </c>
      <c r="C16" s="20" t="s">
        <v>34</v>
      </c>
      <c r="D16" s="16"/>
      <c r="E16" s="25"/>
      <c r="F16" s="25"/>
      <c r="G16" s="25"/>
      <c r="H16" s="25"/>
      <c r="I16" s="25"/>
      <c r="J16" s="25"/>
      <c r="K16" s="25"/>
      <c r="L16" s="25"/>
    </row>
    <row r="17" spans="1:12" s="10" customFormat="1" ht="24">
      <c r="A17" s="12" t="s">
        <v>25</v>
      </c>
      <c r="B17" s="13" t="s">
        <v>109</v>
      </c>
      <c r="C17" s="20"/>
      <c r="D17" s="16"/>
      <c r="E17" s="25"/>
      <c r="F17" s="25"/>
      <c r="G17" s="25"/>
      <c r="H17" s="25"/>
      <c r="I17" s="25"/>
      <c r="J17" s="25"/>
      <c r="K17" s="25"/>
      <c r="L17" s="25"/>
    </row>
    <row r="18" spans="1:12" s="10" customFormat="1" ht="48">
      <c r="A18" s="12" t="s">
        <v>38</v>
      </c>
      <c r="B18" s="13" t="s">
        <v>84</v>
      </c>
      <c r="C18" s="20" t="s">
        <v>106</v>
      </c>
      <c r="D18" s="16"/>
      <c r="E18" s="25"/>
      <c r="F18" s="25"/>
      <c r="G18" s="25"/>
      <c r="H18" s="25"/>
      <c r="I18" s="25"/>
      <c r="J18" s="25"/>
      <c r="K18" s="25"/>
      <c r="L18" s="25"/>
    </row>
    <row r="19" spans="1:12" s="10" customFormat="1" ht="24">
      <c r="A19" s="12" t="s">
        <v>26</v>
      </c>
      <c r="B19" s="13" t="s">
        <v>74</v>
      </c>
      <c r="C19" s="20">
        <v>1</v>
      </c>
      <c r="D19" s="16"/>
      <c r="E19" s="25"/>
      <c r="F19" s="25"/>
      <c r="G19" s="25"/>
      <c r="H19" s="25"/>
      <c r="I19" s="25"/>
      <c r="J19" s="25"/>
      <c r="K19" s="25"/>
      <c r="L19" s="25"/>
    </row>
    <row r="20" spans="1:12" s="10" customFormat="1" ht="24">
      <c r="A20" s="12" t="s">
        <v>27</v>
      </c>
      <c r="B20" s="13" t="s">
        <v>75</v>
      </c>
      <c r="C20" s="20">
        <v>2</v>
      </c>
      <c r="D20" s="16"/>
      <c r="E20" s="25">
        <v>1</v>
      </c>
      <c r="F20" s="25">
        <v>1</v>
      </c>
      <c r="G20" s="25">
        <v>1</v>
      </c>
      <c r="H20" s="25">
        <v>1</v>
      </c>
      <c r="I20" s="25">
        <v>1</v>
      </c>
      <c r="J20" s="25">
        <v>1</v>
      </c>
      <c r="K20" s="25">
        <v>1</v>
      </c>
      <c r="L20" s="25">
        <v>1</v>
      </c>
    </row>
    <row r="21" spans="1:12" s="10" customFormat="1" ht="24">
      <c r="A21" s="12" t="s">
        <v>107</v>
      </c>
      <c r="B21" s="13" t="s">
        <v>76</v>
      </c>
      <c r="C21" s="20">
        <v>3</v>
      </c>
      <c r="D21" s="16"/>
      <c r="E21" s="25"/>
      <c r="F21" s="25"/>
      <c r="G21" s="25"/>
      <c r="H21" s="25"/>
      <c r="I21" s="25"/>
      <c r="J21" s="25"/>
      <c r="K21" s="25"/>
      <c r="L21" s="25"/>
    </row>
    <row r="22" spans="1:12" s="10" customFormat="1" ht="48">
      <c r="A22" s="12" t="s">
        <v>28</v>
      </c>
      <c r="B22" s="13" t="s">
        <v>77</v>
      </c>
      <c r="C22" s="20">
        <v>2</v>
      </c>
      <c r="D22" s="16"/>
      <c r="E22" s="25">
        <v>1</v>
      </c>
      <c r="F22" s="25">
        <v>1</v>
      </c>
      <c r="G22" s="25">
        <v>1</v>
      </c>
      <c r="H22" s="25">
        <v>1</v>
      </c>
      <c r="I22" s="25">
        <v>1</v>
      </c>
      <c r="J22" s="25">
        <v>1</v>
      </c>
      <c r="K22" s="25">
        <v>1</v>
      </c>
      <c r="L22" s="25">
        <v>1</v>
      </c>
    </row>
    <row r="23" spans="1:12" s="3" customFormat="1">
      <c r="A23" s="21" t="s">
        <v>40</v>
      </c>
      <c r="B23" s="21"/>
      <c r="C23" s="22"/>
      <c r="D23" s="23"/>
      <c r="E23" s="23"/>
      <c r="F23" s="23"/>
      <c r="G23" s="23"/>
      <c r="H23" s="23"/>
      <c r="I23" s="23"/>
      <c r="J23" s="23"/>
      <c r="K23" s="23"/>
      <c r="L23" s="23"/>
    </row>
    <row r="24" spans="1:12" s="10" customFormat="1" ht="36">
      <c r="A24" s="12" t="s">
        <v>21</v>
      </c>
      <c r="B24" s="13" t="s">
        <v>47</v>
      </c>
      <c r="C24" s="20" t="s">
        <v>11</v>
      </c>
      <c r="D24" s="16"/>
      <c r="E24" s="25"/>
      <c r="F24" s="25"/>
      <c r="G24" s="25"/>
      <c r="H24" s="25"/>
      <c r="I24" s="25"/>
      <c r="J24" s="25"/>
      <c r="K24" s="25"/>
      <c r="L24" s="25"/>
    </row>
    <row r="25" spans="1:12" s="10" customFormat="1" ht="24">
      <c r="A25" s="12" t="s">
        <v>29</v>
      </c>
      <c r="B25" s="13" t="s">
        <v>78</v>
      </c>
      <c r="C25" s="20" t="s">
        <v>34</v>
      </c>
      <c r="D25" s="16"/>
      <c r="E25" s="25"/>
      <c r="F25" s="25"/>
      <c r="G25" s="25"/>
      <c r="H25" s="25"/>
      <c r="I25" s="25"/>
      <c r="J25" s="25"/>
      <c r="K25" s="25"/>
      <c r="L25" s="25"/>
    </row>
    <row r="26" spans="1:12" s="10" customFormat="1" ht="24">
      <c r="A26" s="12" t="s">
        <v>30</v>
      </c>
      <c r="B26" s="13" t="s">
        <v>79</v>
      </c>
      <c r="C26" s="20" t="s">
        <v>34</v>
      </c>
      <c r="D26" s="16"/>
      <c r="E26" s="25"/>
      <c r="F26" s="25"/>
      <c r="G26" s="25"/>
      <c r="H26" s="25"/>
      <c r="I26" s="25"/>
      <c r="J26" s="25"/>
      <c r="K26" s="25"/>
      <c r="L26" s="25"/>
    </row>
    <row r="27" spans="1:12" s="10" customFormat="1" ht="36">
      <c r="A27" s="12" t="s">
        <v>33</v>
      </c>
      <c r="B27" s="13" t="s">
        <v>41</v>
      </c>
      <c r="C27" s="20"/>
      <c r="D27" s="16"/>
      <c r="E27" s="25"/>
      <c r="F27" s="25"/>
      <c r="G27" s="25"/>
      <c r="H27" s="25"/>
      <c r="I27" s="25"/>
      <c r="J27" s="25"/>
      <c r="K27" s="25"/>
      <c r="L27" s="25"/>
    </row>
    <row r="28" spans="1:12" s="10" customFormat="1" ht="24.6" customHeight="1">
      <c r="A28" s="12" t="s">
        <v>32</v>
      </c>
      <c r="B28" s="13" t="s">
        <v>80</v>
      </c>
      <c r="C28" s="20">
        <v>1</v>
      </c>
      <c r="D28" s="16"/>
      <c r="E28" s="25"/>
      <c r="F28" s="25"/>
      <c r="G28" s="25"/>
      <c r="H28" s="25"/>
      <c r="I28" s="25"/>
      <c r="J28" s="25"/>
      <c r="K28" s="25"/>
      <c r="L28" s="25"/>
    </row>
    <row r="29" spans="1:12" s="10" customFormat="1" ht="36">
      <c r="A29" s="12" t="s">
        <v>31</v>
      </c>
      <c r="B29" s="13" t="s">
        <v>103</v>
      </c>
      <c r="C29" s="20">
        <v>1</v>
      </c>
      <c r="D29" s="16"/>
      <c r="E29" s="25"/>
      <c r="F29" s="25"/>
      <c r="G29" s="25"/>
      <c r="H29" s="25"/>
      <c r="I29" s="25"/>
      <c r="J29" s="25"/>
      <c r="K29" s="25"/>
      <c r="L29" s="25"/>
    </row>
    <row r="30" spans="1:12" s="3" customFormat="1">
      <c r="A30" s="21" t="s">
        <v>63</v>
      </c>
      <c r="B30" s="21"/>
      <c r="C30" s="22"/>
      <c r="D30" s="23"/>
      <c r="E30" s="23"/>
      <c r="F30" s="23"/>
      <c r="G30" s="23"/>
      <c r="H30" s="23"/>
      <c r="I30" s="23"/>
      <c r="J30" s="23"/>
      <c r="K30" s="23"/>
      <c r="L30" s="23"/>
    </row>
    <row r="31" spans="1:12" s="10" customFormat="1" ht="36">
      <c r="A31" s="12" t="s">
        <v>102</v>
      </c>
      <c r="B31" s="13" t="s">
        <v>93</v>
      </c>
      <c r="C31" s="20" t="s">
        <v>64</v>
      </c>
      <c r="D31" s="16"/>
      <c r="E31" s="25" t="s">
        <v>134</v>
      </c>
      <c r="F31" s="25" t="s">
        <v>134</v>
      </c>
      <c r="G31" s="25" t="s">
        <v>134</v>
      </c>
      <c r="H31" s="25" t="s">
        <v>134</v>
      </c>
      <c r="I31" s="25" t="s">
        <v>134</v>
      </c>
      <c r="J31" s="25" t="s">
        <v>134</v>
      </c>
      <c r="K31" s="25" t="s">
        <v>134</v>
      </c>
      <c r="L31" s="25" t="s">
        <v>134</v>
      </c>
    </row>
    <row r="32" spans="1:12" s="10" customFormat="1" ht="36">
      <c r="A32" s="12" t="s">
        <v>67</v>
      </c>
      <c r="B32" s="13" t="s">
        <v>69</v>
      </c>
      <c r="C32" s="20" t="s">
        <v>68</v>
      </c>
      <c r="D32" s="16"/>
      <c r="E32" s="25"/>
      <c r="F32" s="25"/>
      <c r="G32" s="25"/>
      <c r="H32" s="25"/>
      <c r="I32" s="25"/>
      <c r="J32" s="25"/>
      <c r="K32" s="25"/>
      <c r="L32" s="25"/>
    </row>
    <row r="33" spans="1:12" s="10" customFormat="1" ht="36">
      <c r="A33" s="12" t="s">
        <v>89</v>
      </c>
      <c r="B33" s="13" t="s">
        <v>91</v>
      </c>
      <c r="C33" s="20" t="b">
        <v>0</v>
      </c>
      <c r="D33" s="16"/>
      <c r="E33" s="25" t="b">
        <v>1</v>
      </c>
      <c r="F33" s="25" t="b">
        <v>1</v>
      </c>
      <c r="G33" s="25" t="b">
        <v>1</v>
      </c>
      <c r="H33" s="25" t="b">
        <v>1</v>
      </c>
      <c r="I33" s="25" t="b">
        <v>1</v>
      </c>
      <c r="J33" s="25" t="b">
        <v>1</v>
      </c>
      <c r="K33" s="25" t="b">
        <v>1</v>
      </c>
      <c r="L33" s="25" t="b">
        <v>1</v>
      </c>
    </row>
    <row r="34" spans="1:12" s="3" customFormat="1">
      <c r="A34" s="21" t="s">
        <v>57</v>
      </c>
      <c r="B34" s="21"/>
      <c r="C34" s="22"/>
      <c r="D34" s="23"/>
      <c r="E34" s="23"/>
      <c r="F34" s="23"/>
      <c r="G34" s="23"/>
      <c r="H34" s="23"/>
      <c r="I34" s="23"/>
      <c r="J34" s="23"/>
      <c r="K34" s="23"/>
      <c r="L34" s="23"/>
    </row>
    <row r="35" spans="1:12" s="10" customFormat="1" ht="36">
      <c r="A35" s="12" t="s">
        <v>104</v>
      </c>
      <c r="B35" s="13" t="s">
        <v>93</v>
      </c>
      <c r="C35" s="20" t="s">
        <v>64</v>
      </c>
      <c r="D35" s="25" t="s">
        <v>143</v>
      </c>
      <c r="E35" s="16"/>
      <c r="F35" s="16"/>
      <c r="G35" s="16"/>
      <c r="H35" s="16"/>
      <c r="I35" s="16"/>
      <c r="J35" s="16"/>
      <c r="K35" s="16"/>
      <c r="L35" s="16"/>
    </row>
    <row r="36" spans="1:12" s="10" customFormat="1" ht="36">
      <c r="A36" s="12" t="s">
        <v>66</v>
      </c>
      <c r="B36" s="13" t="s">
        <v>42</v>
      </c>
      <c r="C36" s="20" t="s">
        <v>65</v>
      </c>
      <c r="D36" s="25"/>
      <c r="E36" s="16"/>
      <c r="F36" s="16"/>
      <c r="G36" s="16"/>
      <c r="H36" s="16"/>
      <c r="I36" s="16"/>
      <c r="J36" s="16"/>
      <c r="K36" s="16"/>
      <c r="L36" s="16"/>
    </row>
    <row r="37" spans="1:12" s="10" customFormat="1" ht="36">
      <c r="A37" s="12" t="s">
        <v>88</v>
      </c>
      <c r="B37" s="13" t="s">
        <v>90</v>
      </c>
      <c r="C37" s="20" t="b">
        <v>0</v>
      </c>
      <c r="D37" s="25" t="b">
        <v>1</v>
      </c>
      <c r="E37" s="16"/>
      <c r="F37" s="16"/>
      <c r="G37" s="16"/>
      <c r="H37" s="16"/>
      <c r="I37" s="16"/>
      <c r="J37" s="16"/>
      <c r="K37" s="16"/>
      <c r="L37" s="16"/>
    </row>
    <row r="38" spans="1:12" s="10" customFormat="1" ht="60">
      <c r="A38" s="12" t="s">
        <v>87</v>
      </c>
      <c r="B38" s="13" t="s">
        <v>83</v>
      </c>
      <c r="C38" s="20" t="b">
        <v>0</v>
      </c>
      <c r="D38" s="25"/>
      <c r="E38" s="16"/>
      <c r="F38" s="16"/>
      <c r="G38" s="16"/>
      <c r="H38" s="16"/>
      <c r="I38" s="16"/>
      <c r="J38" s="16"/>
      <c r="K38" s="16"/>
      <c r="L38" s="16"/>
    </row>
    <row r="39" spans="1:12" s="3" customFormat="1">
      <c r="A39" s="21" t="s">
        <v>60</v>
      </c>
      <c r="B39" s="21"/>
      <c r="C39" s="22"/>
      <c r="D39" s="23"/>
      <c r="E39" s="23"/>
      <c r="F39" s="23"/>
      <c r="G39" s="23"/>
      <c r="H39" s="23"/>
      <c r="I39" s="23"/>
      <c r="J39" s="23"/>
      <c r="K39" s="23"/>
      <c r="L39" s="23"/>
    </row>
    <row r="40" spans="1:12" s="10" customFormat="1" ht="24">
      <c r="A40" s="12" t="s">
        <v>61</v>
      </c>
      <c r="B40" s="13" t="s">
        <v>81</v>
      </c>
      <c r="C40" s="20" t="s">
        <v>46</v>
      </c>
      <c r="D40" s="25"/>
      <c r="E40" s="16"/>
      <c r="F40" s="16"/>
      <c r="G40" s="16"/>
      <c r="H40" s="16"/>
      <c r="I40" s="16"/>
      <c r="J40" s="16"/>
      <c r="K40" s="16"/>
      <c r="L40" s="16"/>
    </row>
    <row r="41" spans="1:12" s="10" customFormat="1" ht="24">
      <c r="A41" s="12" t="s">
        <v>62</v>
      </c>
      <c r="B41" s="13" t="s">
        <v>82</v>
      </c>
      <c r="C41" s="20" t="s">
        <v>138</v>
      </c>
      <c r="D41" s="25"/>
      <c r="E41" s="16"/>
      <c r="F41" s="16"/>
      <c r="G41" s="16"/>
      <c r="H41" s="16"/>
      <c r="I41" s="16"/>
      <c r="J41" s="16"/>
      <c r="K41" s="16"/>
      <c r="L41" s="16"/>
    </row>
    <row r="42" spans="1:12" s="10" customFormat="1" ht="60">
      <c r="A42" s="12" t="s">
        <v>98</v>
      </c>
      <c r="B42" s="13" t="s">
        <v>105</v>
      </c>
      <c r="C42" s="20"/>
      <c r="D42" s="25" t="s">
        <v>125</v>
      </c>
      <c r="E42" s="16"/>
      <c r="F42" s="16"/>
      <c r="G42" s="16"/>
      <c r="H42" s="16"/>
      <c r="I42" s="16"/>
      <c r="J42" s="16"/>
      <c r="K42" s="16"/>
      <c r="L42" s="16"/>
    </row>
    <row r="43" spans="1:12">
      <c r="B43" s="11"/>
      <c r="C43" s="18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AD8347-C5F3-4052-A9B5-2C63E5D30A48}">
  <sheetPr codeName="Sheet1">
    <tabColor theme="4"/>
  </sheetPr>
  <dimension ref="A1:C9"/>
  <sheetViews>
    <sheetView workbookViewId="0">
      <selection activeCell="B2" sqref="B2"/>
    </sheetView>
  </sheetViews>
  <sheetFormatPr defaultRowHeight="15"/>
  <cols>
    <col min="1" max="1" width="19" bestFit="1" customWidth="1"/>
    <col min="2" max="2" width="19" style="27" bestFit="1" customWidth="1"/>
    <col min="3" max="3" width="19" bestFit="1" customWidth="1"/>
    <col min="4" max="4" width="20.5703125" bestFit="1" customWidth="1"/>
    <col min="5" max="5" width="30" bestFit="1" customWidth="1"/>
    <col min="6" max="6" width="27.42578125" bestFit="1" customWidth="1"/>
    <col min="7" max="7" width="27" bestFit="1" customWidth="1"/>
    <col min="8" max="8" width="10.7109375" bestFit="1" customWidth="1"/>
    <col min="9" max="9" width="14.140625" bestFit="1" customWidth="1"/>
    <col min="10" max="10" width="12.42578125" bestFit="1" customWidth="1"/>
  </cols>
  <sheetData>
    <row r="1" spans="1:3" ht="15.75" thickBot="1">
      <c r="A1" s="29" t="s">
        <v>124</v>
      </c>
      <c r="B1" s="30" t="s">
        <v>115</v>
      </c>
      <c r="C1" s="30" t="s">
        <v>114</v>
      </c>
    </row>
    <row r="2" spans="1:3" ht="15.75" thickBot="1">
      <c r="A2" s="29" t="s">
        <v>112</v>
      </c>
      <c r="B2" s="30">
        <f ca="1">$B$4-$B$3</f>
        <v>44519</v>
      </c>
    </row>
    <row r="3" spans="1:3" ht="15.75" thickBot="1">
      <c r="A3" s="29" t="s">
        <v>111</v>
      </c>
      <c r="B3" s="31">
        <v>61</v>
      </c>
    </row>
    <row r="4" spans="1:3" ht="15.75" thickBot="1">
      <c r="A4" s="29" t="s">
        <v>113</v>
      </c>
      <c r="B4" s="30">
        <f ca="1">TODAY()</f>
        <v>44580</v>
      </c>
    </row>
    <row r="6" spans="1:3" s="37" customFormat="1">
      <c r="A6" s="33" t="str">
        <f t="array" aca="1" ref="A6:C8" ca="1">_xll.DC_COMPARTMENTMEASURESET("APIS LUCROSA","aifmdleverage",InputPwCLeverageALU!$B$2,InputPwCLeverageALU!$B$4)</f>
        <v>Date</v>
      </c>
      <c r="B6" s="33" t="str">
        <f ca="1"/>
        <v>Gross leverage</v>
      </c>
      <c r="C6" s="34" t="str">
        <f ca="1"/>
        <v>Net leverage</v>
      </c>
    </row>
    <row r="7" spans="1:3" s="38" customFormat="1">
      <c r="A7" s="35">
        <f ca="1"/>
        <v>44530</v>
      </c>
      <c r="B7" s="36">
        <f ca="1"/>
        <v>0.99657771651983651</v>
      </c>
      <c r="C7" s="36">
        <f ca="1"/>
        <v>1.0037285592344207</v>
      </c>
    </row>
    <row r="8" spans="1:3" s="38" customFormat="1">
      <c r="A8" s="35">
        <f ca="1"/>
        <v>44561</v>
      </c>
      <c r="B8" s="36">
        <f ca="1"/>
        <v>0.99803941948336639</v>
      </c>
      <c r="C8" s="36">
        <f ca="1"/>
        <v>1.00411162851834</v>
      </c>
    </row>
    <row r="9" spans="1:3" s="38" customFormat="1">
      <c r="A9" s="35"/>
      <c r="B9" s="36"/>
      <c r="C9" s="36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538CE-6DC1-4003-ADD9-D9919B6216FE}">
  <sheetPr codeName="Sheet8">
    <tabColor theme="5"/>
  </sheetPr>
  <dimension ref="A1:C8"/>
  <sheetViews>
    <sheetView workbookViewId="0">
      <selection sqref="A1:C8"/>
    </sheetView>
  </sheetViews>
  <sheetFormatPr defaultColWidth="9" defaultRowHeight="15"/>
  <cols>
    <col min="1" max="1" width="19" bestFit="1" customWidth="1"/>
    <col min="2" max="2" width="14.140625" bestFit="1" customWidth="1"/>
    <col min="3" max="3" width="12.42578125" bestFit="1" customWidth="1"/>
  </cols>
  <sheetData>
    <row r="1" spans="1:3" ht="15.75" thickBot="1">
      <c r="A1" s="29" t="s">
        <v>124</v>
      </c>
      <c r="B1" s="30" t="s">
        <v>115</v>
      </c>
      <c r="C1" s="30" t="s">
        <v>114</v>
      </c>
    </row>
    <row r="2" spans="1:3" ht="15.75" thickBot="1">
      <c r="A2" s="29" t="s">
        <v>112</v>
      </c>
      <c r="B2" s="30">
        <v>44343</v>
      </c>
    </row>
    <row r="3" spans="1:3" ht="15.75" thickBot="1">
      <c r="A3" s="29" t="s">
        <v>111</v>
      </c>
      <c r="B3" s="31">
        <v>61</v>
      </c>
    </row>
    <row r="4" spans="1:3" ht="15.75" thickBot="1">
      <c r="A4" s="29" t="s">
        <v>113</v>
      </c>
      <c r="B4" s="30">
        <v>44404</v>
      </c>
    </row>
    <row r="5" spans="1:3">
      <c r="B5" s="27"/>
    </row>
    <row r="6" spans="1:3">
      <c r="A6" s="33" t="s">
        <v>126</v>
      </c>
      <c r="B6" s="33" t="s">
        <v>127</v>
      </c>
      <c r="C6" s="34" t="s">
        <v>128</v>
      </c>
    </row>
    <row r="7" spans="1:3">
      <c r="A7" s="35">
        <v>44347</v>
      </c>
      <c r="B7" s="36">
        <v>0.99211209920134924</v>
      </c>
      <c r="C7" s="36">
        <v>1.0096684761592045</v>
      </c>
    </row>
    <row r="8" spans="1:3">
      <c r="A8" s="35">
        <v>44377</v>
      </c>
      <c r="B8" s="36">
        <v>0.99333567688875013</v>
      </c>
      <c r="C8" s="36">
        <v>1.0038118825917721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F2F400-1544-4383-9883-A9214A07ED9B}">
  <sheetPr codeName="Sheet4">
    <tabColor theme="4"/>
  </sheetPr>
  <dimension ref="A1:C28"/>
  <sheetViews>
    <sheetView workbookViewId="0">
      <selection activeCell="B2" sqref="B2"/>
    </sheetView>
  </sheetViews>
  <sheetFormatPr defaultRowHeight="15"/>
  <cols>
    <col min="1" max="1" width="19" bestFit="1" customWidth="1"/>
    <col min="2" max="2" width="19" style="27" bestFit="1" customWidth="1"/>
    <col min="3" max="3" width="19" bestFit="1" customWidth="1"/>
    <col min="4" max="4" width="20.5703125" bestFit="1" customWidth="1"/>
    <col min="5" max="5" width="30" bestFit="1" customWidth="1"/>
    <col min="6" max="6" width="27.42578125" bestFit="1" customWidth="1"/>
    <col min="7" max="7" width="27" bestFit="1" customWidth="1"/>
    <col min="8" max="8" width="10.7109375" bestFit="1" customWidth="1"/>
    <col min="9" max="9" width="14.140625" bestFit="1" customWidth="1"/>
    <col min="10" max="10" width="12.42578125" bestFit="1" customWidth="1"/>
  </cols>
  <sheetData>
    <row r="1" spans="1:3" ht="15.75" thickBot="1">
      <c r="A1" s="29" t="s">
        <v>124</v>
      </c>
      <c r="B1" s="32" t="s">
        <v>123</v>
      </c>
      <c r="C1" s="32" t="s">
        <v>122</v>
      </c>
    </row>
    <row r="2" spans="1:3" ht="15.75" thickBot="1">
      <c r="A2" s="29" t="s">
        <v>112</v>
      </c>
      <c r="B2" s="30">
        <f ca="1">$B$4-$B$3</f>
        <v>44549</v>
      </c>
    </row>
    <row r="3" spans="1:3" ht="15.75" thickBot="1">
      <c r="A3" s="29" t="s">
        <v>111</v>
      </c>
      <c r="B3" s="31">
        <v>31</v>
      </c>
    </row>
    <row r="4" spans="1:3" ht="15.75" thickBot="1">
      <c r="A4" s="29" t="s">
        <v>113</v>
      </c>
      <c r="B4" s="30">
        <f ca="1">TODAY()</f>
        <v>44580</v>
      </c>
    </row>
    <row r="6" spans="1:3">
      <c r="A6" s="33" t="str">
        <f t="array" aca="1" ref="A6:C26" ca="1">_xll.DC_COMPARTMENTMEASURESET("REVO","aifmdleverage",InputPwCLeverageREV!$B$2,)</f>
        <v>Date</v>
      </c>
      <c r="B6" s="33" t="str">
        <f ca="1"/>
        <v>Gross leverage</v>
      </c>
      <c r="C6" s="33" t="str">
        <f ca="1"/>
        <v>Net leverage</v>
      </c>
    </row>
    <row r="7" spans="1:3">
      <c r="A7" s="35">
        <f ca="1"/>
        <v>44550</v>
      </c>
      <c r="B7" s="36">
        <f ca="1"/>
        <v>2.9652143268756452</v>
      </c>
      <c r="C7" s="36">
        <f ca="1"/>
        <v>2.5235171397102842</v>
      </c>
    </row>
    <row r="8" spans="1:3">
      <c r="A8" s="35">
        <f ca="1"/>
        <v>44551</v>
      </c>
      <c r="B8" s="36">
        <f ca="1"/>
        <v>2.9647265412287616</v>
      </c>
      <c r="C8" s="36">
        <f ca="1"/>
        <v>2.5261066936285048</v>
      </c>
    </row>
    <row r="9" spans="1:3">
      <c r="A9" s="35">
        <f ca="1"/>
        <v>44552</v>
      </c>
      <c r="B9" s="36">
        <f ca="1"/>
        <v>2.9643810957252068</v>
      </c>
      <c r="C9" s="36">
        <f ca="1"/>
        <v>2.5293415382924613</v>
      </c>
    </row>
    <row r="10" spans="1:3">
      <c r="A10" s="35">
        <f ca="1"/>
        <v>44553</v>
      </c>
      <c r="B10" s="36">
        <f ca="1"/>
        <v>2.963074691302825</v>
      </c>
      <c r="C10" s="36">
        <f ca="1"/>
        <v>2.5256108461417588</v>
      </c>
    </row>
    <row r="11" spans="1:3">
      <c r="A11" s="35">
        <f ca="1"/>
        <v>44557</v>
      </c>
      <c r="B11" s="36">
        <f ca="1"/>
        <v>2.9558201157770112</v>
      </c>
      <c r="C11" s="36">
        <f ca="1"/>
        <v>2.520167534114846</v>
      </c>
    </row>
    <row r="12" spans="1:3">
      <c r="A12" s="35">
        <f ca="1"/>
        <v>44558</v>
      </c>
      <c r="B12" s="36">
        <f ca="1"/>
        <v>2.9620692739443579</v>
      </c>
      <c r="C12" s="36">
        <f ca="1"/>
        <v>2.521785531054423</v>
      </c>
    </row>
    <row r="13" spans="1:3">
      <c r="A13" s="35">
        <f ca="1"/>
        <v>44559</v>
      </c>
      <c r="B13" s="36">
        <f ca="1"/>
        <v>2.5828201111124525</v>
      </c>
      <c r="C13" s="36">
        <f ca="1"/>
        <v>2.5183880812924349</v>
      </c>
    </row>
    <row r="14" spans="1:3">
      <c r="A14" s="35">
        <f ca="1"/>
        <v>44560</v>
      </c>
      <c r="B14" s="36">
        <f ca="1"/>
        <v>2.5899498569738832</v>
      </c>
      <c r="C14" s="36">
        <f ca="1"/>
        <v>2.5272384517651902</v>
      </c>
    </row>
    <row r="15" spans="1:3">
      <c r="A15" s="35">
        <f ca="1"/>
        <v>44561</v>
      </c>
      <c r="B15" s="36">
        <f ca="1"/>
        <v>2.5861116278702312</v>
      </c>
      <c r="C15" s="36">
        <f ca="1"/>
        <v>2.5244575048159095</v>
      </c>
    </row>
    <row r="16" spans="1:3">
      <c r="A16" s="35">
        <f ca="1"/>
        <v>44564</v>
      </c>
      <c r="B16" s="36">
        <f ca="1"/>
        <v>2.6110154495673661</v>
      </c>
      <c r="C16" s="36">
        <f ca="1"/>
        <v>2.5472202124707777</v>
      </c>
    </row>
    <row r="17" spans="1:3">
      <c r="A17" s="35">
        <f ca="1"/>
        <v>44565</v>
      </c>
      <c r="B17" s="36">
        <f ca="1"/>
        <v>2.7154918407729052</v>
      </c>
      <c r="C17" s="36">
        <f ca="1"/>
        <v>2.663502687971862</v>
      </c>
    </row>
    <row r="18" spans="1:3">
      <c r="A18" s="35">
        <f ca="1"/>
        <v>44566</v>
      </c>
      <c r="B18" s="36">
        <f ca="1"/>
        <v>2.7438982981836793</v>
      </c>
      <c r="C18" s="36">
        <f ca="1"/>
        <v>2.6840510722037019</v>
      </c>
    </row>
    <row r="19" spans="1:3">
      <c r="A19" s="35">
        <f ca="1"/>
        <v>44567</v>
      </c>
      <c r="B19" s="36">
        <f ca="1"/>
        <v>2.7594813617044585</v>
      </c>
      <c r="C19" s="36">
        <f ca="1"/>
        <v>2.7026932732600111</v>
      </c>
    </row>
    <row r="20" spans="1:3">
      <c r="A20" s="35">
        <f ca="1"/>
        <v>44568</v>
      </c>
      <c r="B20" s="36">
        <f ca="1"/>
        <v>2.7698239057114962</v>
      </c>
      <c r="C20" s="36">
        <f ca="1"/>
        <v>2.714091939799844</v>
      </c>
    </row>
    <row r="21" spans="1:3">
      <c r="A21" s="35">
        <f ca="1"/>
        <v>44571</v>
      </c>
      <c r="B21" s="36">
        <f ca="1"/>
        <v>2.737906903073243</v>
      </c>
      <c r="C21" s="36">
        <f ca="1"/>
        <v>2.6854816237291645</v>
      </c>
    </row>
    <row r="22" spans="1:3">
      <c r="A22" s="35">
        <f ca="1"/>
        <v>44572</v>
      </c>
      <c r="B22" s="36">
        <f ca="1"/>
        <v>2.7295765105250149</v>
      </c>
      <c r="C22" s="36">
        <f ca="1"/>
        <v>2.6841685963188375</v>
      </c>
    </row>
    <row r="23" spans="1:3">
      <c r="A23" s="35">
        <f ca="1"/>
        <v>44573</v>
      </c>
      <c r="B23" s="36">
        <f ca="1"/>
        <v>2.7026948291869775</v>
      </c>
      <c r="C23" s="36">
        <f ca="1"/>
        <v>2.6570745949234809</v>
      </c>
    </row>
    <row r="24" spans="1:3">
      <c r="A24" s="35">
        <f ca="1"/>
        <v>44574</v>
      </c>
      <c r="B24" s="36">
        <f ca="1"/>
        <v>2.7140703545642983</v>
      </c>
      <c r="C24" s="36">
        <f ca="1"/>
        <v>2.6616837842012302</v>
      </c>
    </row>
    <row r="25" spans="1:3">
      <c r="A25" s="35">
        <f ca="1"/>
        <v>44575</v>
      </c>
      <c r="B25" s="36">
        <f ca="1"/>
        <v>2.7423269610392973</v>
      </c>
      <c r="C25" s="36">
        <f ca="1"/>
        <v>2.69141511350101</v>
      </c>
    </row>
    <row r="26" spans="1:3">
      <c r="A26" s="35">
        <f ca="1"/>
        <v>44578</v>
      </c>
      <c r="B26" s="36">
        <f ca="1"/>
        <v>2.7549236636818524</v>
      </c>
      <c r="C26" s="36">
        <f ca="1"/>
        <v>2.7037077899427442</v>
      </c>
    </row>
    <row r="27" spans="1:3">
      <c r="A27" s="35"/>
      <c r="B27" s="36"/>
      <c r="C27" s="36"/>
    </row>
    <row r="28" spans="1:3">
      <c r="A28" s="35"/>
      <c r="B28" s="36"/>
      <c r="C28" s="36"/>
    </row>
  </sheetData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FB821-93A2-4C84-9DD9-58090A9FFF66}">
  <sheetPr codeName="Sheet9">
    <tabColor theme="5"/>
  </sheetPr>
  <dimension ref="A1:C27"/>
  <sheetViews>
    <sheetView workbookViewId="0">
      <selection sqref="A1:C27"/>
    </sheetView>
  </sheetViews>
  <sheetFormatPr defaultRowHeight="15"/>
  <cols>
    <col min="1" max="1" width="19" bestFit="1" customWidth="1"/>
    <col min="2" max="2" width="14.140625" bestFit="1" customWidth="1"/>
    <col min="3" max="3" width="12.42578125" bestFit="1" customWidth="1"/>
  </cols>
  <sheetData>
    <row r="1" spans="1:3" ht="15.75" thickBot="1">
      <c r="A1" s="29" t="s">
        <v>124</v>
      </c>
      <c r="B1" s="32" t="s">
        <v>123</v>
      </c>
      <c r="C1" s="32" t="s">
        <v>122</v>
      </c>
    </row>
    <row r="2" spans="1:3" ht="15.75" thickBot="1">
      <c r="A2" s="29" t="s">
        <v>112</v>
      </c>
      <c r="B2" s="30">
        <v>44373</v>
      </c>
    </row>
    <row r="3" spans="1:3" ht="15.75" thickBot="1">
      <c r="A3" s="29" t="s">
        <v>111</v>
      </c>
      <c r="B3" s="31">
        <v>31</v>
      </c>
    </row>
    <row r="4" spans="1:3" ht="15.75" thickBot="1">
      <c r="A4" s="29" t="s">
        <v>113</v>
      </c>
      <c r="B4" s="30">
        <v>44404</v>
      </c>
    </row>
    <row r="5" spans="1:3">
      <c r="B5" s="27"/>
    </row>
    <row r="6" spans="1:3">
      <c r="A6" s="33" t="s">
        <v>126</v>
      </c>
      <c r="B6" s="33" t="s">
        <v>127</v>
      </c>
      <c r="C6" s="33" t="s">
        <v>128</v>
      </c>
    </row>
    <row r="7" spans="1:3">
      <c r="A7" s="35">
        <v>44375</v>
      </c>
      <c r="B7" s="36">
        <v>2.5030024024977506</v>
      </c>
      <c r="C7" s="36">
        <v>2.4538122143781296</v>
      </c>
    </row>
    <row r="8" spans="1:3">
      <c r="A8" s="35">
        <v>44376</v>
      </c>
      <c r="B8" s="36">
        <v>2.5036309787317825</v>
      </c>
      <c r="C8" s="36">
        <v>2.4529493986740936</v>
      </c>
    </row>
    <row r="9" spans="1:3">
      <c r="A9" s="35">
        <v>44377</v>
      </c>
      <c r="B9" s="36">
        <v>2.5088514325734175</v>
      </c>
      <c r="C9" s="36">
        <v>2.4588002146255215</v>
      </c>
    </row>
    <row r="10" spans="1:3">
      <c r="A10" s="35">
        <v>44378</v>
      </c>
      <c r="B10" s="36">
        <v>2.5070325210511557</v>
      </c>
      <c r="C10" s="36">
        <v>2.4560964359230617</v>
      </c>
    </row>
    <row r="11" spans="1:3">
      <c r="A11" s="35">
        <v>44379</v>
      </c>
      <c r="B11" s="36">
        <v>2.5059455141382299</v>
      </c>
      <c r="C11" s="36">
        <v>2.4558501121636396</v>
      </c>
    </row>
    <row r="12" spans="1:3">
      <c r="A12" s="35">
        <v>44382</v>
      </c>
      <c r="B12" s="36">
        <v>2.5058178256407739</v>
      </c>
      <c r="C12" s="36">
        <v>2.451715513218498</v>
      </c>
    </row>
    <row r="13" spans="1:3">
      <c r="A13" s="35">
        <v>44383</v>
      </c>
      <c r="B13" s="36">
        <v>2.5201588403210846</v>
      </c>
      <c r="C13" s="36">
        <v>2.4674363863486333</v>
      </c>
    </row>
    <row r="14" spans="1:3">
      <c r="A14" s="35">
        <v>44384</v>
      </c>
      <c r="B14" s="36">
        <v>2.5202487786942678</v>
      </c>
      <c r="C14" s="36">
        <v>2.4676463018938941</v>
      </c>
    </row>
    <row r="15" spans="1:3">
      <c r="A15" s="35">
        <v>44385</v>
      </c>
      <c r="B15" s="36">
        <v>2.5283436931049565</v>
      </c>
      <c r="C15" s="36">
        <v>2.4730220636246627</v>
      </c>
    </row>
    <row r="16" spans="1:3">
      <c r="A16" s="35">
        <v>44386</v>
      </c>
      <c r="B16" s="36">
        <v>2.5118825617344687</v>
      </c>
      <c r="C16" s="36">
        <v>2.4597168305234067</v>
      </c>
    </row>
    <row r="17" spans="1:3">
      <c r="A17" s="35">
        <v>44389</v>
      </c>
      <c r="B17" s="36">
        <v>2.5317055265128214</v>
      </c>
      <c r="C17" s="36">
        <v>2.476523672380103</v>
      </c>
    </row>
    <row r="18" spans="1:3">
      <c r="A18" s="35">
        <v>44390</v>
      </c>
      <c r="B18" s="36">
        <v>2.5441967928947125</v>
      </c>
      <c r="C18" s="36">
        <v>2.4859126597827115</v>
      </c>
    </row>
    <row r="19" spans="1:3">
      <c r="A19" s="35">
        <v>44391</v>
      </c>
      <c r="B19" s="36">
        <v>2.5367025253482214</v>
      </c>
      <c r="C19" s="36">
        <v>2.4823646011808616</v>
      </c>
    </row>
    <row r="20" spans="1:3">
      <c r="A20" s="35">
        <v>44392</v>
      </c>
      <c r="B20" s="36">
        <v>1.5299735841862434</v>
      </c>
      <c r="C20" s="36">
        <v>2.458416717291203</v>
      </c>
    </row>
    <row r="21" spans="1:3">
      <c r="A21" s="35">
        <v>44393</v>
      </c>
      <c r="B21" s="36">
        <v>2.5456726570490362</v>
      </c>
      <c r="C21" s="36">
        <v>2.487748641140143</v>
      </c>
    </row>
    <row r="22" spans="1:3">
      <c r="A22" s="35">
        <v>44396</v>
      </c>
      <c r="B22" s="36">
        <v>2.5293533573600961</v>
      </c>
      <c r="C22" s="36">
        <v>2.4718696191267431</v>
      </c>
    </row>
    <row r="23" spans="1:3">
      <c r="A23" s="35">
        <v>44397</v>
      </c>
      <c r="B23" s="36">
        <v>2.5802923441884027</v>
      </c>
      <c r="C23" s="36">
        <v>2.5289194052175801</v>
      </c>
    </row>
    <row r="24" spans="1:3">
      <c r="A24" s="35">
        <v>44398</v>
      </c>
      <c r="B24" s="36">
        <v>1.5881709025367554</v>
      </c>
      <c r="C24" s="36">
        <v>2.5128899533011846</v>
      </c>
    </row>
    <row r="25" spans="1:3">
      <c r="A25" s="35">
        <v>44399</v>
      </c>
      <c r="B25" s="36">
        <v>2.5889710519295757</v>
      </c>
      <c r="C25" s="36">
        <v>2.5307003837989428</v>
      </c>
    </row>
    <row r="26" spans="1:3">
      <c r="A26" s="35">
        <v>44400</v>
      </c>
      <c r="B26" s="36">
        <v>2.5998588944414727</v>
      </c>
      <c r="C26" s="36">
        <v>2.5413220955244289</v>
      </c>
    </row>
    <row r="27" spans="1:3">
      <c r="A27" s="35">
        <v>44403</v>
      </c>
      <c r="B27" s="36">
        <v>2.6274508016723361</v>
      </c>
      <c r="C27" s="36">
        <v>2.5660086496028529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4FF9-7A06-466F-893F-27D300887D19}">
  <sheetPr codeName="Sheet5">
    <tabColor theme="4"/>
  </sheetPr>
  <dimension ref="A1:C32"/>
  <sheetViews>
    <sheetView workbookViewId="0">
      <selection activeCell="E21" sqref="E21"/>
    </sheetView>
  </sheetViews>
  <sheetFormatPr defaultRowHeight="15"/>
  <cols>
    <col min="1" max="1" width="19" bestFit="1" customWidth="1"/>
    <col min="2" max="2" width="19" style="27" bestFit="1" customWidth="1"/>
    <col min="3" max="3" width="27.42578125" bestFit="1" customWidth="1"/>
    <col min="4" max="4" width="20.5703125" bestFit="1" customWidth="1"/>
    <col min="5" max="5" width="30" bestFit="1" customWidth="1"/>
    <col min="6" max="6" width="27.42578125" bestFit="1" customWidth="1"/>
    <col min="7" max="7" width="27" bestFit="1" customWidth="1"/>
    <col min="8" max="8" width="10.7109375" bestFit="1" customWidth="1"/>
    <col min="9" max="9" width="14.140625" bestFit="1" customWidth="1"/>
    <col min="10" max="10" width="12.42578125" bestFit="1" customWidth="1"/>
  </cols>
  <sheetData>
    <row r="1" spans="1:3" ht="15.75" thickBot="1">
      <c r="A1" s="29" t="s">
        <v>124</v>
      </c>
      <c r="B1" s="32" t="s">
        <v>117</v>
      </c>
      <c r="C1" s="32" t="s">
        <v>116</v>
      </c>
    </row>
    <row r="2" spans="1:3" ht="15.75" thickBot="1">
      <c r="A2" s="29" t="s">
        <v>112</v>
      </c>
      <c r="B2" s="30">
        <f ca="1">$B$4-$B$3</f>
        <v>44549</v>
      </c>
    </row>
    <row r="3" spans="1:3" ht="15.75" thickBot="1">
      <c r="A3" s="29" t="s">
        <v>111</v>
      </c>
      <c r="B3" s="31">
        <v>31</v>
      </c>
    </row>
    <row r="4" spans="1:3" ht="15.75" thickBot="1">
      <c r="A4" s="29" t="s">
        <v>113</v>
      </c>
      <c r="B4" s="30">
        <f ca="1">TODAY()</f>
        <v>44580</v>
      </c>
    </row>
    <row r="6" spans="1:3">
      <c r="A6" s="33" t="str">
        <f t="array" aca="1" ref="A6:C25" ca="1">_xll.DC_COMPARTMENTMEASURESET("COMMODITIES &amp; GOLD EQUITIES","aifmdleverage",InputPwCLeverageCOM!$B$2,)</f>
        <v>Date</v>
      </c>
      <c r="B6" s="33" t="str">
        <f ca="1"/>
        <v>Gross leverage</v>
      </c>
      <c r="C6" s="34" t="str">
        <f ca="1"/>
        <v>Net leverage</v>
      </c>
    </row>
    <row r="7" spans="1:3" s="39" customFormat="1">
      <c r="A7" s="35">
        <f ca="1"/>
        <v>44550</v>
      </c>
      <c r="B7" s="36">
        <f ca="1"/>
        <v>1.3693560639440538</v>
      </c>
      <c r="C7" s="36">
        <f ca="1"/>
        <v>1.5087550492230992</v>
      </c>
    </row>
    <row r="8" spans="1:3" s="39" customFormat="1">
      <c r="A8" s="35">
        <f ca="1"/>
        <v>44551</v>
      </c>
      <c r="B8" s="36">
        <f ca="1"/>
        <v>1.3771644702180723</v>
      </c>
      <c r="C8" s="36">
        <f ca="1"/>
        <v>1.5137967106531225</v>
      </c>
    </row>
    <row r="9" spans="1:3" s="39" customFormat="1">
      <c r="A9" s="35">
        <f ca="1"/>
        <v>44552</v>
      </c>
      <c r="B9" s="36">
        <f ca="1"/>
        <v>1.3711629491253827</v>
      </c>
      <c r="C9" s="36">
        <f ca="1"/>
        <v>1.5068193381266479</v>
      </c>
    </row>
    <row r="10" spans="1:3" s="39" customFormat="1">
      <c r="A10" s="35">
        <f ca="1"/>
        <v>44553</v>
      </c>
      <c r="B10" s="36">
        <f ca="1"/>
        <v>1.3645479992805132</v>
      </c>
      <c r="C10" s="36">
        <f ca="1"/>
        <v>1.4982636417717186</v>
      </c>
    </row>
    <row r="11" spans="1:3" s="39" customFormat="1">
      <c r="A11" s="35">
        <f ca="1"/>
        <v>44557</v>
      </c>
      <c r="B11" s="36">
        <f ca="1"/>
        <v>1.3666362944621209</v>
      </c>
      <c r="C11" s="36">
        <f ca="1"/>
        <v>1.5007703006459596</v>
      </c>
    </row>
    <row r="12" spans="1:3" s="39" customFormat="1">
      <c r="A12" s="35">
        <f ca="1"/>
        <v>44558</v>
      </c>
      <c r="B12" s="36">
        <f ca="1"/>
        <v>1.3662806011517978</v>
      </c>
      <c r="C12" s="36">
        <f ca="1"/>
        <v>1.5007354650880771</v>
      </c>
    </row>
    <row r="13" spans="1:3" s="39" customFormat="1">
      <c r="A13" s="35">
        <f ca="1"/>
        <v>44559</v>
      </c>
      <c r="B13" s="36">
        <f ca="1"/>
        <v>1.3808951198140669</v>
      </c>
      <c r="C13" s="36">
        <f ca="1"/>
        <v>1.5173429233899802</v>
      </c>
    </row>
    <row r="14" spans="1:3" s="39" customFormat="1">
      <c r="A14" s="35">
        <f ca="1"/>
        <v>44560</v>
      </c>
      <c r="B14" s="36">
        <f ca="1"/>
        <v>1.3701589803340699</v>
      </c>
      <c r="C14" s="36">
        <f ca="1"/>
        <v>1.5041584886019224</v>
      </c>
    </row>
    <row r="15" spans="1:3" s="39" customFormat="1">
      <c r="A15" s="35">
        <f ca="1"/>
        <v>44561</v>
      </c>
      <c r="B15" s="36">
        <f ca="1"/>
        <v>1.3633921860139075</v>
      </c>
      <c r="C15" s="36">
        <f ca="1"/>
        <v>1.496347170893519</v>
      </c>
    </row>
    <row r="16" spans="1:3" s="39" customFormat="1">
      <c r="A16" s="35">
        <f ca="1"/>
        <v>44564</v>
      </c>
      <c r="B16" s="36">
        <f ca="1"/>
        <v>1.378700184039974</v>
      </c>
      <c r="C16" s="36">
        <f ca="1"/>
        <v>1.5133794661100251</v>
      </c>
    </row>
    <row r="17" spans="1:3" s="39" customFormat="1">
      <c r="A17" s="35">
        <f ca="1"/>
        <v>44565</v>
      </c>
      <c r="B17" s="36">
        <f ca="1"/>
        <v>1.3588859773827788</v>
      </c>
      <c r="C17" s="36">
        <f ca="1"/>
        <v>1.4761843206164214</v>
      </c>
    </row>
    <row r="18" spans="1:3" s="39" customFormat="1">
      <c r="A18" s="35">
        <f ca="1"/>
        <v>44566</v>
      </c>
      <c r="B18" s="36">
        <f ca="1"/>
        <v>1.3711309439810344</v>
      </c>
      <c r="C18" s="36">
        <f ca="1"/>
        <v>1.4910598879412564</v>
      </c>
    </row>
    <row r="19" spans="1:3" s="39" customFormat="1">
      <c r="A19" s="35">
        <f ca="1"/>
        <v>44567</v>
      </c>
      <c r="B19" s="36">
        <f ca="1"/>
        <v>1.3961864557693406</v>
      </c>
      <c r="C19" s="36">
        <f ca="1"/>
        <v>1.5224735515094752</v>
      </c>
    </row>
    <row r="20" spans="1:3" s="39" customFormat="1">
      <c r="A20" s="35">
        <f ca="1"/>
        <v>44568</v>
      </c>
      <c r="B20" s="36">
        <f ca="1"/>
        <v>1.3676359434669707</v>
      </c>
      <c r="C20" s="36">
        <f ca="1"/>
        <v>1.4940790224721432</v>
      </c>
    </row>
    <row r="21" spans="1:3" s="39" customFormat="1">
      <c r="A21" s="35">
        <f ca="1"/>
        <v>44571</v>
      </c>
      <c r="B21" s="36">
        <f ca="1"/>
        <v>1.3429044779772121</v>
      </c>
      <c r="C21" s="36">
        <f ca="1"/>
        <v>1.4607057738813805</v>
      </c>
    </row>
    <row r="22" spans="1:3" s="39" customFormat="1">
      <c r="A22" s="35">
        <f ca="1"/>
        <v>44572</v>
      </c>
      <c r="B22" s="36">
        <f ca="1"/>
        <v>1.3159687905453428</v>
      </c>
      <c r="C22" s="36">
        <f ca="1"/>
        <v>1.4302917940825961</v>
      </c>
    </row>
    <row r="23" spans="1:3" s="39" customFormat="1">
      <c r="A23" s="35">
        <f ca="1"/>
        <v>44573</v>
      </c>
      <c r="B23" s="36">
        <f ca="1"/>
        <v>1.306670445986104</v>
      </c>
      <c r="C23" s="36">
        <f ca="1"/>
        <v>1.4187837246841095</v>
      </c>
    </row>
    <row r="24" spans="1:3" s="39" customFormat="1">
      <c r="A24" s="35">
        <f ca="1"/>
        <v>44574</v>
      </c>
      <c r="B24" s="36">
        <f ca="1"/>
        <v>1.3225641450265624</v>
      </c>
      <c r="C24" s="36">
        <f ca="1"/>
        <v>1.4368360329320382</v>
      </c>
    </row>
    <row r="25" spans="1:3" s="39" customFormat="1">
      <c r="A25" s="35">
        <f ca="1"/>
        <v>44575</v>
      </c>
      <c r="B25" s="36">
        <f ca="1"/>
        <v>1.323819452707002</v>
      </c>
      <c r="C25" s="36">
        <f ca="1"/>
        <v>1.4398651765905339</v>
      </c>
    </row>
    <row r="26" spans="1:3" s="39" customFormat="1">
      <c r="A26" s="35"/>
      <c r="B26" s="36"/>
      <c r="C26" s="36"/>
    </row>
    <row r="27" spans="1:3" s="39" customFormat="1">
      <c r="A27" s="35"/>
      <c r="B27" s="36"/>
      <c r="C27" s="36"/>
    </row>
    <row r="28" spans="1:3" s="39" customFormat="1">
      <c r="A28" s="35"/>
      <c r="B28" s="36"/>
      <c r="C28" s="36"/>
    </row>
    <row r="29" spans="1:3" s="39" customFormat="1">
      <c r="A29" s="35"/>
      <c r="B29" s="36"/>
      <c r="C29" s="36"/>
    </row>
    <row r="30" spans="1:3" s="39" customFormat="1">
      <c r="A30" s="35"/>
      <c r="B30" s="36"/>
      <c r="C30" s="36"/>
    </row>
    <row r="31" spans="1:3" s="39" customFormat="1">
      <c r="A31" s="35"/>
      <c r="B31" s="36"/>
      <c r="C31" s="36"/>
    </row>
    <row r="32" spans="1:3" s="39" customFormat="1">
      <c r="A32" s="35"/>
      <c r="B32" s="36"/>
      <c r="C32" s="36"/>
    </row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122FB-5276-4EFE-8224-5318FB3D670F}">
  <sheetPr codeName="Sheet10">
    <tabColor theme="5"/>
  </sheetPr>
  <dimension ref="A1:C27"/>
  <sheetViews>
    <sheetView workbookViewId="0">
      <selection sqref="A1:C27"/>
    </sheetView>
  </sheetViews>
  <sheetFormatPr defaultRowHeight="15"/>
  <cols>
    <col min="1" max="1" width="19" bestFit="1" customWidth="1"/>
    <col min="2" max="2" width="14.140625" bestFit="1" customWidth="1"/>
    <col min="3" max="3" width="27.7109375" bestFit="1" customWidth="1"/>
  </cols>
  <sheetData>
    <row r="1" spans="1:3" ht="15.75" thickBot="1">
      <c r="A1" s="29" t="s">
        <v>124</v>
      </c>
      <c r="B1" s="32" t="s">
        <v>117</v>
      </c>
      <c r="C1" s="32" t="s">
        <v>116</v>
      </c>
    </row>
    <row r="2" spans="1:3" ht="15.75" thickBot="1">
      <c r="A2" s="29" t="s">
        <v>112</v>
      </c>
      <c r="B2" s="30">
        <v>44373</v>
      </c>
    </row>
    <row r="3" spans="1:3" ht="15.75" thickBot="1">
      <c r="A3" s="29" t="s">
        <v>111</v>
      </c>
      <c r="B3" s="31">
        <v>31</v>
      </c>
    </row>
    <row r="4" spans="1:3" ht="15.75" thickBot="1">
      <c r="A4" s="29" t="s">
        <v>113</v>
      </c>
      <c r="B4" s="30">
        <v>44404</v>
      </c>
    </row>
    <row r="5" spans="1:3">
      <c r="B5" s="27"/>
    </row>
    <row r="6" spans="1:3">
      <c r="A6" s="33" t="s">
        <v>126</v>
      </c>
      <c r="B6" s="33" t="s">
        <v>127</v>
      </c>
      <c r="C6" s="34" t="s">
        <v>128</v>
      </c>
    </row>
    <row r="7" spans="1:3">
      <c r="A7" s="35">
        <v>44375</v>
      </c>
      <c r="B7" s="36">
        <v>1.3536814855583508</v>
      </c>
      <c r="C7" s="36">
        <v>1.4584420545565671</v>
      </c>
    </row>
    <row r="8" spans="1:3">
      <c r="A8" s="35">
        <v>44376</v>
      </c>
      <c r="B8" s="36">
        <v>1.3601523186204345</v>
      </c>
      <c r="C8" s="36">
        <v>1.4667691689046287</v>
      </c>
    </row>
    <row r="9" spans="1:3">
      <c r="A9" s="35">
        <v>44377</v>
      </c>
      <c r="B9" s="36">
        <v>1.3619392659839782</v>
      </c>
      <c r="C9" s="36">
        <v>1.4667336016693404</v>
      </c>
    </row>
    <row r="10" spans="1:3">
      <c r="A10" s="35">
        <v>44378</v>
      </c>
      <c r="B10" s="36">
        <v>1.3398724900149919</v>
      </c>
      <c r="C10" s="36">
        <v>1.4444562804301271</v>
      </c>
    </row>
    <row r="11" spans="1:3">
      <c r="A11" s="35">
        <v>44379</v>
      </c>
      <c r="B11" s="36">
        <v>1.3333605521325012</v>
      </c>
      <c r="C11" s="36">
        <v>1.4381274757324212</v>
      </c>
    </row>
    <row r="12" spans="1:3">
      <c r="A12" s="35">
        <v>44382</v>
      </c>
      <c r="B12" s="36">
        <v>1.3327104761596509</v>
      </c>
      <c r="C12" s="36">
        <v>1.4373153575537134</v>
      </c>
    </row>
    <row r="13" spans="1:3">
      <c r="A13" s="35">
        <v>44383</v>
      </c>
      <c r="B13" s="36">
        <v>1.3321691282110546</v>
      </c>
      <c r="C13" s="36">
        <v>1.437157803098134</v>
      </c>
    </row>
    <row r="14" spans="1:3">
      <c r="A14" s="35">
        <v>44384</v>
      </c>
      <c r="B14" s="36">
        <v>1.3323314345889894</v>
      </c>
      <c r="C14" s="36">
        <v>1.437151097423659</v>
      </c>
    </row>
    <row r="15" spans="1:3">
      <c r="A15" s="35">
        <v>44385</v>
      </c>
      <c r="B15" s="36">
        <v>1.3482439746515567</v>
      </c>
      <c r="C15" s="36">
        <v>1.4578049047495443</v>
      </c>
    </row>
    <row r="16" spans="1:3">
      <c r="A16" s="35">
        <v>44386</v>
      </c>
      <c r="B16" s="36">
        <v>1.337816671417327</v>
      </c>
      <c r="C16" s="36">
        <v>1.4446124550447845</v>
      </c>
    </row>
    <row r="17" spans="1:3">
      <c r="A17" s="35">
        <v>44389</v>
      </c>
      <c r="B17" s="36">
        <v>1.3466473749107184</v>
      </c>
      <c r="C17" s="36">
        <v>1.4554521845634318</v>
      </c>
    </row>
    <row r="18" spans="1:3">
      <c r="A18" s="35">
        <v>44390</v>
      </c>
      <c r="B18" s="36">
        <v>1.3405035093589777</v>
      </c>
      <c r="C18" s="36">
        <v>1.4476717362214744</v>
      </c>
    </row>
    <row r="19" spans="1:3">
      <c r="A19" s="35">
        <v>44391</v>
      </c>
      <c r="B19" s="36">
        <v>1.3304325444313509</v>
      </c>
      <c r="C19" s="36">
        <v>1.4319148896599285</v>
      </c>
    </row>
    <row r="20" spans="1:3">
      <c r="A20" s="35">
        <v>44392</v>
      </c>
      <c r="B20" s="36">
        <v>1.3265912582335599</v>
      </c>
      <c r="C20" s="36">
        <v>1.4273364207200574</v>
      </c>
    </row>
    <row r="21" spans="1:3">
      <c r="A21" s="35">
        <v>44393</v>
      </c>
      <c r="B21" s="36">
        <v>1.3421295424749893</v>
      </c>
      <c r="C21" s="36">
        <v>1.4474267038949096</v>
      </c>
    </row>
    <row r="22" spans="1:3">
      <c r="A22" s="35">
        <v>44396</v>
      </c>
      <c r="B22" s="36">
        <v>1.3833605367744148</v>
      </c>
      <c r="C22" s="36">
        <v>1.4929555599886521</v>
      </c>
    </row>
    <row r="23" spans="1:3">
      <c r="A23" s="35">
        <v>44397</v>
      </c>
      <c r="B23" s="36">
        <v>1.370791814254964</v>
      </c>
      <c r="C23" s="36">
        <v>1.4800765210089222</v>
      </c>
    </row>
    <row r="24" spans="1:3">
      <c r="A24" s="35">
        <v>44398</v>
      </c>
      <c r="B24" s="36">
        <v>1.3624684049551736</v>
      </c>
      <c r="C24" s="36">
        <v>1.4692321832321018</v>
      </c>
    </row>
    <row r="25" spans="1:3">
      <c r="A25" s="35">
        <v>44399</v>
      </c>
      <c r="B25" s="36">
        <v>1.3665415528304954</v>
      </c>
      <c r="C25" s="36">
        <v>1.4746695418167672</v>
      </c>
    </row>
    <row r="26" spans="1:3">
      <c r="A26" s="35">
        <v>44400</v>
      </c>
      <c r="B26" s="36">
        <v>1.3725124750195428</v>
      </c>
      <c r="C26" s="36">
        <v>1.4823354016215471</v>
      </c>
    </row>
    <row r="27" spans="1:3">
      <c r="A27" s="35">
        <v>44403</v>
      </c>
      <c r="B27" s="36">
        <v>1.3670393945253501</v>
      </c>
      <c r="C27" s="36">
        <v>1.4756143964963722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086FAD-43EE-4ABF-883C-AC23E5DFE799}">
  <sheetPr codeName="Sheet6">
    <tabColor theme="4"/>
  </sheetPr>
  <dimension ref="A1:C12"/>
  <sheetViews>
    <sheetView workbookViewId="0">
      <selection activeCell="A6" sqref="A6"/>
    </sheetView>
  </sheetViews>
  <sheetFormatPr defaultRowHeight="15"/>
  <cols>
    <col min="1" max="1" width="19" bestFit="1" customWidth="1"/>
    <col min="2" max="2" width="19" style="27" bestFit="1" customWidth="1"/>
    <col min="3" max="3" width="27.42578125" bestFit="1" customWidth="1"/>
    <col min="4" max="4" width="20.5703125" bestFit="1" customWidth="1"/>
    <col min="5" max="5" width="30" bestFit="1" customWidth="1"/>
    <col min="6" max="6" width="27.42578125" bestFit="1" customWidth="1"/>
    <col min="7" max="7" width="27" bestFit="1" customWidth="1"/>
    <col min="8" max="8" width="10.7109375" bestFit="1" customWidth="1"/>
    <col min="9" max="9" width="14.140625" bestFit="1" customWidth="1"/>
    <col min="10" max="10" width="12.42578125" bestFit="1" customWidth="1"/>
  </cols>
  <sheetData>
    <row r="1" spans="1:3" ht="15.75" thickBot="1">
      <c r="A1" s="29" t="s">
        <v>124</v>
      </c>
      <c r="B1" s="32" t="s">
        <v>119</v>
      </c>
      <c r="C1" s="32" t="s">
        <v>118</v>
      </c>
    </row>
    <row r="2" spans="1:3" ht="15.75" thickBot="1">
      <c r="A2" s="29" t="s">
        <v>112</v>
      </c>
      <c r="B2" s="30">
        <f ca="1">$B$4-$B$3</f>
        <v>44549</v>
      </c>
    </row>
    <row r="3" spans="1:3" ht="15.75" thickBot="1">
      <c r="A3" s="29" t="s">
        <v>111</v>
      </c>
      <c r="B3" s="31">
        <v>31</v>
      </c>
    </row>
    <row r="4" spans="1:3" ht="15.75" thickBot="1">
      <c r="A4" s="29" t="s">
        <v>113</v>
      </c>
      <c r="B4" s="30">
        <f ca="1">TODAY()</f>
        <v>44580</v>
      </c>
    </row>
    <row r="6" spans="1:3">
      <c r="A6" s="33" t="str">
        <f t="array" aca="1" ref="A6:C9" ca="1">_xll.DC_COMPARTMENTMEASURESET("LOW RISK","aifmdleverage",InputPwCLeverageLWR!$B$2,)</f>
        <v>Date</v>
      </c>
      <c r="B6" s="33" t="str">
        <f ca="1"/>
        <v>Gross leverage</v>
      </c>
      <c r="C6" s="34" t="str">
        <f ca="1"/>
        <v>Net leverage</v>
      </c>
    </row>
    <row r="7" spans="1:3" s="39" customFormat="1">
      <c r="A7" s="35">
        <f ca="1"/>
        <v>44553</v>
      </c>
      <c r="B7" s="36">
        <f ca="1"/>
        <v>0.92297884266910646</v>
      </c>
      <c r="C7" s="36">
        <f ca="1"/>
        <v>1.0068171628498206</v>
      </c>
    </row>
    <row r="8" spans="1:3" s="39" customFormat="1">
      <c r="A8" s="35">
        <f ca="1"/>
        <v>44561</v>
      </c>
      <c r="B8" s="36">
        <f ca="1"/>
        <v>0.9241898103606746</v>
      </c>
      <c r="C8" s="36">
        <f ca="1"/>
        <v>1.0077601613615887</v>
      </c>
    </row>
    <row r="9" spans="1:3" s="39" customFormat="1">
      <c r="A9" s="35">
        <f ca="1"/>
        <v>44568</v>
      </c>
      <c r="B9" s="36">
        <f ca="1"/>
        <v>0.92252687364221675</v>
      </c>
      <c r="C9" s="36">
        <f ca="1"/>
        <v>1.001447586960369</v>
      </c>
    </row>
    <row r="10" spans="1:3" s="39" customFormat="1">
      <c r="A10" s="35"/>
      <c r="B10" s="36"/>
      <c r="C10" s="36"/>
    </row>
    <row r="11" spans="1:3" s="39" customFormat="1">
      <c r="A11" s="35"/>
      <c r="B11" s="36"/>
      <c r="C11" s="36"/>
    </row>
    <row r="12" spans="1:3" s="39" customFormat="1">
      <c r="A12" s="35"/>
      <c r="B12" s="36"/>
      <c r="C12" s="36"/>
    </row>
  </sheetData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0EFAF-92F1-4273-97D4-B3E0C0509059}">
  <sheetPr codeName="Sheet11">
    <tabColor theme="5"/>
  </sheetPr>
  <dimension ref="A1:C10"/>
  <sheetViews>
    <sheetView workbookViewId="0">
      <selection sqref="A1:C10"/>
    </sheetView>
  </sheetViews>
  <sheetFormatPr defaultRowHeight="15"/>
  <cols>
    <col min="1" max="1" width="19" bestFit="1" customWidth="1"/>
    <col min="2" max="2" width="14.140625" bestFit="1" customWidth="1"/>
    <col min="3" max="3" width="12.42578125" bestFit="1" customWidth="1"/>
  </cols>
  <sheetData>
    <row r="1" spans="1:3" ht="15.75" thickBot="1">
      <c r="A1" s="29" t="s">
        <v>124</v>
      </c>
      <c r="B1" s="32" t="s">
        <v>119</v>
      </c>
      <c r="C1" s="32" t="s">
        <v>118</v>
      </c>
    </row>
    <row r="2" spans="1:3" ht="15.75" thickBot="1">
      <c r="A2" s="29" t="s">
        <v>112</v>
      </c>
      <c r="B2" s="30">
        <v>44373</v>
      </c>
    </row>
    <row r="3" spans="1:3" ht="15.75" thickBot="1">
      <c r="A3" s="29" t="s">
        <v>111</v>
      </c>
      <c r="B3" s="31">
        <v>31</v>
      </c>
    </row>
    <row r="4" spans="1:3" ht="15.75" thickBot="1">
      <c r="A4" s="29" t="s">
        <v>113</v>
      </c>
      <c r="B4" s="30">
        <v>44404</v>
      </c>
    </row>
    <row r="5" spans="1:3">
      <c r="B5" s="27"/>
    </row>
    <row r="6" spans="1:3">
      <c r="A6" s="33" t="s">
        <v>126</v>
      </c>
      <c r="B6" s="33" t="s">
        <v>127</v>
      </c>
      <c r="C6" s="34" t="s">
        <v>128</v>
      </c>
    </row>
    <row r="7" spans="1:3">
      <c r="A7" s="35">
        <v>44377</v>
      </c>
      <c r="B7" s="36">
        <v>0.99994211045697634</v>
      </c>
      <c r="C7" s="36">
        <v>1.0044116383774613</v>
      </c>
    </row>
    <row r="8" spans="1:3">
      <c r="A8" s="35">
        <v>44379</v>
      </c>
      <c r="B8" s="36">
        <v>1.0001739659017994</v>
      </c>
      <c r="C8" s="36">
        <v>1.0045334570207323</v>
      </c>
    </row>
    <row r="9" spans="1:3">
      <c r="A9" s="35">
        <v>44386</v>
      </c>
      <c r="B9" s="36">
        <v>1.0007186439138607</v>
      </c>
      <c r="C9" s="36">
        <v>1.0010000772177974</v>
      </c>
    </row>
    <row r="10" spans="1:3">
      <c r="A10" s="35">
        <v>44393</v>
      </c>
      <c r="B10" s="36">
        <v>1.0012515738286167</v>
      </c>
      <c r="C10" s="36">
        <v>1.0015333611960366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ABF33-E16D-4DBF-8BBF-75275593007B}">
  <sheetPr codeName="Sheet7">
    <tabColor theme="4"/>
  </sheetPr>
  <dimension ref="A1:C9"/>
  <sheetViews>
    <sheetView workbookViewId="0">
      <selection activeCell="A7" sqref="A7"/>
    </sheetView>
  </sheetViews>
  <sheetFormatPr defaultRowHeight="15"/>
  <cols>
    <col min="1" max="1" width="19" bestFit="1" customWidth="1"/>
    <col min="2" max="2" width="19" style="27" bestFit="1" customWidth="1"/>
    <col min="3" max="3" width="27.42578125" bestFit="1" customWidth="1"/>
    <col min="4" max="4" width="20.5703125" bestFit="1" customWidth="1"/>
    <col min="5" max="5" width="30" bestFit="1" customWidth="1"/>
    <col min="6" max="6" width="27.42578125" bestFit="1" customWidth="1"/>
    <col min="7" max="7" width="27" bestFit="1" customWidth="1"/>
    <col min="8" max="8" width="10.7109375" bestFit="1" customWidth="1"/>
    <col min="9" max="9" width="14.140625" bestFit="1" customWidth="1"/>
    <col min="10" max="10" width="12.42578125" bestFit="1" customWidth="1"/>
  </cols>
  <sheetData>
    <row r="1" spans="1:3" ht="15.75" thickBot="1">
      <c r="A1" s="29" t="s">
        <v>124</v>
      </c>
      <c r="B1" s="32" t="s">
        <v>121</v>
      </c>
      <c r="C1" s="32" t="s">
        <v>120</v>
      </c>
    </row>
    <row r="2" spans="1:3" ht="15.75" thickBot="1">
      <c r="A2" s="29" t="s">
        <v>112</v>
      </c>
      <c r="B2" s="30">
        <f ca="1">$B$4-$B$3</f>
        <v>44519</v>
      </c>
    </row>
    <row r="3" spans="1:3" ht="15.75" thickBot="1">
      <c r="A3" s="29" t="s">
        <v>111</v>
      </c>
      <c r="B3" s="31">
        <v>61</v>
      </c>
    </row>
    <row r="4" spans="1:3" ht="15.75" thickBot="1">
      <c r="A4" s="29" t="s">
        <v>113</v>
      </c>
      <c r="B4" s="30">
        <f ca="1">TODAY()</f>
        <v>44580</v>
      </c>
    </row>
    <row r="6" spans="1:3">
      <c r="A6" s="33" t="str">
        <f t="array" aca="1" ref="A6:C8" ca="1">_xll.DC_COMPARTMENTMEASURESET("REAL VALUE GROWTH FUND","aifmdleverage",InputPwCLeverageRVG!$B$2,)</f>
        <v>Date</v>
      </c>
      <c r="B6" s="33" t="str">
        <f ca="1"/>
        <v>Gross leverage</v>
      </c>
      <c r="C6" s="34" t="str">
        <f ca="1"/>
        <v>Net leverage</v>
      </c>
    </row>
    <row r="7" spans="1:3">
      <c r="A7" s="35">
        <f ca="1"/>
        <v>44530</v>
      </c>
      <c r="B7" s="36">
        <f ca="1"/>
        <v>0.96224472031084174</v>
      </c>
      <c r="C7" s="36">
        <f ca="1"/>
        <v>1.0020674274211614</v>
      </c>
    </row>
    <row r="8" spans="1:3">
      <c r="A8" s="35">
        <f ca="1"/>
        <v>44561</v>
      </c>
      <c r="B8" s="36">
        <f ca="1"/>
        <v>0.95474997430320163</v>
      </c>
      <c r="C8" s="36">
        <f ca="1"/>
        <v>1.0025999494767992</v>
      </c>
    </row>
    <row r="9" spans="1:3">
      <c r="A9" s="35"/>
      <c r="B9" s="36"/>
      <c r="C9" s="36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2A497F-B3D7-4974-BDCE-B8D9C2D02320}">
  <sheetPr codeName="Sheet12">
    <tabColor theme="5"/>
  </sheetPr>
  <dimension ref="A1:C8"/>
  <sheetViews>
    <sheetView workbookViewId="0">
      <selection sqref="A1:C8"/>
    </sheetView>
  </sheetViews>
  <sheetFormatPr defaultRowHeight="15"/>
  <cols>
    <col min="1" max="1" width="19" bestFit="1" customWidth="1"/>
    <col min="2" max="2" width="14.140625" bestFit="1" customWidth="1"/>
    <col min="3" max="3" width="22.85546875" bestFit="1" customWidth="1"/>
  </cols>
  <sheetData>
    <row r="1" spans="1:3" ht="15.75" thickBot="1">
      <c r="A1" s="29" t="s">
        <v>124</v>
      </c>
      <c r="B1" s="32" t="s">
        <v>121</v>
      </c>
      <c r="C1" s="32" t="s">
        <v>120</v>
      </c>
    </row>
    <row r="2" spans="1:3" ht="15.75" thickBot="1">
      <c r="A2" s="29" t="s">
        <v>112</v>
      </c>
      <c r="B2" s="30">
        <v>44343</v>
      </c>
    </row>
    <row r="3" spans="1:3" ht="15.75" thickBot="1">
      <c r="A3" s="29" t="s">
        <v>111</v>
      </c>
      <c r="B3" s="31">
        <v>61</v>
      </c>
    </row>
    <row r="4" spans="1:3" ht="15.75" thickBot="1">
      <c r="A4" s="29" t="s">
        <v>113</v>
      </c>
      <c r="B4" s="30">
        <v>44404</v>
      </c>
    </row>
    <row r="5" spans="1:3">
      <c r="B5" s="27"/>
    </row>
    <row r="6" spans="1:3">
      <c r="A6" s="33" t="s">
        <v>126</v>
      </c>
      <c r="B6" s="33" t="s">
        <v>127</v>
      </c>
      <c r="C6" s="34" t="s">
        <v>128</v>
      </c>
    </row>
    <row r="7" spans="1:3">
      <c r="A7" s="35">
        <v>44347</v>
      </c>
      <c r="B7" s="36">
        <v>0.8737551964787037</v>
      </c>
      <c r="C7" s="36">
        <v>1.0017576191127506</v>
      </c>
    </row>
    <row r="8" spans="1:3">
      <c r="A8" s="35">
        <v>44377</v>
      </c>
      <c r="B8" s="36">
        <v>0.88660556672923529</v>
      </c>
      <c r="C8" s="36">
        <v>1.0023822858459974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ECDF4-14F8-4EA7-9519-B5AB824631E2}">
  <sheetPr codeName="Sheet13">
    <tabColor theme="4"/>
  </sheetPr>
  <dimension ref="A1:C27"/>
  <sheetViews>
    <sheetView workbookViewId="0">
      <selection activeCell="B2" sqref="B2"/>
    </sheetView>
  </sheetViews>
  <sheetFormatPr defaultRowHeight="15"/>
  <cols>
    <col min="1" max="1" width="19" bestFit="1" customWidth="1"/>
    <col min="2" max="2" width="19" style="27" bestFit="1" customWidth="1"/>
    <col min="3" max="3" width="27.42578125" bestFit="1" customWidth="1"/>
    <col min="4" max="4" width="20.5703125" bestFit="1" customWidth="1"/>
    <col min="5" max="5" width="30" bestFit="1" customWidth="1"/>
    <col min="6" max="6" width="27.42578125" bestFit="1" customWidth="1"/>
    <col min="7" max="7" width="27" bestFit="1" customWidth="1"/>
    <col min="8" max="8" width="10.7109375" bestFit="1" customWidth="1"/>
    <col min="9" max="9" width="14.140625" bestFit="1" customWidth="1"/>
    <col min="10" max="10" width="12.42578125" bestFit="1" customWidth="1"/>
  </cols>
  <sheetData>
    <row r="1" spans="1:3" ht="15.75" thickBot="1">
      <c r="A1" s="29" t="s">
        <v>124</v>
      </c>
      <c r="B1" s="32" t="s">
        <v>135</v>
      </c>
      <c r="C1" s="32" t="s">
        <v>136</v>
      </c>
    </row>
    <row r="2" spans="1:3" ht="15.75" thickBot="1">
      <c r="A2" s="29" t="s">
        <v>112</v>
      </c>
      <c r="B2" s="30">
        <f ca="1">$B$4-$B$3</f>
        <v>44549</v>
      </c>
    </row>
    <row r="3" spans="1:3" ht="15.75" thickBot="1">
      <c r="A3" s="29" t="s">
        <v>111</v>
      </c>
      <c r="B3" s="31">
        <v>31</v>
      </c>
    </row>
    <row r="4" spans="1:3" ht="15.75" thickBot="1">
      <c r="A4" s="29" t="s">
        <v>113</v>
      </c>
      <c r="B4" s="30">
        <f ca="1">TODAY()</f>
        <v>44580</v>
      </c>
    </row>
    <row r="6" spans="1:3">
      <c r="A6" s="33" t="str">
        <f t="array" aca="1" ref="A6:C10" ca="1">_xll.DC_COMPARTMENTMEASURESET("iW Partners - DIVERSIFIED ALPHA","aifmdleverage",InputPwCLeverageDCM!$B$2,)</f>
        <v>Date</v>
      </c>
      <c r="B6" s="33" t="str">
        <f ca="1"/>
        <v>Gross leverage</v>
      </c>
      <c r="C6" s="34" t="str">
        <f ca="1"/>
        <v>Net leverage</v>
      </c>
    </row>
    <row r="7" spans="1:3">
      <c r="A7" s="35">
        <f ca="1"/>
        <v>44557</v>
      </c>
      <c r="B7" s="36">
        <f ca="1"/>
        <v>4.5153851031198009</v>
      </c>
      <c r="C7" s="36">
        <f ca="1"/>
        <v>4.5069334941162458</v>
      </c>
    </row>
    <row r="8" spans="1:3">
      <c r="A8" s="35">
        <f ca="1"/>
        <v>44561</v>
      </c>
      <c r="B8" s="36">
        <f ca="1"/>
        <v>4.7004665729440589</v>
      </c>
      <c r="C8" s="36">
        <f ca="1"/>
        <v>4.545564122211549</v>
      </c>
    </row>
    <row r="9" spans="1:3">
      <c r="A9" s="35">
        <f ca="1"/>
        <v>44568</v>
      </c>
      <c r="B9" s="36">
        <f ca="1"/>
        <v>4.5816876290814026</v>
      </c>
      <c r="C9" s="36">
        <f ca="1"/>
        <v>4.3309856980461889</v>
      </c>
    </row>
    <row r="10" spans="1:3">
      <c r="A10" s="35">
        <f ca="1"/>
        <v>44575</v>
      </c>
      <c r="B10" s="36">
        <f ca="1"/>
        <v>4.6494817762449214</v>
      </c>
      <c r="C10" s="36">
        <f ca="1"/>
        <v>4.1096093853261655</v>
      </c>
    </row>
    <row r="11" spans="1:3">
      <c r="A11" s="35"/>
      <c r="B11" s="36"/>
      <c r="C11" s="36"/>
    </row>
    <row r="12" spans="1:3">
      <c r="A12" s="35"/>
      <c r="B12" s="36"/>
      <c r="C12" s="36"/>
    </row>
    <row r="13" spans="1:3">
      <c r="A13" s="35"/>
      <c r="B13" s="36"/>
      <c r="C13" s="36"/>
    </row>
    <row r="14" spans="1:3">
      <c r="A14" s="35"/>
      <c r="B14" s="36"/>
      <c r="C14" s="36"/>
    </row>
    <row r="15" spans="1:3">
      <c r="A15" s="35"/>
      <c r="B15" s="36"/>
      <c r="C15" s="36"/>
    </row>
    <row r="16" spans="1:3">
      <c r="A16" s="35"/>
      <c r="B16" s="36"/>
      <c r="C16" s="36"/>
    </row>
    <row r="17" spans="1:3">
      <c r="A17" s="35"/>
      <c r="B17" s="36"/>
      <c r="C17" s="36"/>
    </row>
    <row r="18" spans="1:3">
      <c r="A18" s="35"/>
      <c r="B18" s="36"/>
      <c r="C18" s="36"/>
    </row>
    <row r="19" spans="1:3">
      <c r="A19" s="35"/>
      <c r="B19" s="36"/>
      <c r="C19" s="36"/>
    </row>
    <row r="20" spans="1:3">
      <c r="A20" s="35"/>
      <c r="B20" s="36"/>
      <c r="C20" s="36"/>
    </row>
    <row r="21" spans="1:3">
      <c r="A21" s="35"/>
      <c r="B21" s="36"/>
      <c r="C21" s="36"/>
    </row>
    <row r="22" spans="1:3">
      <c r="A22" s="35"/>
      <c r="B22" s="36"/>
      <c r="C22" s="36"/>
    </row>
    <row r="23" spans="1:3">
      <c r="A23" s="35"/>
      <c r="B23" s="36"/>
      <c r="C23" s="36"/>
    </row>
    <row r="24" spans="1:3">
      <c r="A24" s="35"/>
      <c r="B24" s="36"/>
      <c r="C24" s="36"/>
    </row>
    <row r="25" spans="1:3">
      <c r="A25" s="35"/>
      <c r="B25" s="36"/>
      <c r="C25" s="36"/>
    </row>
    <row r="26" spans="1:3">
      <c r="A26" s="35"/>
      <c r="B26" s="36"/>
      <c r="C26" s="36"/>
    </row>
    <row r="27" spans="1:3">
      <c r="A27" s="35"/>
      <c r="B27" s="36"/>
      <c r="C27" s="36"/>
    </row>
  </sheetData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39910-A073-4CF5-A6A3-99B70C690667}">
  <sheetPr codeName="Sheet14">
    <tabColor theme="5"/>
  </sheetPr>
  <dimension ref="A1:C11"/>
  <sheetViews>
    <sheetView workbookViewId="0">
      <selection sqref="A1:C11"/>
    </sheetView>
  </sheetViews>
  <sheetFormatPr defaultRowHeight="15"/>
  <cols>
    <col min="1" max="1" width="19" bestFit="1" customWidth="1"/>
    <col min="2" max="2" width="14.140625" bestFit="1" customWidth="1"/>
    <col min="3" max="3" width="16.42578125" bestFit="1" customWidth="1"/>
  </cols>
  <sheetData>
    <row r="1" spans="1:3" ht="15.75" thickBot="1">
      <c r="A1" s="29" t="s">
        <v>124</v>
      </c>
      <c r="B1" s="32" t="s">
        <v>139</v>
      </c>
      <c r="C1" s="32" t="s">
        <v>136</v>
      </c>
    </row>
    <row r="2" spans="1:3" ht="15.75" thickBot="1">
      <c r="A2" s="29" t="s">
        <v>112</v>
      </c>
      <c r="B2" s="30">
        <v>44373</v>
      </c>
    </row>
    <row r="3" spans="1:3" ht="15.75" thickBot="1">
      <c r="A3" s="29" t="s">
        <v>111</v>
      </c>
      <c r="B3" s="31">
        <v>31</v>
      </c>
    </row>
    <row r="4" spans="1:3" ht="15.75" thickBot="1">
      <c r="A4" s="29" t="s">
        <v>113</v>
      </c>
      <c r="B4" s="30">
        <v>44404</v>
      </c>
    </row>
    <row r="5" spans="1:3">
      <c r="B5" s="27"/>
    </row>
    <row r="6" spans="1:3">
      <c r="A6" s="33" t="s">
        <v>126</v>
      </c>
      <c r="B6" s="33" t="s">
        <v>127</v>
      </c>
      <c r="C6" s="34" t="s">
        <v>128</v>
      </c>
    </row>
    <row r="7" spans="1:3">
      <c r="A7" s="35">
        <v>44377</v>
      </c>
      <c r="B7" s="36">
        <v>6.6666519424484649</v>
      </c>
      <c r="C7" s="36">
        <v>6.1915452097511325</v>
      </c>
    </row>
    <row r="8" spans="1:3">
      <c r="A8" s="35">
        <v>44379</v>
      </c>
      <c r="B8" s="36">
        <v>7.0598532057265579</v>
      </c>
      <c r="C8" s="36">
        <v>6.158967340790662</v>
      </c>
    </row>
    <row r="9" spans="1:3">
      <c r="A9" s="35">
        <v>44386</v>
      </c>
      <c r="B9" s="36">
        <v>8.102639169262849</v>
      </c>
      <c r="C9" s="36">
        <v>6.5810777962654177</v>
      </c>
    </row>
    <row r="10" spans="1:3">
      <c r="A10" s="35">
        <v>44393</v>
      </c>
      <c r="B10" s="36">
        <v>8.9639781483658627</v>
      </c>
      <c r="C10" s="36">
        <v>6.9816801418005046</v>
      </c>
    </row>
    <row r="11" spans="1:3">
      <c r="A11" s="35">
        <v>44400</v>
      </c>
      <c r="B11" s="36">
        <v>10.230876332032127</v>
      </c>
      <c r="C11" s="36">
        <v>7.6326816441875422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2B7888-CB7A-4D5E-86C5-2345280EF124}">
  <sheetPr codeName="Sheet15">
    <tabColor theme="4"/>
  </sheetPr>
  <dimension ref="A1:C27"/>
  <sheetViews>
    <sheetView workbookViewId="0">
      <selection activeCell="A6" sqref="A6"/>
    </sheetView>
  </sheetViews>
  <sheetFormatPr defaultRowHeight="15"/>
  <cols>
    <col min="1" max="1" width="19" bestFit="1" customWidth="1"/>
    <col min="2" max="2" width="19" style="27" bestFit="1" customWidth="1"/>
    <col min="3" max="3" width="27.42578125" bestFit="1" customWidth="1"/>
    <col min="4" max="4" width="20.5703125" bestFit="1" customWidth="1"/>
    <col min="5" max="5" width="30" bestFit="1" customWidth="1"/>
    <col min="6" max="6" width="27.42578125" bestFit="1" customWidth="1"/>
    <col min="7" max="7" width="27" bestFit="1" customWidth="1"/>
    <col min="8" max="8" width="10.7109375" bestFit="1" customWidth="1"/>
    <col min="9" max="9" width="14.140625" bestFit="1" customWidth="1"/>
    <col min="10" max="10" width="12.42578125" bestFit="1" customWidth="1"/>
  </cols>
  <sheetData>
    <row r="1" spans="1:3" ht="15.75" thickBot="1">
      <c r="A1" s="29" t="s">
        <v>124</v>
      </c>
      <c r="B1" s="32" t="s">
        <v>139</v>
      </c>
      <c r="C1" s="32" t="s">
        <v>144</v>
      </c>
    </row>
    <row r="2" spans="1:3" ht="15.75" thickBot="1">
      <c r="A2" s="29" t="s">
        <v>112</v>
      </c>
      <c r="B2" s="30">
        <f ca="1">$B$4-$B$3</f>
        <v>44519</v>
      </c>
    </row>
    <row r="3" spans="1:3" ht="15.75" thickBot="1">
      <c r="A3" s="29" t="s">
        <v>111</v>
      </c>
      <c r="B3" s="31">
        <v>61</v>
      </c>
    </row>
    <row r="4" spans="1:3" ht="15.75" thickBot="1">
      <c r="A4" s="29" t="s">
        <v>113</v>
      </c>
      <c r="B4" s="30">
        <f ca="1">TODAY()</f>
        <v>44580</v>
      </c>
    </row>
    <row r="6" spans="1:3">
      <c r="A6" s="33" t="str">
        <f t="array" aca="1" ref="A6:C8" ca="1">_xll.DC_COMPARTMENTMEASURESET("iW - BALANCED","aifmdleverage",InputPwCLeverageNSBalanced!$B$2,)</f>
        <v>Date</v>
      </c>
      <c r="B6" s="33" t="str">
        <f ca="1"/>
        <v>Gross leverage</v>
      </c>
      <c r="C6" s="34" t="str">
        <f ca="1"/>
        <v>Net leverage</v>
      </c>
    </row>
    <row r="7" spans="1:3">
      <c r="A7" s="35">
        <f ca="1"/>
        <v>44530</v>
      </c>
      <c r="B7" s="36">
        <f ca="1"/>
        <v>0.96864957372733296</v>
      </c>
      <c r="C7" s="36">
        <f ca="1"/>
        <v>1.0009021651418231</v>
      </c>
    </row>
    <row r="8" spans="1:3">
      <c r="A8" s="35">
        <f ca="1"/>
        <v>44561</v>
      </c>
      <c r="B8" s="36">
        <f ca="1"/>
        <v>1.0109499333051959</v>
      </c>
      <c r="C8" s="36">
        <f ca="1"/>
        <v>1.0199063109318438</v>
      </c>
    </row>
    <row r="9" spans="1:3">
      <c r="A9" s="35"/>
      <c r="B9" s="36"/>
      <c r="C9" s="36"/>
    </row>
    <row r="10" spans="1:3">
      <c r="A10" s="35"/>
      <c r="B10" s="36"/>
      <c r="C10" s="36"/>
    </row>
    <row r="11" spans="1:3">
      <c r="A11" s="35"/>
      <c r="B11" s="36"/>
      <c r="C11" s="36"/>
    </row>
    <row r="12" spans="1:3">
      <c r="A12" s="35"/>
      <c r="B12" s="36"/>
      <c r="C12" s="36"/>
    </row>
    <row r="13" spans="1:3">
      <c r="A13" s="35"/>
      <c r="B13" s="36"/>
      <c r="C13" s="36"/>
    </row>
    <row r="14" spans="1:3">
      <c r="A14" s="35"/>
      <c r="B14" s="36"/>
      <c r="C14" s="36"/>
    </row>
    <row r="15" spans="1:3">
      <c r="A15" s="35"/>
      <c r="B15" s="36"/>
      <c r="C15" s="36"/>
    </row>
    <row r="16" spans="1:3">
      <c r="A16" s="35"/>
      <c r="B16" s="36"/>
      <c r="C16" s="36"/>
    </row>
    <row r="17" spans="1:3">
      <c r="A17" s="35"/>
      <c r="B17" s="36"/>
      <c r="C17" s="36"/>
    </row>
    <row r="18" spans="1:3">
      <c r="A18" s="35"/>
      <c r="B18" s="36"/>
      <c r="C18" s="36"/>
    </row>
    <row r="19" spans="1:3">
      <c r="A19" s="35"/>
      <c r="B19" s="36"/>
      <c r="C19" s="36"/>
    </row>
    <row r="20" spans="1:3">
      <c r="A20" s="35"/>
      <c r="B20" s="36"/>
      <c r="C20" s="36"/>
    </row>
    <row r="21" spans="1:3">
      <c r="A21" s="35"/>
      <c r="B21" s="36"/>
      <c r="C21" s="36"/>
    </row>
    <row r="22" spans="1:3">
      <c r="A22" s="35"/>
      <c r="B22" s="36"/>
      <c r="C22" s="36"/>
    </row>
    <row r="23" spans="1:3">
      <c r="A23" s="35"/>
      <c r="B23" s="36"/>
      <c r="C23" s="36"/>
    </row>
    <row r="24" spans="1:3">
      <c r="A24" s="35"/>
      <c r="B24" s="36"/>
      <c r="C24" s="36"/>
    </row>
    <row r="25" spans="1:3">
      <c r="A25" s="35"/>
      <c r="B25" s="36"/>
      <c r="C25" s="36"/>
    </row>
    <row r="26" spans="1:3">
      <c r="A26" s="35"/>
      <c r="B26" s="36"/>
      <c r="C26" s="36"/>
    </row>
    <row r="27" spans="1:3">
      <c r="A27" s="35"/>
      <c r="B27" s="36"/>
      <c r="C27" s="36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9D196-33F4-4477-A62A-C1DB3004A89E}">
  <sheetPr codeName="Sheet17">
    <tabColor theme="5"/>
  </sheetPr>
  <dimension ref="A1:C7"/>
  <sheetViews>
    <sheetView workbookViewId="0">
      <selection activeCell="C2" sqref="C2"/>
    </sheetView>
  </sheetViews>
  <sheetFormatPr defaultRowHeight="15"/>
  <cols>
    <col min="1" max="1" width="10.7109375" bestFit="1" customWidth="1"/>
    <col min="2" max="2" width="14.140625" bestFit="1" customWidth="1"/>
    <col min="3" max="3" width="12.42578125" bestFit="1" customWidth="1"/>
  </cols>
  <sheetData>
    <row r="1" spans="1:3" ht="15.75" thickBot="1">
      <c r="A1" s="29" t="s">
        <v>124</v>
      </c>
      <c r="B1" s="32" t="s">
        <v>139</v>
      </c>
      <c r="C1" s="32" t="s">
        <v>144</v>
      </c>
    </row>
    <row r="2" spans="1:3" ht="15.75" thickBot="1">
      <c r="A2" s="29" t="s">
        <v>112</v>
      </c>
      <c r="B2" s="30">
        <v>44343</v>
      </c>
    </row>
    <row r="3" spans="1:3" ht="15.75" thickBot="1">
      <c r="A3" s="29" t="s">
        <v>111</v>
      </c>
      <c r="B3" s="31">
        <v>61</v>
      </c>
    </row>
    <row r="4" spans="1:3" ht="15.75" thickBot="1">
      <c r="A4" s="29" t="s">
        <v>113</v>
      </c>
      <c r="B4" s="30">
        <v>44404</v>
      </c>
    </row>
    <row r="5" spans="1:3">
      <c r="B5" s="27"/>
    </row>
    <row r="6" spans="1:3">
      <c r="A6" s="33" t="s">
        <v>126</v>
      </c>
      <c r="B6" s="33" t="s">
        <v>127</v>
      </c>
      <c r="C6" s="34" t="s">
        <v>128</v>
      </c>
    </row>
    <row r="7" spans="1:3">
      <c r="A7" s="35">
        <v>44377</v>
      </c>
      <c r="B7" s="36">
        <v>1.1306596703624476</v>
      </c>
      <c r="C7" s="36">
        <v>1.2590537077626593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C5C0B-9E0F-4C8F-A766-C516D6A634B2}">
  <sheetPr codeName="Sheet16">
    <tabColor theme="4"/>
  </sheetPr>
  <dimension ref="A1:C27"/>
  <sheetViews>
    <sheetView workbookViewId="0">
      <selection activeCell="D20" sqref="D20"/>
    </sheetView>
  </sheetViews>
  <sheetFormatPr defaultRowHeight="15"/>
  <cols>
    <col min="1" max="1" width="19" bestFit="1" customWidth="1"/>
    <col min="2" max="2" width="19" style="27" bestFit="1" customWidth="1"/>
    <col min="3" max="3" width="27.42578125" bestFit="1" customWidth="1"/>
    <col min="4" max="4" width="20.5703125" bestFit="1" customWidth="1"/>
    <col min="5" max="5" width="30" bestFit="1" customWidth="1"/>
    <col min="6" max="6" width="27.42578125" bestFit="1" customWidth="1"/>
    <col min="7" max="7" width="27" bestFit="1" customWidth="1"/>
    <col min="8" max="8" width="10.7109375" bestFit="1" customWidth="1"/>
    <col min="9" max="9" width="14.140625" bestFit="1" customWidth="1"/>
    <col min="10" max="10" width="12.42578125" bestFit="1" customWidth="1"/>
  </cols>
  <sheetData>
    <row r="1" spans="1:3" ht="15.75" thickBot="1">
      <c r="A1" s="29" t="s">
        <v>124</v>
      </c>
      <c r="B1" s="32" t="s">
        <v>140</v>
      </c>
      <c r="C1" s="32" t="s">
        <v>141</v>
      </c>
    </row>
    <row r="2" spans="1:3" ht="15.75" thickBot="1">
      <c r="A2" s="29" t="s">
        <v>112</v>
      </c>
      <c r="B2" s="30">
        <f ca="1">$B$4-$B$3</f>
        <v>44456</v>
      </c>
    </row>
    <row r="3" spans="1:3" ht="15.75" thickBot="1">
      <c r="A3" s="29" t="s">
        <v>111</v>
      </c>
      <c r="B3" s="31">
        <f>4*31</f>
        <v>124</v>
      </c>
    </row>
    <row r="4" spans="1:3" ht="15.75" thickBot="1">
      <c r="A4" s="29" t="s">
        <v>113</v>
      </c>
      <c r="B4" s="30">
        <f ca="1">TODAY()</f>
        <v>44580</v>
      </c>
    </row>
    <row r="6" spans="1:3">
      <c r="A6" s="33" t="str">
        <f t="array" aca="1" ref="A6:C8" ca="1">_xll.DC_COMPARTMENTMEASURESET("iW - LONG TERM INVESTMENTS","aifmdleverage",InputPwCLeverageNSLongTerm!$B$2,)</f>
        <v>Date</v>
      </c>
      <c r="B6" s="33" t="str">
        <f ca="1"/>
        <v>Gross leverage</v>
      </c>
      <c r="C6" s="34" t="str">
        <f ca="1"/>
        <v>Net leverage</v>
      </c>
    </row>
    <row r="7" spans="1:3">
      <c r="A7" s="35">
        <f ca="1"/>
        <v>44469</v>
      </c>
      <c r="B7" s="36">
        <f ca="1"/>
        <v>1.0010662465472817</v>
      </c>
      <c r="C7" s="36">
        <f ca="1"/>
        <v>1.0029998453436475</v>
      </c>
    </row>
    <row r="8" spans="1:3">
      <c r="A8" s="35">
        <f ca="1"/>
        <v>44561</v>
      </c>
      <c r="B8" s="36">
        <f ca="1"/>
        <v>0.99669563710651077</v>
      </c>
      <c r="C8" s="36">
        <f ca="1"/>
        <v>1.002970192761294</v>
      </c>
    </row>
    <row r="9" spans="1:3">
      <c r="A9" s="35"/>
      <c r="B9" s="36"/>
      <c r="C9" s="36"/>
    </row>
    <row r="10" spans="1:3">
      <c r="A10" s="35"/>
      <c r="B10" s="36"/>
      <c r="C10" s="36"/>
    </row>
    <row r="11" spans="1:3">
      <c r="A11" s="35"/>
      <c r="B11" s="36"/>
      <c r="C11" s="36"/>
    </row>
    <row r="12" spans="1:3">
      <c r="A12" s="35"/>
      <c r="B12" s="36"/>
      <c r="C12" s="36"/>
    </row>
    <row r="13" spans="1:3">
      <c r="A13" s="35"/>
      <c r="B13" s="36"/>
      <c r="C13" s="36"/>
    </row>
    <row r="14" spans="1:3">
      <c r="A14" s="35"/>
      <c r="B14" s="36"/>
      <c r="C14" s="36"/>
    </row>
    <row r="15" spans="1:3">
      <c r="A15" s="35"/>
      <c r="B15" s="36"/>
      <c r="C15" s="36"/>
    </row>
    <row r="16" spans="1:3">
      <c r="A16" s="35"/>
      <c r="B16" s="36"/>
      <c r="C16" s="36"/>
    </row>
    <row r="17" spans="1:3">
      <c r="A17" s="35"/>
      <c r="B17" s="36"/>
      <c r="C17" s="36"/>
    </row>
    <row r="18" spans="1:3">
      <c r="A18" s="35"/>
      <c r="B18" s="36"/>
      <c r="C18" s="36"/>
    </row>
    <row r="19" spans="1:3">
      <c r="A19" s="35"/>
      <c r="B19" s="36"/>
      <c r="C19" s="36"/>
    </row>
    <row r="20" spans="1:3">
      <c r="A20" s="35"/>
      <c r="B20" s="36"/>
      <c r="C20" s="36"/>
    </row>
    <row r="21" spans="1:3">
      <c r="A21" s="35"/>
      <c r="B21" s="36"/>
      <c r="C21" s="36"/>
    </row>
    <row r="22" spans="1:3">
      <c r="A22" s="35"/>
      <c r="B22" s="36"/>
      <c r="C22" s="36"/>
    </row>
    <row r="23" spans="1:3">
      <c r="A23" s="35"/>
      <c r="B23" s="36"/>
      <c r="C23" s="36"/>
    </row>
    <row r="24" spans="1:3">
      <c r="A24" s="35"/>
      <c r="B24" s="36"/>
      <c r="C24" s="36"/>
    </row>
    <row r="25" spans="1:3">
      <c r="A25" s="35"/>
      <c r="B25" s="36"/>
      <c r="C25" s="36"/>
    </row>
    <row r="26" spans="1:3">
      <c r="A26" s="35"/>
      <c r="B26" s="36"/>
      <c r="C26" s="36"/>
    </row>
    <row r="27" spans="1:3">
      <c r="A27" s="35"/>
      <c r="B27" s="36"/>
      <c r="C27" s="36"/>
    </row>
  </sheetData>
  <pageMargins left="0.7" right="0.7" top="0.75" bottom="0.75" header="0.3" footer="0.3"/>
  <pageSetup paperSize="9" orientation="portrait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3898-CAE3-4A3D-8B7C-38A4010C1FF0}">
  <sheetPr codeName="Sheet18">
    <tabColor theme="5"/>
  </sheetPr>
  <dimension ref="A1:C7"/>
  <sheetViews>
    <sheetView workbookViewId="0">
      <selection sqref="A1:C7"/>
    </sheetView>
  </sheetViews>
  <sheetFormatPr defaultRowHeight="15"/>
  <cols>
    <col min="1" max="1" width="10.7109375" bestFit="1" customWidth="1"/>
    <col min="2" max="2" width="14.140625" bestFit="1" customWidth="1"/>
  </cols>
  <sheetData>
    <row r="1" spans="1:3" ht="15.75" thickBot="1">
      <c r="A1" s="29" t="s">
        <v>124</v>
      </c>
      <c r="B1" s="32" t="s">
        <v>140</v>
      </c>
      <c r="C1" s="32" t="s">
        <v>141</v>
      </c>
    </row>
    <row r="2" spans="1:3" ht="15.75" thickBot="1">
      <c r="A2" s="29" t="s">
        <v>112</v>
      </c>
      <c r="B2" s="30">
        <v>44311</v>
      </c>
    </row>
    <row r="3" spans="1:3" ht="15.75" thickBot="1">
      <c r="A3" s="29" t="s">
        <v>111</v>
      </c>
      <c r="B3" s="31">
        <v>93</v>
      </c>
    </row>
    <row r="4" spans="1:3" ht="15.75" thickBot="1">
      <c r="A4" s="29" t="s">
        <v>113</v>
      </c>
      <c r="B4" s="30">
        <v>44404</v>
      </c>
    </row>
    <row r="5" spans="1:3">
      <c r="B5" s="27"/>
    </row>
    <row r="6" spans="1:3">
      <c r="A6" s="33" t="s">
        <v>126</v>
      </c>
      <c r="B6" s="33" t="s">
        <v>127</v>
      </c>
      <c r="C6" s="34" t="s">
        <v>128</v>
      </c>
    </row>
    <row r="7" spans="1:3">
      <c r="A7" s="35">
        <v>44377</v>
      </c>
      <c r="B7" s="36">
        <v>1.0023928817740371</v>
      </c>
      <c r="C7" s="36">
        <v>1.0024861751408891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Control</vt:lpstr>
      <vt:lpstr>Parameters</vt:lpstr>
      <vt:lpstr>InputPwCLeverageALU</vt:lpstr>
      <vt:lpstr>OutputPwCLeverageALU</vt:lpstr>
      <vt:lpstr>InputPwCLeverageREV</vt:lpstr>
      <vt:lpstr>OutputPwCLeverageREV</vt:lpstr>
      <vt:lpstr>InputPwCLeverageCOM</vt:lpstr>
      <vt:lpstr>OutputPwCLeverageCOM</vt:lpstr>
      <vt:lpstr>InputPwCLeverageLWR</vt:lpstr>
      <vt:lpstr>OutputPwCLeverageLWR</vt:lpstr>
      <vt:lpstr>InputPwCLeverageRVG</vt:lpstr>
      <vt:lpstr>OutputPwCLeverageRVG</vt:lpstr>
      <vt:lpstr>InputPwCLeverageDCM</vt:lpstr>
      <vt:lpstr>OutputPwCLeverageDCM</vt:lpstr>
      <vt:lpstr>InputPwCLeverageNSBalanced</vt:lpstr>
      <vt:lpstr>OutputPwCLeverageNSBalanced</vt:lpstr>
      <vt:lpstr>InputPwCLeverageNSLongTerm</vt:lpstr>
      <vt:lpstr>OutputPwCLeverageNSLongTerm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iW Partners</cp:lastModifiedBy>
  <dcterms:created xsi:type="dcterms:W3CDTF">2019-01-21T17:30:05Z</dcterms:created>
  <dcterms:modified xsi:type="dcterms:W3CDTF">2022-01-19T05:44:37Z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preadsheetBuilder_1">
    <vt:lpwstr>eyIwIjoiSGlzdG9yeSIsIjEiOjAsIjIiOjEsIjMiOjEsIjQiOjEsIjUiOjEsIjYiOjEsIjciOjEsIjgiOjAsIjkiOjEsIjEwIjoxLCIxMSI6MCwiMTIiOjB9</vt:lpwstr>
  </property>
  <property fmtid="{D5CDD505-2E9C-101B-9397-08002B2CF9AE}" pid="3" name="SpreadsheetBuilder_2">
    <vt:lpwstr>eyIwIjoiSGlzdG9yeSIsIjEiOjAsIjIiOjEsIjMiOjEsIjQiOjEsIjUiOjEsIjYiOjEsIjciOjEsIjgiOjAsIjkiOjEsIjEwIjoxLCIxMSI6MCwiMTIiOjB9</vt:lpwstr>
  </property>
  <property fmtid="{D5CDD505-2E9C-101B-9397-08002B2CF9AE}" pid="4" name="SpreadsheetBuilder_3">
    <vt:lpwstr>eyIwIjoiSGlzdG9yeSIsIjEiOjAsIjIiOjEsIjMiOjEsIjQiOjEsIjUiOjEsIjYiOjEsIjciOjEsIjgiOjAsIjkiOjEsIjEwIjoxLCIxMSI6MCwiMTIiOjB9</vt:lpwstr>
  </property>
  <property fmtid="{D5CDD505-2E9C-101B-9397-08002B2CF9AE}" pid="5" name="SpreadsheetBuilder_4">
    <vt:lpwstr>eyIwIjoiSGlzdG9yeSIsIjEiOjAsIjIiOjEsIjMiOjEsIjQiOjEsIjUiOjEsIjYiOjEsIjciOjEsIjgiOjAsIjkiOjEsIjEwIjoxLCIxMSI6MCwiMTIiOjB9</vt:lpwstr>
  </property>
</Properties>
</file>