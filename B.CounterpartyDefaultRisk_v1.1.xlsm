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ExternalGateway\Applications\Transformers\"/>
    </mc:Choice>
  </mc:AlternateContent>
  <xr:revisionPtr revIDLastSave="0" documentId="13_ncr:1_{763DABF2-9C77-4C95-A0F1-13F15AF3AA53}" xr6:coauthVersionLast="44" xr6:coauthVersionMax="44" xr10:uidLastSave="{00000000-0000-0000-0000-000000000000}"/>
  <bookViews>
    <workbookView xWindow="-120" yWindow="-120" windowWidth="22905" windowHeight="13335" xr2:uid="{00000000-000D-0000-FFFF-FFFF00000000}"/>
  </bookViews>
  <sheets>
    <sheet name="Control" sheetId="2" r:id="rId1"/>
    <sheet name="Parameters" sheetId="5" r:id="rId2"/>
    <sheet name="RatingsEquivalence" sheetId="39" r:id="rId3"/>
    <sheet name="OutDatabase" sheetId="41" state="hidden" r:id="rId4"/>
    <sheet name="Graphs" sheetId="40" r:id="rId5"/>
    <sheet name="OutputBloomberg" sheetId="38" r:id="rId6"/>
    <sheet name="InputBloomberg" sheetId="36" r:id="rId7"/>
    <sheet name="CounterpartyRisk link" sheetId="42" state="hidden" r:id="rId8"/>
  </sheets>
  <functionGroups builtInGroupCount="19"/>
  <definedNames>
    <definedName name="CreditScore">RatingsEquivalence!$L:$L</definedName>
    <definedName name="DefaultProbability">RatingsEquivalence!$C:$C</definedName>
    <definedName name="Fitch_LT">RatingsEquivalence!$I:$I</definedName>
    <definedName name="Fitch_ST">RatingsEquivalence!$J:$J</definedName>
    <definedName name="InternalRatings">RatingsEquivalence!$K:$K</definedName>
    <definedName name="Moodys_LT">RatingsEquivalence!$E:$E</definedName>
    <definedName name="Moodys_ST">RatingsEquivalence!$F:$F</definedName>
    <definedName name="SP_LT">RatingsEquivalence!$G:$G</definedName>
    <definedName name="SP_ST">RatingsEquivalence!$H:$H</definedName>
    <definedName name="SpreadsheetBuilder_1" localSheetId="6" hidden="1">InputBloomberg!#REF!</definedName>
    <definedName name="SpreadsheetBuilder_1" localSheetId="5" hidden="1">OutputBloomberg!#REF!</definedName>
    <definedName name="SpreadsheetBuilder_1" hidden="1">#REF!</definedName>
    <definedName name="SpreadsheetBuilder_2" localSheetId="6" hidden="1">InputBloomberg!#REF!</definedName>
    <definedName name="SpreadsheetBuilder_2" localSheetId="5" hidden="1">OutputBloomberg!#REF!</definedName>
    <definedName name="SpreadsheetBuilder_2" hidden="1">#REF!</definedName>
    <definedName name="SpreadsheetBuilder_3" localSheetId="6" hidden="1">InputBloomberg!#REF!</definedName>
    <definedName name="SpreadsheetBuilder_3" localSheetId="5" hidden="1">OutputBloomberg!#REF!</definedName>
    <definedName name="SpreadsheetBuilder_3" hidden="1">#REF!</definedName>
    <definedName name="SpreadsheetBuilder_4" localSheetId="6" hidden="1">InputBloomberg!#REF!</definedName>
    <definedName name="SpreadsheetBuilder_4" localSheetId="5" hidden="1">OutputBloomberg!#REF!</definedName>
    <definedName name="SpreadsheetBuilder_4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36" l="1"/>
  <c r="E11" i="36"/>
  <c r="G6" i="36"/>
  <c r="I12" i="36"/>
  <c r="L11" i="36"/>
  <c r="E9" i="36"/>
  <c r="I6" i="36"/>
  <c r="I4" i="36"/>
  <c r="M7" i="36"/>
  <c r="E4" i="36"/>
  <c r="L6" i="36"/>
  <c r="L10" i="36"/>
  <c r="I5" i="36"/>
  <c r="M11" i="36"/>
  <c r="L9" i="36"/>
  <c r="I10" i="36"/>
  <c r="G7" i="36"/>
  <c r="G11" i="36"/>
  <c r="M8" i="36"/>
  <c r="M5" i="36"/>
  <c r="G5" i="36"/>
  <c r="M4" i="36"/>
  <c r="E12" i="36"/>
  <c r="E10" i="36"/>
  <c r="M12" i="36"/>
  <c r="L5" i="36"/>
  <c r="E8" i="36"/>
  <c r="I9" i="36"/>
  <c r="G8" i="36"/>
  <c r="L7" i="36"/>
  <c r="L12" i="36"/>
  <c r="M6" i="36"/>
  <c r="I11" i="36"/>
  <c r="M9" i="36"/>
  <c r="M10" i="36"/>
  <c r="G10" i="36"/>
  <c r="I7" i="36"/>
  <c r="E6" i="36"/>
  <c r="I8" i="36"/>
  <c r="L8" i="36"/>
  <c r="L4" i="36"/>
  <c r="E5" i="36"/>
  <c r="G9" i="36"/>
  <c r="E7" i="36"/>
  <c r="G4" i="36"/>
  <c r="G1" i="36"/>
  <c r="L1" i="36"/>
  <c r="M1" i="36"/>
  <c r="I1" i="36"/>
  <c r="E1" i="36"/>
  <c r="P12" i="36" l="1"/>
  <c r="P11" i="36"/>
  <c r="P10" i="36"/>
  <c r="P9" i="36"/>
  <c r="P8" i="36"/>
  <c r="P7" i="36"/>
  <c r="P6" i="36"/>
  <c r="P5" i="36"/>
  <c r="P4" i="36"/>
  <c r="H10" i="36" l="1"/>
  <c r="F10" i="36"/>
  <c r="J4" i="36"/>
  <c r="J8" i="36"/>
  <c r="N10" i="36"/>
  <c r="F8" i="36"/>
  <c r="F12" i="36"/>
  <c r="N5" i="36"/>
  <c r="J6" i="36"/>
  <c r="H6" i="36"/>
  <c r="F7" i="36"/>
  <c r="J9" i="36"/>
  <c r="J10" i="36"/>
  <c r="J12" i="36"/>
  <c r="H4" i="36"/>
  <c r="F5" i="36"/>
  <c r="F6" i="36"/>
  <c r="N9" i="36"/>
  <c r="N4" i="36"/>
  <c r="N8" i="36"/>
  <c r="H11" i="36"/>
  <c r="N11" i="36"/>
  <c r="F4" i="36"/>
  <c r="F9" i="36"/>
  <c r="F11" i="36"/>
  <c r="N6" i="36"/>
  <c r="H5" i="36"/>
  <c r="H9" i="36"/>
  <c r="J7" i="36"/>
  <c r="J11" i="36"/>
  <c r="H8" i="36"/>
  <c r="N12" i="36"/>
  <c r="H7" i="36"/>
  <c r="J5" i="36"/>
  <c r="N7" i="36"/>
  <c r="H12" i="36"/>
  <c r="F1" i="36"/>
  <c r="H1" i="36"/>
  <c r="J1" i="36"/>
  <c r="P1" i="36"/>
  <c r="K8" i="36" l="1"/>
  <c r="O8" i="36" s="1"/>
  <c r="K11" i="36"/>
  <c r="O11" i="36" s="1"/>
  <c r="K6" i="36"/>
  <c r="O6" i="36" s="1"/>
  <c r="K9" i="36"/>
  <c r="O9" i="36" s="1"/>
  <c r="K5" i="36"/>
  <c r="O5" i="36" s="1"/>
  <c r="K10" i="36"/>
  <c r="O10" i="36" s="1"/>
  <c r="K4" i="36"/>
  <c r="O4" i="36" s="1"/>
  <c r="K7" i="36"/>
  <c r="O7" i="36" s="1"/>
  <c r="K12" i="36"/>
  <c r="O12" i="36" s="1"/>
  <c r="K1" i="36"/>
  <c r="N1" i="36"/>
  <c r="O1" i="36" l="1"/>
</calcChain>
</file>

<file path=xl/sharedStrings.xml><?xml version="1.0" encoding="utf-8"?>
<sst xmlns="http://schemas.openxmlformats.org/spreadsheetml/2006/main" count="603" uniqueCount="285">
  <si>
    <t>Save the file</t>
  </si>
  <si>
    <t>Check Business day (and stop the processing if today is not a Business day)</t>
  </si>
  <si>
    <t>Delete formulas before copying</t>
  </si>
  <si>
    <t>Step 1</t>
  </si>
  <si>
    <t>Step 2</t>
  </si>
  <si>
    <t>Step 3</t>
  </si>
  <si>
    <t>Step 4</t>
  </si>
  <si>
    <t>Step 5</t>
  </si>
  <si>
    <t>Step 6</t>
  </si>
  <si>
    <t>Copy formulas</t>
  </si>
  <si>
    <t>Input</t>
  </si>
  <si>
    <t>Output</t>
  </si>
  <si>
    <t>Copy-paste values to Output sheet</t>
  </si>
  <si>
    <t>Step 7</t>
  </si>
  <si>
    <t>Export the data contained in Output sheet</t>
  </si>
  <si>
    <t>This file</t>
  </si>
  <si>
    <t>Activate ?</t>
  </si>
  <si>
    <t>Step</t>
  </si>
  <si>
    <t>Concerned sheet</t>
  </si>
  <si>
    <t>Description</t>
  </si>
  <si>
    <t>Start the process as soon as the Excel file is open</t>
  </si>
  <si>
    <t>OUTPUT_SHEETNAME</t>
  </si>
  <si>
    <t>INPUT_COL_FIRSTFORMULA</t>
  </si>
  <si>
    <t>INPUT_COL_LASTFORMULA</t>
  </si>
  <si>
    <t>INPUT_COL_FIRSTDATA</t>
  </si>
  <si>
    <t>INPUT_COL_LASTDATA</t>
  </si>
  <si>
    <t>INPUT_LINE_FORMULAS</t>
  </si>
  <si>
    <t>INPUT_LINE_COUNT</t>
  </si>
  <si>
    <t>INPUT_LINE_FIRSTDATAFORFORMULAS</t>
  </si>
  <si>
    <t>INPUT_LINE_FIRSTDATAFORCOPYINGDATA</t>
  </si>
  <si>
    <t>OUTPUT_COL_COUNT</t>
  </si>
  <si>
    <t>OUTPUT_COL_FIRSTDATA</t>
  </si>
  <si>
    <t>OUTPUT_LINE_FIRSTDATA</t>
  </si>
  <si>
    <t>OUTPUT_LINE_COUNT</t>
  </si>
  <si>
    <t>OUTPUT_COL_LASTDATA</t>
  </si>
  <si>
    <t>A</t>
  </si>
  <si>
    <t>Default value</t>
  </si>
  <si>
    <t>Log processing status</t>
  </si>
  <si>
    <t>Automatically close the file at the end of all input sheets</t>
  </si>
  <si>
    <t>INPUT_COL_AREDATAUPDATED</t>
  </si>
  <si>
    <t>Optional (defaut : first formula in INPUT_LINE_FORMULAS line)
Column containing the first formula to copy in the input sheet</t>
  </si>
  <si>
    <t>Optional (default : last filled column on INPUT_LINE_COUNT line)
Column containing the last formula to copy in the input sheet</t>
  </si>
  <si>
    <t>Input Sheet parameters</t>
  </si>
  <si>
    <t>Output Sheet parameters</t>
  </si>
  <si>
    <t>Optional (default : last filled column on OUTPUT_LINE_COUNT line)
Last column to copy from Output sheet to exported file containing static data</t>
  </si>
  <si>
    <t>Optional (default : current filename of this file)
Filename to use when saving the file if requested in the process</t>
  </si>
  <si>
    <t>Check if data are updated (and stop the processing if data are not updated)</t>
  </si>
  <si>
    <t>Mail global status</t>
  </si>
  <si>
    <t>Global</t>
  </si>
  <si>
    <t>From iW Partners Gateway</t>
  </si>
  <si>
    <t>Optional (default: "Output" + Name of the input sheet where "Input" keyword is deleted)
Name of the Output sheet</t>
  </si>
  <si>
    <t>"00:00:01"</t>
  </si>
  <si>
    <t>"00:00:05"</t>
  </si>
  <si>
    <t>Logging</t>
  </si>
  <si>
    <t>LOG_FOLDER</t>
  </si>
  <si>
    <t>LOG_FILENAME</t>
  </si>
  <si>
    <t>Optional (see default value)
Filename of the logs</t>
  </si>
  <si>
    <t>Name of the workbook + .log (dynamically set)</t>
  </si>
  <si>
    <t>LOG_DEBUGLEVEL</t>
  </si>
  <si>
    <t>Control</t>
  </si>
  <si>
    <t>Save file</t>
  </si>
  <si>
    <t>CONTROL_VALUE_WAITDELAYAFTERDELETE</t>
  </si>
  <si>
    <t>CONTROL_VALUE_WAITDELAYAFTERCOPY</t>
  </si>
  <si>
    <t>Mail status</t>
  </si>
  <si>
    <t>MAIL_BODY</t>
  </si>
  <si>
    <t>MAIL_TO</t>
  </si>
  <si>
    <t>Export</t>
  </si>
  <si>
    <t>.</t>
  </si>
  <si>
    <t>Current name of the workbook (dynamically set)</t>
  </si>
  <si>
    <t>SAVE_FOLDER</t>
  </si>
  <si>
    <t>SAVE_FILENAME</t>
  </si>
  <si>
    <t>EXPORT_FILENAME</t>
  </si>
  <si>
    <t>Name of the Output sheet (dynamically set)</t>
  </si>
  <si>
    <t>Optional (default : name of the Output sheet)
Filename to use when exporting file containing static data.
Extension (if any) is removed.</t>
  </si>
  <si>
    <t>Optional (see default value)
Directory where the logs will be generated</t>
  </si>
  <si>
    <t>Optional (see default value)
Delay to wait after having deleting the formulas</t>
  </si>
  <si>
    <t>Optional (see default value)
Delay to wait after having copying the formulas</t>
  </si>
  <si>
    <t>Optional (see default value)
First column to copy from Input sheet to Output sheet</t>
  </si>
  <si>
    <t>Optional (see default value)
Reference line where the formulas are indicated</t>
  </si>
  <si>
    <t>Optional (see default value)
Reference line to count the columns in the Input sheet</t>
  </si>
  <si>
    <t>Optional (see default value)
First line with data calculated with formulas</t>
  </si>
  <si>
    <t>Optional (see default value)
First line to copy from Input sheet to Output sheet (can be different from INPUT_LINE_FIRSTDATAFORFORMULAS if labels shall be copied to Output sheet)</t>
  </si>
  <si>
    <t>Optional (see default value)
Reference column to count the lines in the Output sheet</t>
  </si>
  <si>
    <t>Optional (see default value)
First column from Output where data are copied</t>
  </si>
  <si>
    <t>Optional (see default value)
Reference line to count the columns in the Output sheet</t>
  </si>
  <si>
    <t>Optional (see default value)
Message body in the mail providing the global status</t>
  </si>
  <si>
    <t>Optional (see default value)
Destination of the mail providing the global status</t>
  </si>
  <si>
    <t>Optional (see default value)
Indicate that the file should be moved rather than save as (the initial file is deleted).
The deletion of the initial file is cancelled if SAVE_FOLDER is the current directory.</t>
  </si>
  <si>
    <t>Mandatory if the data updated check is requested (default is "")
The data update check is cancelled if this parameter equals ""
Column containing a boolean indicating if the (Bloomberg) data on this line are updated</t>
  </si>
  <si>
    <t>Optional (see default value)
Indicates if the debug level logs must be displayed</t>
  </si>
  <si>
    <t>Check libraries (FORK) references</t>
  </si>
  <si>
    <t>SAVE_MUSTMOVE</t>
  </si>
  <si>
    <t>SAVE_MUSTHORODATE</t>
  </si>
  <si>
    <t>EXPORT_MUSTHORODATE</t>
  </si>
  <si>
    <t>Optional (see default value)
The file will be saved with the date and time appended on the left of its filename.</t>
  </si>
  <si>
    <t>Optional (see default value)
The exported file will be saved with the date and time appended on the left of its filename.</t>
  </si>
  <si>
    <t>..\..\Data\_Logs</t>
  </si>
  <si>
    <t>Optional (default : current directory of this file)
Directory to save this file if requested in the process. There may be several directories, separated by semi-colon.</t>
  </si>
  <si>
    <t>INPUT_COL_COUNTFORFORMULAS</t>
  </si>
  <si>
    <t>INPUT_COL_COUNTFORCOPYINGDATA</t>
  </si>
  <si>
    <t>Optional (see default value)
Refence column to count the number of lines in the input sheet for copying formulas</t>
  </si>
  <si>
    <t>Optional (see default value)
Refence column to count the number of lines in the input sheet for copying data</t>
  </si>
  <si>
    <t>InputBloomberg</t>
  </si>
  <si>
    <t>MAIL_INDIRECTFOLDER</t>
  </si>
  <si>
    <t>Mandatory (no default value)
if empty, the status mail is commanded directly by the Transformer. Otherwise, the status is turned into a file which name is the status, and then stored in this folder to be sent by a gateway.</t>
  </si>
  <si>
    <t>Autostart</t>
  </si>
  <si>
    <t>AUTOSTART_COMPUTERS</t>
  </si>
  <si>
    <t>Optional (see default value)
List of computers on which the autostart will run if the Austostart checkbox is checked, separated by semi-colon. Null means all computers.</t>
  </si>
  <si>
    <t>EXPORT_FOLDERS</t>
  </si>
  <si>
    <t>RTG_SP_LT_LC_ISSUER_CREDIT</t>
  </si>
  <si>
    <t>RTG_MDY_ISSUER</t>
  </si>
  <si>
    <t>RTG_FITCH_LT_ISSUER_DEFAULT</t>
  </si>
  <si>
    <t>RSK_BB_IMPLIED_CDS_SPREAD</t>
  </si>
  <si>
    <t>BB_1YR_DEFAULT_PROB</t>
  </si>
  <si>
    <t>Counterparty Type</t>
  </si>
  <si>
    <t>Counterparty Name</t>
  </si>
  <si>
    <t>BBG Ticker</t>
  </si>
  <si>
    <t>S&amp;P Rating</t>
  </si>
  <si>
    <t>S&amp;P Num.Equi.Rtg</t>
  </si>
  <si>
    <t>Moody's Rating</t>
  </si>
  <si>
    <t>Moodys Num.Equi.Rtg</t>
  </si>
  <si>
    <t>Fitch Rating</t>
  </si>
  <si>
    <t>Fitch Num.Equi.Rtg</t>
  </si>
  <si>
    <t>Worst Rating Numerical Equivalent</t>
  </si>
  <si>
    <t>Credit Spread (DRSK)</t>
  </si>
  <si>
    <t>Default Probability (DRSK)</t>
  </si>
  <si>
    <t>Internal Credit Score</t>
  </si>
  <si>
    <t>Downgrade</t>
  </si>
  <si>
    <t>Previous Worst Rating Numerical Equivalent</t>
  </si>
  <si>
    <t>Optional (see default value)
First line on which data from input sheet are pasted, and for line to be copied to the exported sheet.</t>
  </si>
  <si>
    <t>Signification</t>
  </si>
  <si>
    <t>Risk Issuer Default</t>
  </si>
  <si>
    <t>Default Probability</t>
  </si>
  <si>
    <t>Rating</t>
  </si>
  <si>
    <t>Moody’s</t>
  </si>
  <si>
    <t>Standard &amp; Poor’s</t>
  </si>
  <si>
    <t>Fitch Ratings</t>
  </si>
  <si>
    <t>Internal Scoring</t>
  </si>
  <si>
    <t>Long-term</t>
  </si>
  <si>
    <t>Short-term</t>
  </si>
  <si>
    <t>Equivalent Numeric</t>
  </si>
  <si>
    <t>Credit Score</t>
  </si>
  <si>
    <t>Category</t>
  </si>
  <si>
    <t>Prime</t>
  </si>
  <si>
    <t>IG1</t>
  </si>
  <si>
    <t>AAA</t>
  </si>
  <si>
    <t>Aaa</t>
  </si>
  <si>
    <t>P-1</t>
  </si>
  <si>
    <t>A-1+</t>
  </si>
  <si>
    <t>F1+</t>
  </si>
  <si>
    <t>Low Risk</t>
  </si>
  <si>
    <t>High grade</t>
  </si>
  <si>
    <t>IG2</t>
  </si>
  <si>
    <t>AA+</t>
  </si>
  <si>
    <t>Aa1</t>
  </si>
  <si>
    <t>IG3</t>
  </si>
  <si>
    <t>AA</t>
  </si>
  <si>
    <t>Aa2</t>
  </si>
  <si>
    <t>IG4</t>
  </si>
  <si>
    <t>AA-</t>
  </si>
  <si>
    <t>Aa3</t>
  </si>
  <si>
    <t>Upper Medium grade</t>
  </si>
  <si>
    <t>IG5</t>
  </si>
  <si>
    <t>A+</t>
  </si>
  <si>
    <t>A1</t>
  </si>
  <si>
    <t>A-1</t>
  </si>
  <si>
    <t>F1</t>
  </si>
  <si>
    <t>IG6</t>
  </si>
  <si>
    <t>A2</t>
  </si>
  <si>
    <t>IG7</t>
  </si>
  <si>
    <t>A-</t>
  </si>
  <si>
    <t>A3</t>
  </si>
  <si>
    <t>P-2</t>
  </si>
  <si>
    <t>A-2</t>
  </si>
  <si>
    <t>F2</t>
  </si>
  <si>
    <t>Lower medium grade</t>
  </si>
  <si>
    <t>IG8</t>
  </si>
  <si>
    <t>BBB+</t>
  </si>
  <si>
    <t>Baa1</t>
  </si>
  <si>
    <t>IG9</t>
  </si>
  <si>
    <t>BBB</t>
  </si>
  <si>
    <t>Baa2</t>
  </si>
  <si>
    <t>P-3</t>
  </si>
  <si>
    <t>A-3</t>
  </si>
  <si>
    <t>F3</t>
  </si>
  <si>
    <t>IG10</t>
  </si>
  <si>
    <t>BBB-</t>
  </si>
  <si>
    <t>Baa3</t>
  </si>
  <si>
    <t>Non-investment grade speculative</t>
  </si>
  <si>
    <t>HY1</t>
  </si>
  <si>
    <t>BB+</t>
  </si>
  <si>
    <t>Ba1</t>
  </si>
  <si>
    <t>Not prime</t>
  </si>
  <si>
    <t>B</t>
  </si>
  <si>
    <t>Medium Risk</t>
  </si>
  <si>
    <t>HY2</t>
  </si>
  <si>
    <t>BB</t>
  </si>
  <si>
    <t>Ba2</t>
  </si>
  <si>
    <t>HY3</t>
  </si>
  <si>
    <t>BB-</t>
  </si>
  <si>
    <t>Ba3</t>
  </si>
  <si>
    <t>Highly speculative</t>
  </si>
  <si>
    <t>HY4</t>
  </si>
  <si>
    <t>B+</t>
  </si>
  <si>
    <t>B1</t>
  </si>
  <si>
    <t>HY5</t>
  </si>
  <si>
    <t>B2</t>
  </si>
  <si>
    <t>HY6</t>
  </si>
  <si>
    <t>B-</t>
  </si>
  <si>
    <t>B3</t>
  </si>
  <si>
    <t>Substantial Risks</t>
  </si>
  <si>
    <t>DS1</t>
  </si>
  <si>
    <t>CCC+</t>
  </si>
  <si>
    <t>Caa1</t>
  </si>
  <si>
    <t>C</t>
  </si>
  <si>
    <t>High Risk</t>
  </si>
  <si>
    <t>DS2</t>
  </si>
  <si>
    <t>CCC</t>
  </si>
  <si>
    <t>Caa2</t>
  </si>
  <si>
    <t>DS3</t>
  </si>
  <si>
    <t>CCC-</t>
  </si>
  <si>
    <t>Caa3</t>
  </si>
  <si>
    <t>Extremely speculative</t>
  </si>
  <si>
    <t>DS4</t>
  </si>
  <si>
    <t>CC</t>
  </si>
  <si>
    <t>Ca</t>
  </si>
  <si>
    <t>Default imminent</t>
  </si>
  <si>
    <t>DS5</t>
  </si>
  <si>
    <t>C+</t>
  </si>
  <si>
    <t>Very High Risk</t>
  </si>
  <si>
    <t>C/CI/R</t>
  </si>
  <si>
    <t>In Default</t>
  </si>
  <si>
    <t>SD</t>
  </si>
  <si>
    <t>D</t>
  </si>
  <si>
    <t>RD</t>
  </si>
  <si>
    <t>DDD</t>
  </si>
  <si>
    <t>DD+</t>
  </si>
  <si>
    <t>Not Rated</t>
  </si>
  <si>
    <t>NR</t>
  </si>
  <si>
    <t>N.R.</t>
  </si>
  <si>
    <t>NA</t>
  </si>
  <si>
    <t>N.A.</t>
  </si>
  <si>
    <t>WD</t>
  </si>
  <si>
    <t>WR</t>
  </si>
  <si>
    <t>Rating Credit Score</t>
  </si>
  <si>
    <t>Default Probability Credit Score</t>
  </si>
  <si>
    <t>Deposit</t>
  </si>
  <si>
    <t>Pictet &amp; Cie (Europe)</t>
  </si>
  <si>
    <t>1146Z SW Equity</t>
  </si>
  <si>
    <t/>
  </si>
  <si>
    <t>Credit Score Warning limit</t>
  </si>
  <si>
    <t>Credit Score Error limit</t>
  </si>
  <si>
    <t>APPS01</t>
  </si>
  <si>
    <t>S&amp;P Credit Score</t>
  </si>
  <si>
    <t>Moodys Credit Score</t>
  </si>
  <si>
    <t>Fitch Credit Score</t>
  </si>
  <si>
    <t>BNP Paribas (Luxembourg)</t>
  </si>
  <si>
    <t>ANZ (London)</t>
  </si>
  <si>
    <t>BNP FP Equity</t>
  </si>
  <si>
    <t>Proxy
(BBG Ticker)</t>
  </si>
  <si>
    <t>CIC (Paris)</t>
  </si>
  <si>
    <t>CC FP Equity</t>
  </si>
  <si>
    <t>ANZ AU Equity</t>
  </si>
  <si>
    <t>Fund</t>
  </si>
  <si>
    <t>Diversified Alpha, REVO</t>
  </si>
  <si>
    <t>Diversified Alpha</t>
  </si>
  <si>
    <t>jnc@apis-am.com</t>
  </si>
  <si>
    <t>Cash</t>
  </si>
  <si>
    <t>Société Générale (Paris)</t>
  </si>
  <si>
    <t>All funds</t>
  </si>
  <si>
    <t>GLE FP Equity</t>
  </si>
  <si>
    <t>Natixis (Paris)</t>
  </si>
  <si>
    <t>KN FP Equity</t>
  </si>
  <si>
    <t>OTC, Deposit, Broker</t>
  </si>
  <si>
    <t>Morgan Stanley (US)</t>
  </si>
  <si>
    <t>Broker</t>
  </si>
  <si>
    <t>MS US Equity</t>
  </si>
  <si>
    <t>..\..\Data\To.RiskManagement.Outlook</t>
  </si>
  <si>
    <t>..\..\Data\To.DCMAdvisors;.\Archived</t>
  </si>
  <si>
    <t>Northern trust</t>
  </si>
  <si>
    <t>NTRS US Equity</t>
  </si>
  <si>
    <t>Solken Convertible Arbitrage</t>
  </si>
  <si>
    <t>Goldman Sachs</t>
  </si>
  <si>
    <t>Cash, Prime Broker</t>
  </si>
  <si>
    <t>GS US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</si>
</sst>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303336"/>
      <name val="Inherit"/>
    </font>
    <font>
      <b/>
      <sz val="9"/>
      <color theme="5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1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Calibri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5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1" fontId="3" fillId="3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21" fontId="3" fillId="4" borderId="1" xfId="0" quotePrefix="1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4" fontId="0" fillId="0" borderId="0" xfId="0" applyNumberFormat="1" applyFont="1" applyAlignment="1">
      <alignment vertical="center"/>
    </xf>
    <xf numFmtId="21" fontId="3" fillId="6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14" fontId="0" fillId="0" borderId="0" xfId="0" applyNumberFormat="1" applyFont="1" applyAlignment="1">
      <alignment vertical="center"/>
    </xf>
    <xf numFmtId="0" fontId="10" fillId="0" borderId="0" xfId="0" applyFont="1"/>
    <xf numFmtId="0" fontId="11" fillId="0" borderId="0" xfId="0" applyFont="1"/>
    <xf numFmtId="0" fontId="12" fillId="7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left" vertical="center"/>
    </xf>
    <xf numFmtId="0" fontId="10" fillId="11" borderId="1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13" fillId="13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6EA9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Data...3846897512</v>
        <stp/>
        <stp>BDP|16192895670164431650</stp>
        <tr r="E9" s="36"/>
        <tr r="E9" s="36"/>
      </tp>
      <tp t="s">
        <v>#N/A Requesting Data...3464622446</v>
        <stp/>
        <stp>BDP|12691942211318549920</stp>
        <tr r="L9" s="36"/>
        <tr r="L9" s="36"/>
      </tp>
      <tp t="s">
        <v>#N/A Requesting Data...3823537773</v>
        <stp/>
        <stp>BDP|10278892112413911146</stp>
        <tr r="G5" s="36"/>
        <tr r="G5" s="36"/>
      </tp>
      <tp t="s">
        <v>#N/A Requesting Data...4282946998</v>
        <stp/>
        <stp>BDP|13901302368158128687</stp>
        <tr r="L6" s="36"/>
        <tr r="L6" s="36"/>
      </tp>
      <tp t="s">
        <v>#N/A Requesting Data...3837657803</v>
        <stp/>
        <stp>BDP|13837106765539184429</stp>
        <tr r="L10" s="36"/>
        <tr r="L10" s="36"/>
      </tp>
      <tp t="s">
        <v>#N/A Requesting Data...4225237633</v>
        <stp/>
        <stp>BDP|17416898686781472971</stp>
        <tr r="I12" s="36"/>
        <tr r="I12" s="36"/>
      </tp>
      <tp t="s">
        <v>#N/A Requesting Data...4191928283</v>
        <stp/>
        <stp>BDP|16254282913162619832</stp>
        <tr r="G1" s="36"/>
      </tp>
      <tp t="s">
        <v>#N/A Requesting Data...4292791557</v>
        <stp/>
        <stp>BDP|13311811661413110243</stp>
        <tr r="I5" s="36"/>
        <tr r="I5" s="36"/>
      </tp>
      <tp t="s">
        <v>#N/A Requesting Data...3567886234</v>
        <stp/>
        <stp>BDP|10958791179033521134</stp>
        <tr r="M8" s="36"/>
        <tr r="M8" s="36"/>
      </tp>
      <tp t="s">
        <v>#N/A Requesting Data...3544573413</v>
        <stp/>
        <stp>BDP|10628796217284869176</stp>
        <tr r="M5" s="36"/>
        <tr r="M5" s="36"/>
      </tp>
      <tp t="s">
        <v>#N/A Requesting Data...3896069102</v>
        <stp/>
        <stp>BDP|14914004148002687235</stp>
        <tr r="I4" s="36"/>
        <tr r="I4" s="36"/>
      </tp>
      <tp t="s">
        <v>#N/A Requesting Data...3331600048</v>
        <stp/>
        <stp>BDP|14613063450869692806</stp>
        <tr r="M7" s="36"/>
        <tr r="M7" s="36"/>
      </tp>
      <tp t="s">
        <v>#N/A Requesting Data...3263614906</v>
        <stp/>
        <stp>BDP|11798274006613975155</stp>
        <tr r="G11" s="36"/>
        <tr r="G11" s="36"/>
      </tp>
      <tp t="s">
        <v>#N/A Requesting Data...3443425292</v>
        <stp/>
        <stp>BDP|14576285272140751091</stp>
        <tr r="E4" s="36"/>
        <tr r="E4" s="36"/>
      </tp>
      <tp t="s">
        <v>#N/A Requesting Data...3844823864</v>
        <stp/>
        <stp>BDP|17512800157333337842</stp>
        <tr r="G6" s="36"/>
      </tp>
      <tp t="s">
        <v>#N/A Requesting Data...3637806605</v>
        <stp/>
        <stp>BDP|16603133571564702277</stp>
        <tr r="L11" s="36"/>
        <tr r="L11" s="36"/>
      </tp>
      <tp t="s">
        <v>#N/A Requesting Data...4254736166</v>
        <stp/>
        <stp>BDP|17829792553516929760</stp>
        <tr r="E11" s="36"/>
        <tr r="E11" s="36"/>
      </tp>
      <tp t="s">
        <v>#N/A Requesting Data...3798376366</v>
        <stp/>
        <stp>BDP|11918283278344046478</stp>
        <tr r="G7" s="36"/>
        <tr r="G7" s="36"/>
      </tp>
      <tp t="s">
        <v>#N/A Requesting Data...3342744571</v>
        <stp/>
        <stp>BDP|13244935890774123372</stp>
        <tr r="M11" s="36"/>
        <tr r="M11" s="36"/>
      </tp>
      <tp t="s">
        <v>#N/A Requesting Data...3538741093</v>
        <stp/>
        <stp>BDP|15840056365164335230</stp>
        <tr r="I6" s="36"/>
        <tr r="I6" s="36"/>
      </tp>
      <tp t="s">
        <v>#N/A Requesting Data...3809740846</v>
        <stp/>
        <stp>BDP|18322996247826205623</stp>
        <tr r="G12" s="36"/>
        <tr r="G12" s="36"/>
      </tp>
      <tp t="s">
        <v>#N/A Requesting Data...3807387014</v>
        <stp/>
        <stp>BDP|12159241537796801073</stp>
        <tr r="I10" s="36"/>
        <tr r="I10" s="36"/>
      </tp>
    </main>
    <main first="bofaddin.rtdserver">
      <tp t="s">
        <v>#N/A Requesting Data...4258250912</v>
        <stp/>
        <stp>BDP|3146599556237368817</stp>
        <tr r="L12" s="36"/>
        <tr r="L12" s="36"/>
      </tp>
      <tp t="s">
        <v>#N/A Requesting Data...3797211029</v>
        <stp/>
        <stp>BDP|9171140230232951417</stp>
        <tr r="E12" s="36"/>
        <tr r="E12" s="36"/>
      </tp>
      <tp t="s">
        <v>#N/A Requesting Data...3564805635</v>
        <stp/>
        <stp>BDP|2575631684271373037</stp>
        <tr r="I11" s="36"/>
        <tr r="I11" s="36"/>
      </tp>
      <tp t="s">
        <v>#N/A Requesting Data...3751418576</v>
        <stp/>
        <stp>BDP|4670634732444606852</stp>
        <tr r="G8" s="36"/>
      </tp>
      <tp t="s">
        <v>#N/A Requesting Data...3419623548</v>
        <stp/>
        <stp>BDP|9236133754551978449</stp>
        <tr r="M4" s="36"/>
        <tr r="M4" s="36"/>
      </tp>
      <tp t="s">
        <v>#N/A Requesting Data...3232370291</v>
        <stp/>
        <stp>BDP|3494615020258900701</stp>
        <tr r="L7" s="36"/>
        <tr r="L7" s="36"/>
      </tp>
      <tp t="s">
        <v>#N/A Requesting Data...4160040272</v>
        <stp/>
        <stp>BDP|1690826337639003927</stp>
        <tr r="E6" s="36"/>
        <tr r="E6" s="36"/>
      </tp>
      <tp t="s">
        <v>#N/A Requesting Data...4264904814</v>
        <stp/>
        <stp>BDP|1751671672628802341</stp>
        <tr r="G10" s="36"/>
        <tr r="G10" s="36"/>
      </tp>
      <tp t="s">
        <v>#N/A Requesting Data...3634251408</v>
        <stp/>
        <stp>BDP|2358946749481047501</stp>
        <tr r="M10" s="36"/>
        <tr r="M10" s="36"/>
      </tp>
      <tp t="s">
        <v>#N/A Requesting Data...3485644093</v>
        <stp/>
        <stp>BDP|1381833160126473256</stp>
        <tr r="L8" s="36"/>
        <tr r="L8" s="36"/>
      </tp>
      <tp t="s">
        <v>#N/A Requesting Data...3514160556</v>
        <stp/>
        <stp>BDP|7103198732227054621</stp>
        <tr r="M12" s="36"/>
        <tr r="M12" s="36"/>
      </tp>
      <tp t="s">
        <v>#N/A Requesting Data...3298529344</v>
        <stp/>
        <stp>BDP|5515005957135670177</stp>
        <tr r="E8" s="36"/>
      </tp>
      <tp t="s">
        <v>#N/A Requesting Data...3580791186</v>
        <stp/>
        <stp>BDP|2440256255966957789</stp>
        <tr r="M9" s="36"/>
        <tr r="M9" s="36"/>
      </tp>
      <tp t="s">
        <v>#N/A Requesting Data...4139583002</v>
        <stp/>
        <stp>BDP|4944354813478522882</stp>
        <tr r="I9" s="36"/>
        <tr r="I9" s="36"/>
      </tp>
      <tp t="s">
        <v>#N/A Requesting Data...3831401968</v>
        <stp/>
        <stp>BDP|2973128910222406758</stp>
        <tr r="M6" s="36"/>
        <tr r="M6" s="36"/>
      </tp>
      <tp t="s">
        <v>#N/A Requesting Data...3334200858</v>
        <stp/>
        <stp>BDP|1716415545401522041</stp>
        <tr r="I7" s="36"/>
        <tr r="I7" s="36"/>
      </tp>
      <tp t="s">
        <v>#N/A Requesting Data...4165748725</v>
        <stp/>
        <stp>BDP|1623179475973220474</stp>
        <tr r="L1" s="36"/>
      </tp>
      <tp t="s">
        <v>#N/A Requesting Data...3820344188</v>
        <stp/>
        <stp>BDP|1183249945537544025</stp>
        <tr r="L4" s="36"/>
        <tr r="L4" s="36"/>
      </tp>
      <tp t="s">
        <v>#N/A Requesting Data...3490063082</v>
        <stp/>
        <stp>BDP|1522459102122973645</stp>
        <tr r="I8" s="36"/>
        <tr r="I8" s="36"/>
      </tp>
      <tp t="s">
        <v>#N/A Requesting Data...4015900203</v>
        <stp/>
        <stp>BDP|6153757552770817529</stp>
        <tr r="L5" s="36"/>
        <tr r="L5" s="36"/>
      </tp>
      <tp t="s">
        <v>#N/A Requesting Data...3816964928</v>
        <stp/>
        <stp>BDP|6510331088407595863</stp>
        <tr r="E1" s="36"/>
      </tp>
      <tp t="s">
        <v>#N/A Requesting Data...4193860091</v>
        <stp/>
        <stp>BDP|7816925450848067183</stp>
        <tr r="E10" s="36"/>
        <tr r="E10" s="36"/>
      </tp>
      <tp t="s">
        <v>#N/A Requesting Data...4117424047</v>
        <stp/>
        <stp>BDP|7172002266496323541</stp>
        <tr r="I1" s="36"/>
      </tp>
      <tp t="s">
        <v>#N/A Requesting Data...3766847966</v>
        <stp/>
        <stp>BDP|7205172013057941385</stp>
        <tr r="M1" s="36"/>
      </tp>
      <tp t="s">
        <v>#N/A Requesting Data...3983293706</v>
        <stp/>
        <stp>BDP|54393005123069766</stp>
        <tr r="G4" s="36"/>
      </tp>
      <tp t="s">
        <v>#N/A Requesting Data...4132311616</v>
        <stp/>
        <stp>BDP|790501549355295237</stp>
        <tr r="E5" s="36"/>
        <tr r="E5" s="36"/>
      </tp>
      <tp t="s">
        <v>#N/A Requesting Data...4101427714</v>
        <stp/>
        <stp>BDP|735595237573079399</stp>
        <tr r="G9" s="36"/>
      </tp>
      <tp t="s">
        <v>#N/A Requesting Data...3925017408</v>
        <stp/>
        <stp>BDP|747324942737672199</stp>
        <tr r="E7" s="36"/>
        <tr r="E7" s="3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OutputBloomberg!$N$1</c:f>
              <c:strCache>
                <c:ptCount val="1"/>
                <c:pt idx="0">
                  <c:v>Default Probability Credit Score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2"/>
              </a:solidFill>
            </a:ln>
            <a:effectLst/>
          </c:spPr>
          <c:invertIfNegative val="0"/>
          <c:cat>
            <c:strRef>
              <c:f>OutputBloomberg!$A$2:$A$10</c:f>
              <c:strCache>
                <c:ptCount val="9"/>
                <c:pt idx="0">
                  <c:v>ANZ (London)</c:v>
                </c:pt>
                <c:pt idx="1">
                  <c:v>BNP Paribas (Luxembourg)</c:v>
                </c:pt>
                <c:pt idx="2">
                  <c:v>CIC (Paris)</c:v>
                </c:pt>
                <c:pt idx="3">
                  <c:v>Natixis (Paris)</c:v>
                </c:pt>
                <c:pt idx="4">
                  <c:v>Pictet &amp; Cie (Europe)</c:v>
                </c:pt>
                <c:pt idx="5">
                  <c:v>Société Générale (Paris)</c:v>
                </c:pt>
                <c:pt idx="6">
                  <c:v>Morgan Stanley (US)</c:v>
                </c:pt>
                <c:pt idx="7">
                  <c:v>Northern trust</c:v>
                </c:pt>
                <c:pt idx="8">
                  <c:v>Goldman Sachs</c:v>
                </c:pt>
              </c:strCache>
            </c:strRef>
          </c:cat>
          <c:val>
            <c:numRef>
              <c:f>OutputBloomberg!$N$2:$N$10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D0-4798-BAF3-5475ADFE5CAF}"/>
            </c:ext>
          </c:extLst>
        </c:ser>
        <c:ser>
          <c:idx val="6"/>
          <c:order val="8"/>
          <c:tx>
            <c:strRef>
              <c:f>OutputBloomberg!$K$1</c:f>
              <c:strCache>
                <c:ptCount val="1"/>
                <c:pt idx="0">
                  <c:v>Rating Credit Score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OutputBloomberg!$A$2:$A$10</c:f>
              <c:strCache>
                <c:ptCount val="9"/>
                <c:pt idx="0">
                  <c:v>ANZ (London)</c:v>
                </c:pt>
                <c:pt idx="1">
                  <c:v>BNP Paribas (Luxembourg)</c:v>
                </c:pt>
                <c:pt idx="2">
                  <c:v>CIC (Paris)</c:v>
                </c:pt>
                <c:pt idx="3">
                  <c:v>Natixis (Paris)</c:v>
                </c:pt>
                <c:pt idx="4">
                  <c:v>Pictet &amp; Cie (Europe)</c:v>
                </c:pt>
                <c:pt idx="5">
                  <c:v>Société Générale (Paris)</c:v>
                </c:pt>
                <c:pt idx="6">
                  <c:v>Morgan Stanley (US)</c:v>
                </c:pt>
                <c:pt idx="7">
                  <c:v>Northern trust</c:v>
                </c:pt>
                <c:pt idx="8">
                  <c:v>Goldman Sachs</c:v>
                </c:pt>
              </c:strCache>
            </c:strRef>
          </c:cat>
          <c:val>
            <c:numRef>
              <c:f>OutputBloomberg!$K$2:$K$10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55D0-4798-BAF3-5475ADFE5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584097824"/>
        <c:axId val="584098216"/>
        <c:extLst>
          <c:ext xmlns:c15="http://schemas.microsoft.com/office/drawing/2012/chart" uri="{02D57815-91ED-43cb-92C2-25804820EDAC}">
            <c15:filteredBa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OutputBloomberg!$J$1</c15:sqref>
                        </c15:formulaRef>
                      </c:ext>
                    </c:extLst>
                    <c:strCache>
                      <c:ptCount val="1"/>
                      <c:pt idx="0">
                        <c:v>Fitch Credit Score</c:v>
                      </c:pt>
                    </c:strCache>
                  </c:strRef>
                </c:tx>
                <c:spPr>
                  <a:solidFill>
                    <a:schemeClr val="accent1">
                      <a:lumMod val="40000"/>
                      <a:lumOff val="60000"/>
                    </a:schemeClr>
                  </a:solidFill>
                  <a:ln>
                    <a:solidFill>
                      <a:schemeClr val="tx2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OutputBloomberg!$J$2:$J$10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3</c:v>
                      </c:pt>
                      <c:pt idx="1">
                        <c:v>3</c:v>
                      </c:pt>
                      <c:pt idx="2">
                        <c:v>3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3</c:v>
                      </c:pt>
                      <c:pt idx="6">
                        <c:v>3</c:v>
                      </c:pt>
                      <c:pt idx="7">
                        <c:v>2</c:v>
                      </c:pt>
                      <c:pt idx="8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5D0-4798-BAF3-5475ADFE5CAF}"/>
                  </c:ext>
                </c:extLst>
              </c15:ser>
            </c15:filteredBarSeries>
            <c15:filteredBarSeries>
              <c15:ser>
                <c:idx val="8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OutputBloomberg!$M$1</c15:sqref>
                        </c15:formulaRef>
                      </c:ext>
                    </c:extLst>
                    <c:strCache>
                      <c:ptCount val="1"/>
                      <c:pt idx="0">
                        <c:v>Default Probability (DRSK)</c:v>
                      </c:pt>
                    </c:strCache>
                  </c:strRef>
                </c:tx>
                <c:spPr>
                  <a:solidFill>
                    <a:schemeClr val="accent1">
                      <a:lumMod val="20000"/>
                      <a:lumOff val="80000"/>
                    </a:schemeClr>
                  </a:solidFill>
                  <a:ln>
                    <a:solidFill>
                      <a:schemeClr val="tx2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OutputBloomberg!$M$2:$M$10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1.180353976831805E-4</c:v>
                      </c:pt>
                      <c:pt idx="1">
                        <c:v>1.9869932409675162E-3</c:v>
                      </c:pt>
                      <c:pt idx="2">
                        <c:v>7.6004189911569759E-5</c:v>
                      </c:pt>
                      <c:pt idx="3">
                        <c:v>7.3501426491625585E-5</c:v>
                      </c:pt>
                      <c:pt idx="4">
                        <c:v>3.7517239359008093E-3</c:v>
                      </c:pt>
                      <c:pt idx="5">
                        <c:v>5.1735423077856613E-3</c:v>
                      </c:pt>
                      <c:pt idx="6">
                        <c:v>2.9560771453440715E-5</c:v>
                      </c:pt>
                      <c:pt idx="7">
                        <c:v>1.1844887200862519E-4</c:v>
                      </c:pt>
                      <c:pt idx="8">
                        <c:v>6.5169469385917278E-4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5D0-4798-BAF3-5475ADFE5CAF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OutputBloomberg!$E$1</c15:sqref>
                        </c15:formulaRef>
                      </c:ext>
                    </c:extLst>
                    <c:strCache>
                      <c:ptCount val="1"/>
                      <c:pt idx="0">
                        <c:v>S&amp;P Rating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OutputBloomberg!$E$2:$E$10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5D0-4798-BAF3-5475ADFE5CAF}"/>
                  </c:ext>
                </c:extLst>
              </c15:ser>
            </c15:filteredBarSeries>
            <c15:filteredBa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OutputBloomberg!$F$1</c15:sqref>
                        </c15:formulaRef>
                      </c:ext>
                    </c:extLst>
                    <c:strCache>
                      <c:ptCount val="1"/>
                      <c:pt idx="0">
                        <c:v>S&amp;P Credit Score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OutputBloomberg!$F$2:$F$10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2</c:v>
                      </c:pt>
                      <c:pt idx="1">
                        <c:v>3</c:v>
                      </c:pt>
                      <c:pt idx="2">
                        <c:v>3</c:v>
                      </c:pt>
                      <c:pt idx="3">
                        <c:v>3</c:v>
                      </c:pt>
                      <c:pt idx="4">
                        <c:v>0</c:v>
                      </c:pt>
                      <c:pt idx="5">
                        <c:v>3</c:v>
                      </c:pt>
                      <c:pt idx="6">
                        <c:v>3</c:v>
                      </c:pt>
                      <c:pt idx="7">
                        <c:v>3</c:v>
                      </c:pt>
                      <c:pt idx="8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5D0-4798-BAF3-5475ADFE5CAF}"/>
                  </c:ext>
                </c:extLst>
              </c15:ser>
            </c15:filteredBarSeries>
            <c15:filteredBarSeries>
              <c15:ser>
                <c:idx val="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OutputBloomberg!$G$1</c15:sqref>
                        </c15:formulaRef>
                      </c:ext>
                    </c:extLst>
                    <c:strCache>
                      <c:ptCount val="1"/>
                      <c:pt idx="0">
                        <c:v>Moody's Rating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OutputBloomberg!$G$2:$G$10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5D0-4798-BAF3-5475ADFE5CAF}"/>
                  </c:ext>
                </c:extLst>
              </c15:ser>
            </c15:filteredBarSeries>
            <c15:filteredBa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OutputBloomberg!$H$1</c15:sqref>
                        </c15:formulaRef>
                      </c:ext>
                    </c:extLst>
                    <c:strCache>
                      <c:ptCount val="1"/>
                      <c:pt idx="0">
                        <c:v>Moodys Credit Score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OutputBloomberg!$H$2:$H$10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2</c:v>
                      </c:pt>
                      <c:pt idx="2">
                        <c:v>0</c:v>
                      </c:pt>
                      <c:pt idx="3">
                        <c:v>3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3</c:v>
                      </c:pt>
                      <c:pt idx="8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5D0-4798-BAF3-5475ADFE5CAF}"/>
                  </c:ext>
                </c:extLst>
              </c15:ser>
            </c15:filteredBarSeries>
            <c15:filteredBarSeries>
              <c15:ser>
                <c:idx val="4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OutputBloomberg!$I$1</c15:sqref>
                        </c15:formulaRef>
                      </c:ext>
                    </c:extLst>
                    <c:strCache>
                      <c:ptCount val="1"/>
                      <c:pt idx="0">
                        <c:v>Fitch Rating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OutputBloomberg!$I$2:$I$10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5D0-4798-BAF3-5475ADFE5CAF}"/>
                  </c:ext>
                </c:extLst>
              </c15:ser>
            </c15:filteredBarSeries>
            <c15:filteredBa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OutputBloomberg!$L$1</c15:sqref>
                        </c15:formulaRef>
                      </c:ext>
                    </c:extLst>
                    <c:strCache>
                      <c:ptCount val="1"/>
                      <c:pt idx="0">
                        <c:v>Credit Spread (DRSK)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OutputBloomberg!$A$2:$A$10</c15:sqref>
                        </c15:formulaRef>
                      </c:ext>
                    </c:extLst>
                    <c:strCache>
                      <c:ptCount val="9"/>
                      <c:pt idx="0">
                        <c:v>ANZ (London)</c:v>
                      </c:pt>
                      <c:pt idx="1">
                        <c:v>BNP Paribas (Luxembourg)</c:v>
                      </c:pt>
                      <c:pt idx="2">
                        <c:v>CIC (Paris)</c:v>
                      </c:pt>
                      <c:pt idx="3">
                        <c:v>Natixis (Paris)</c:v>
                      </c:pt>
                      <c:pt idx="4">
                        <c:v>Pictet &amp; Cie (Europe)</c:v>
                      </c:pt>
                      <c:pt idx="5">
                        <c:v>Société Générale (Paris)</c:v>
                      </c:pt>
                      <c:pt idx="6">
                        <c:v>Morgan Stanley (US)</c:v>
                      </c:pt>
                      <c:pt idx="7">
                        <c:v>Northern trust</c:v>
                      </c:pt>
                      <c:pt idx="8">
                        <c:v>Goldman Sachs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OutputBloomberg!$L$2:$L$10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96.910841139281516</c:v>
                      </c:pt>
                      <c:pt idx="1">
                        <c:v>78.38248144331601</c:v>
                      </c:pt>
                      <c:pt idx="2">
                        <c:v>49.053241530751762</c:v>
                      </c:pt>
                      <c:pt idx="3">
                        <c:v>48.817925861158052</c:v>
                      </c:pt>
                      <c:pt idx="4">
                        <c:v>154.74968005995592</c:v>
                      </c:pt>
                      <c:pt idx="5">
                        <c:v>89.929754494905808</c:v>
                      </c:pt>
                      <c:pt idx="6">
                        <c:v>61.437112811932494</c:v>
                      </c:pt>
                      <c:pt idx="7">
                        <c:v>111.52504776273845</c:v>
                      </c:pt>
                      <c:pt idx="8">
                        <c:v>89.444696092461385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5D0-4798-BAF3-5475ADFE5CA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0"/>
          <c:order val="10"/>
          <c:tx>
            <c:strRef>
              <c:f>OutputBloomberg!$O$1</c:f>
              <c:strCache>
                <c:ptCount val="1"/>
                <c:pt idx="0">
                  <c:v>Credit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OutputBloomberg!$A$2:$A$10</c:f>
              <c:strCache>
                <c:ptCount val="9"/>
                <c:pt idx="0">
                  <c:v>ANZ (London)</c:v>
                </c:pt>
                <c:pt idx="1">
                  <c:v>BNP Paribas (Luxembourg)</c:v>
                </c:pt>
                <c:pt idx="2">
                  <c:v>CIC (Paris)</c:v>
                </c:pt>
                <c:pt idx="3">
                  <c:v>Natixis (Paris)</c:v>
                </c:pt>
                <c:pt idx="4">
                  <c:v>Pictet &amp; Cie (Europe)</c:v>
                </c:pt>
                <c:pt idx="5">
                  <c:v>Société Générale (Paris)</c:v>
                </c:pt>
                <c:pt idx="6">
                  <c:v>Morgan Stanley (US)</c:v>
                </c:pt>
                <c:pt idx="7">
                  <c:v>Northern trust</c:v>
                </c:pt>
                <c:pt idx="8">
                  <c:v>Goldman Sachs</c:v>
                </c:pt>
              </c:strCache>
            </c:strRef>
          </c:cat>
          <c:val>
            <c:numRef>
              <c:f>OutputBloomberg!$O$2:$O$10</c:f>
              <c:numCache>
                <c:formatCode>General</c:formatCode>
                <c:ptCount val="9"/>
                <c:pt idx="0">
                  <c:v>2.5</c:v>
                </c:pt>
                <c:pt idx="1">
                  <c:v>3.5</c:v>
                </c:pt>
                <c:pt idx="2">
                  <c:v>2.5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2</c:v>
                </c:pt>
                <c:pt idx="7">
                  <c:v>2.5</c:v>
                </c:pt>
                <c:pt idx="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5D0-4798-BAF3-5475ADFE5CAF}"/>
            </c:ext>
          </c:extLst>
        </c:ser>
        <c:ser>
          <c:idx val="11"/>
          <c:order val="11"/>
          <c:tx>
            <c:strRef>
              <c:f>OutputBloomberg!$P$1</c:f>
              <c:strCache>
                <c:ptCount val="1"/>
                <c:pt idx="0">
                  <c:v>Credit Score Warning limit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OutputBloomberg!$A$2:$A$10</c:f>
              <c:strCache>
                <c:ptCount val="9"/>
                <c:pt idx="0">
                  <c:v>ANZ (London)</c:v>
                </c:pt>
                <c:pt idx="1">
                  <c:v>BNP Paribas (Luxembourg)</c:v>
                </c:pt>
                <c:pt idx="2">
                  <c:v>CIC (Paris)</c:v>
                </c:pt>
                <c:pt idx="3">
                  <c:v>Natixis (Paris)</c:v>
                </c:pt>
                <c:pt idx="4">
                  <c:v>Pictet &amp; Cie (Europe)</c:v>
                </c:pt>
                <c:pt idx="5">
                  <c:v>Société Générale (Paris)</c:v>
                </c:pt>
                <c:pt idx="6">
                  <c:v>Morgan Stanley (US)</c:v>
                </c:pt>
                <c:pt idx="7">
                  <c:v>Northern trust</c:v>
                </c:pt>
                <c:pt idx="8">
                  <c:v>Goldman Sachs</c:v>
                </c:pt>
              </c:strCache>
            </c:strRef>
          </c:cat>
          <c:val>
            <c:numRef>
              <c:f>OutputBloomberg!$P$2:$P$10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5D0-4798-BAF3-5475ADFE5CAF}"/>
            </c:ext>
          </c:extLst>
        </c:ser>
        <c:ser>
          <c:idx val="12"/>
          <c:order val="12"/>
          <c:tx>
            <c:strRef>
              <c:f>OutputBloomberg!$Q$1</c:f>
              <c:strCache>
                <c:ptCount val="1"/>
                <c:pt idx="0">
                  <c:v>Credit Score Error limit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OutputBloomberg!$A$2:$A$10</c:f>
              <c:strCache>
                <c:ptCount val="9"/>
                <c:pt idx="0">
                  <c:v>ANZ (London)</c:v>
                </c:pt>
                <c:pt idx="1">
                  <c:v>BNP Paribas (Luxembourg)</c:v>
                </c:pt>
                <c:pt idx="2">
                  <c:v>CIC (Paris)</c:v>
                </c:pt>
                <c:pt idx="3">
                  <c:v>Natixis (Paris)</c:v>
                </c:pt>
                <c:pt idx="4">
                  <c:v>Pictet &amp; Cie (Europe)</c:v>
                </c:pt>
                <c:pt idx="5">
                  <c:v>Société Générale (Paris)</c:v>
                </c:pt>
                <c:pt idx="6">
                  <c:v>Morgan Stanley (US)</c:v>
                </c:pt>
                <c:pt idx="7">
                  <c:v>Northern trust</c:v>
                </c:pt>
                <c:pt idx="8">
                  <c:v>Goldman Sachs</c:v>
                </c:pt>
              </c:strCache>
            </c:strRef>
          </c:cat>
          <c:val>
            <c:numRef>
              <c:f>OutputBloomberg!$Q$2:$Q$10</c:f>
              <c:numCache>
                <c:formatCode>General</c:formatCode>
                <c:ptCount val="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5D0-4798-BAF3-5475ADFE5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97824"/>
        <c:axId val="584098216"/>
        <c:extLst/>
      </c:lineChart>
      <c:catAx>
        <c:axId val="58409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98216"/>
        <c:crosses val="autoZero"/>
        <c:auto val="1"/>
        <c:lblAlgn val="ctr"/>
        <c:lblOffset val="100"/>
        <c:noMultiLvlLbl val="0"/>
      </c:catAx>
      <c:valAx>
        <c:axId val="58409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/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9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</xdr:row>
          <xdr:rowOff>28575</xdr:rowOff>
        </xdr:from>
        <xdr:to>
          <xdr:col>0</xdr:col>
          <xdr:colOff>342900</xdr:colOff>
          <xdr:row>4</xdr:row>
          <xdr:rowOff>200025</xdr:rowOff>
        </xdr:to>
        <xdr:sp macro="" textlink="">
          <xdr:nvSpPr>
            <xdr:cNvPr id="2054" name="CheckBox_CheckBusinessDa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7</xdr:row>
          <xdr:rowOff>19050</xdr:rowOff>
        </xdr:from>
        <xdr:to>
          <xdr:col>0</xdr:col>
          <xdr:colOff>342900</xdr:colOff>
          <xdr:row>7</xdr:row>
          <xdr:rowOff>190500</xdr:rowOff>
        </xdr:to>
        <xdr:sp macro="" textlink="">
          <xdr:nvSpPr>
            <xdr:cNvPr id="2055" name="CheckBox_CheckDataUpToDat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12</xdr:row>
          <xdr:rowOff>28575</xdr:rowOff>
        </xdr:from>
        <xdr:to>
          <xdr:col>0</xdr:col>
          <xdr:colOff>342900</xdr:colOff>
          <xdr:row>12</xdr:row>
          <xdr:rowOff>200025</xdr:rowOff>
        </xdr:to>
        <xdr:sp macro="" textlink="">
          <xdr:nvSpPr>
            <xdr:cNvPr id="2056" name="CheckBox_Sav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9</xdr:row>
          <xdr:rowOff>28575</xdr:rowOff>
        </xdr:from>
        <xdr:to>
          <xdr:col>0</xdr:col>
          <xdr:colOff>342900</xdr:colOff>
          <xdr:row>9</xdr:row>
          <xdr:rowOff>200025</xdr:rowOff>
        </xdr:to>
        <xdr:sp macro="" textlink="">
          <xdr:nvSpPr>
            <xdr:cNvPr id="2057" name="CheckBox_ExportDat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28575</xdr:rowOff>
        </xdr:from>
        <xdr:to>
          <xdr:col>0</xdr:col>
          <xdr:colOff>342900</xdr:colOff>
          <xdr:row>13</xdr:row>
          <xdr:rowOff>200025</xdr:rowOff>
        </xdr:to>
        <xdr:sp macro="" textlink="">
          <xdr:nvSpPr>
            <xdr:cNvPr id="2058" name="CheckBox_CloseFil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57150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</xdr:row>
          <xdr:rowOff>19050</xdr:rowOff>
        </xdr:from>
        <xdr:to>
          <xdr:col>0</xdr:col>
          <xdr:colOff>352425</xdr:colOff>
          <xdr:row>3</xdr:row>
          <xdr:rowOff>190500</xdr:rowOff>
        </xdr:to>
        <xdr:sp macro="" textlink="">
          <xdr:nvSpPr>
            <xdr:cNvPr id="2061" name="CheckBox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3</xdr:row>
          <xdr:rowOff>19050</xdr:rowOff>
        </xdr:from>
        <xdr:to>
          <xdr:col>0</xdr:col>
          <xdr:colOff>342900</xdr:colOff>
          <xdr:row>3</xdr:row>
          <xdr:rowOff>190500</xdr:rowOff>
        </xdr:to>
        <xdr:sp macro="" textlink="">
          <xdr:nvSpPr>
            <xdr:cNvPr id="2066" name="CheckBox_AutoStar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11</xdr:row>
          <xdr:rowOff>19050</xdr:rowOff>
        </xdr:from>
        <xdr:to>
          <xdr:col>0</xdr:col>
          <xdr:colOff>342900</xdr:colOff>
          <xdr:row>11</xdr:row>
          <xdr:rowOff>190500</xdr:rowOff>
        </xdr:to>
        <xdr:sp macro="" textlink="">
          <xdr:nvSpPr>
            <xdr:cNvPr id="2067" name="CheckBox_MailGlobalStatu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</xdr:row>
          <xdr:rowOff>19050</xdr:rowOff>
        </xdr:from>
        <xdr:to>
          <xdr:col>0</xdr:col>
          <xdr:colOff>342900</xdr:colOff>
          <xdr:row>2</xdr:row>
          <xdr:rowOff>190500</xdr:rowOff>
        </xdr:to>
        <xdr:sp macro="" textlink="">
          <xdr:nvSpPr>
            <xdr:cNvPr id="2068" name="CheckBox_CheckLibrarie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35298</xdr:colOff>
      <xdr:row>3</xdr:row>
      <xdr:rowOff>33621</xdr:rowOff>
    </xdr:from>
    <xdr:to>
      <xdr:col>20</xdr:col>
      <xdr:colOff>562801</xdr:colOff>
      <xdr:row>12</xdr:row>
      <xdr:rowOff>134838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7210" y="1243856"/>
          <a:ext cx="7766503" cy="1995011"/>
        </a:xfrm>
        <a:prstGeom prst="rect">
          <a:avLst/>
        </a:prstGeom>
      </xdr:spPr>
    </xdr:pic>
    <xdr:clientData/>
  </xdr:twoCellAnchor>
  <xdr:twoCellAnchor editAs="oneCell">
    <xdr:from>
      <xdr:col>13</xdr:col>
      <xdr:colOff>30810</xdr:colOff>
      <xdr:row>12</xdr:row>
      <xdr:rowOff>134473</xdr:rowOff>
    </xdr:from>
    <xdr:to>
      <xdr:col>20</xdr:col>
      <xdr:colOff>103841</xdr:colOff>
      <xdr:row>48</xdr:row>
      <xdr:rowOff>71403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2722" y="3238502"/>
          <a:ext cx="7312031" cy="7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314324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Feathered">
  <a:themeElements>
    <a:clrScheme name="iW Partners">
      <a:dk1>
        <a:srgbClr val="4A4D52"/>
      </a:dk1>
      <a:lt1>
        <a:srgbClr val="E4E6E8"/>
      </a:lt1>
      <a:dk2>
        <a:srgbClr val="687078"/>
      </a:dk2>
      <a:lt2>
        <a:srgbClr val="C6D1D7"/>
      </a:lt2>
      <a:accent1>
        <a:srgbClr val="FAC500"/>
      </a:accent1>
      <a:accent2>
        <a:srgbClr val="F59C00"/>
      </a:accent2>
      <a:accent3>
        <a:srgbClr val="D33D0F"/>
      </a:accent3>
      <a:accent4>
        <a:srgbClr val="901A37"/>
      </a:accent4>
      <a:accent5>
        <a:srgbClr val="559172"/>
      </a:accent5>
      <a:accent6>
        <a:srgbClr val="4A66AC"/>
      </a:accent6>
      <a:hlink>
        <a:srgbClr val="0563C1"/>
      </a:hlink>
      <a:folHlink>
        <a:srgbClr val="954F72"/>
      </a:folHlink>
    </a:clrScheme>
    <a:fontScheme name="Feathered">
      <a:majorFont>
        <a:latin typeface="Century Schoolbook" panose="02040604050505020304"/>
        <a:ea typeface=""/>
        <a:cs typeface=""/>
        <a:font script="Jpan" typeface="メイリオ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D20"/>
  <sheetViews>
    <sheetView tabSelected="1" zoomScaleNormal="100" workbookViewId="0">
      <selection activeCell="A4" sqref="A4"/>
    </sheetView>
  </sheetViews>
  <sheetFormatPr defaultColWidth="8.85546875" defaultRowHeight="15"/>
  <cols>
    <col min="1" max="1" width="9.7109375" style="1" bestFit="1" customWidth="1"/>
    <col min="2" max="2" width="17.28515625" style="1" customWidth="1"/>
    <col min="3" max="3" width="16.140625" style="1" bestFit="1" customWidth="1"/>
    <col min="4" max="4" width="67.28515625" style="1" customWidth="1"/>
    <col min="5" max="16384" width="8.85546875" style="1"/>
  </cols>
  <sheetData>
    <row r="1" spans="1:4" ht="27" customHeight="1"/>
    <row r="2" spans="1:4" s="4" customFormat="1">
      <c r="A2" s="48" t="s">
        <v>16</v>
      </c>
      <c r="B2" s="48" t="s">
        <v>17</v>
      </c>
      <c r="C2" s="48" t="s">
        <v>18</v>
      </c>
      <c r="D2" s="48" t="s">
        <v>19</v>
      </c>
    </row>
    <row r="3" spans="1:4" ht="16.899999999999999" customHeight="1">
      <c r="A3" s="5"/>
      <c r="B3" s="6"/>
      <c r="C3" s="6" t="s">
        <v>15</v>
      </c>
      <c r="D3" s="5" t="s">
        <v>90</v>
      </c>
    </row>
    <row r="4" spans="1:4" ht="16.899999999999999" customHeight="1">
      <c r="A4" s="5"/>
      <c r="B4" s="6"/>
      <c r="C4" s="6" t="s">
        <v>15</v>
      </c>
      <c r="D4" s="5" t="s">
        <v>20</v>
      </c>
    </row>
    <row r="5" spans="1:4" ht="16.899999999999999" customHeight="1">
      <c r="A5" s="5"/>
      <c r="B5" s="6" t="s">
        <v>3</v>
      </c>
      <c r="C5" s="6" t="s">
        <v>10</v>
      </c>
      <c r="D5" s="5" t="s">
        <v>1</v>
      </c>
    </row>
    <row r="6" spans="1:4" ht="16.899999999999999" customHeight="1">
      <c r="A6" s="5"/>
      <c r="B6" s="6" t="s">
        <v>4</v>
      </c>
      <c r="C6" s="6" t="s">
        <v>10</v>
      </c>
      <c r="D6" s="5" t="s">
        <v>2</v>
      </c>
    </row>
    <row r="7" spans="1:4" ht="16.899999999999999" customHeight="1">
      <c r="A7" s="5"/>
      <c r="B7" s="6" t="s">
        <v>5</v>
      </c>
      <c r="C7" s="6" t="s">
        <v>10</v>
      </c>
      <c r="D7" s="5" t="s">
        <v>9</v>
      </c>
    </row>
    <row r="8" spans="1:4" ht="16.899999999999999" customHeight="1">
      <c r="A8" s="5"/>
      <c r="B8" s="6" t="s">
        <v>6</v>
      </c>
      <c r="C8" s="6" t="s">
        <v>10</v>
      </c>
      <c r="D8" s="5" t="s">
        <v>46</v>
      </c>
    </row>
    <row r="9" spans="1:4" ht="16.899999999999999" customHeight="1">
      <c r="A9" s="5"/>
      <c r="B9" s="6" t="s">
        <v>7</v>
      </c>
      <c r="C9" s="6" t="s">
        <v>11</v>
      </c>
      <c r="D9" s="5" t="s">
        <v>12</v>
      </c>
    </row>
    <row r="10" spans="1:4" ht="16.899999999999999" customHeight="1">
      <c r="A10" s="5"/>
      <c r="B10" s="6" t="s">
        <v>8</v>
      </c>
      <c r="C10" s="6" t="s">
        <v>11</v>
      </c>
      <c r="D10" s="5" t="s">
        <v>14</v>
      </c>
    </row>
    <row r="11" spans="1:4" ht="16.899999999999999" customHeight="1">
      <c r="A11" s="5"/>
      <c r="B11" s="6" t="s">
        <v>13</v>
      </c>
      <c r="C11" s="6" t="s">
        <v>10</v>
      </c>
      <c r="D11" s="5" t="s">
        <v>37</v>
      </c>
    </row>
    <row r="12" spans="1:4" ht="16.899999999999999" customHeight="1">
      <c r="A12" s="5"/>
      <c r="B12" s="6"/>
      <c r="C12" s="6" t="s">
        <v>15</v>
      </c>
      <c r="D12" s="5" t="s">
        <v>47</v>
      </c>
    </row>
    <row r="13" spans="1:4" ht="16.899999999999999" customHeight="1">
      <c r="A13" s="5"/>
      <c r="B13" s="6"/>
      <c r="C13" s="6" t="s">
        <v>15</v>
      </c>
      <c r="D13" s="5" t="s">
        <v>0</v>
      </c>
    </row>
    <row r="14" spans="1:4" s="3" customFormat="1" ht="16.899999999999999" customHeight="1">
      <c r="A14" s="7"/>
      <c r="B14" s="6"/>
      <c r="C14" s="6" t="s">
        <v>15</v>
      </c>
      <c r="D14" s="7" t="s">
        <v>38</v>
      </c>
    </row>
    <row r="20" spans="4:4">
      <c r="D20" s="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heckBox_ExportData">
          <controlPr defaultSize="0" autoLine="0" r:id="rId5">
            <anchor moveWithCells="1">
              <from>
                <xdr:col>0</xdr:col>
                <xdr:colOff>161925</xdr:colOff>
                <xdr:row>9</xdr:row>
                <xdr:rowOff>28575</xdr:rowOff>
              </from>
              <to>
                <xdr:col>0</xdr:col>
                <xdr:colOff>342900</xdr:colOff>
                <xdr:row>9</xdr:row>
                <xdr:rowOff>200025</xdr:rowOff>
              </to>
            </anchor>
          </controlPr>
        </control>
      </mc:Choice>
      <mc:Fallback>
        <control shapeId="2057" r:id="rId4" name="CheckBox_ExportData"/>
      </mc:Fallback>
    </mc:AlternateContent>
    <mc:AlternateContent xmlns:mc="http://schemas.openxmlformats.org/markup-compatibility/2006">
      <mc:Choice Requires="x14">
        <control shapeId="2056" r:id="rId6" name="CheckBox_SaveFile">
          <controlPr defaultSize="0" autoLine="0" r:id="rId7">
            <anchor moveWithCells="1">
              <from>
                <xdr:col>0</xdr:col>
                <xdr:colOff>161925</xdr:colOff>
                <xdr:row>12</xdr:row>
                <xdr:rowOff>28575</xdr:rowOff>
              </from>
              <to>
                <xdr:col>0</xdr:col>
                <xdr:colOff>342900</xdr:colOff>
                <xdr:row>12</xdr:row>
                <xdr:rowOff>200025</xdr:rowOff>
              </to>
            </anchor>
          </controlPr>
        </control>
      </mc:Choice>
      <mc:Fallback>
        <control shapeId="2056" r:id="rId6" name="CheckBox_SaveFile"/>
      </mc:Fallback>
    </mc:AlternateContent>
    <mc:AlternateContent xmlns:mc="http://schemas.openxmlformats.org/markup-compatibility/2006">
      <mc:Choice Requires="x14">
        <control shapeId="2055" r:id="rId8" name="CheckBox_CheckDataUpToDate">
          <controlPr defaultSize="0" autoLine="0" r:id="rId5">
            <anchor moveWithCells="1">
              <from>
                <xdr:col>0</xdr:col>
                <xdr:colOff>161925</xdr:colOff>
                <xdr:row>7</xdr:row>
                <xdr:rowOff>19050</xdr:rowOff>
              </from>
              <to>
                <xdr:col>0</xdr:col>
                <xdr:colOff>342900</xdr:colOff>
                <xdr:row>7</xdr:row>
                <xdr:rowOff>190500</xdr:rowOff>
              </to>
            </anchor>
          </controlPr>
        </control>
      </mc:Choice>
      <mc:Fallback>
        <control shapeId="2055" r:id="rId8" name="CheckBox_CheckDataUpToDate"/>
      </mc:Fallback>
    </mc:AlternateContent>
    <mc:AlternateContent xmlns:mc="http://schemas.openxmlformats.org/markup-compatibility/2006">
      <mc:Choice Requires="x14">
        <control shapeId="2054" r:id="rId9" name="CheckBox_CheckBusinessDay">
          <controlPr defaultSize="0" autoLine="0" r:id="rId7">
            <anchor moveWithCells="1">
              <from>
                <xdr:col>0</xdr:col>
                <xdr:colOff>161925</xdr:colOff>
                <xdr:row>4</xdr:row>
                <xdr:rowOff>28575</xdr:rowOff>
              </from>
              <to>
                <xdr:col>0</xdr:col>
                <xdr:colOff>342900</xdr:colOff>
                <xdr:row>4</xdr:row>
                <xdr:rowOff>200025</xdr:rowOff>
              </to>
            </anchor>
          </controlPr>
        </control>
      </mc:Choice>
      <mc:Fallback>
        <control shapeId="2054" r:id="rId9" name="CheckBox_CheckBusinessDay"/>
      </mc:Fallback>
    </mc:AlternateContent>
    <mc:AlternateContent xmlns:mc="http://schemas.openxmlformats.org/markup-compatibility/2006">
      <mc:Choice Requires="x14">
        <control shapeId="2058" r:id="rId10" name="CheckBox_CloseFile">
          <controlPr defaultSize="0" autoLine="0" r:id="rId7">
            <anchor moveWithCells="1">
              <from>
                <xdr:col>0</xdr:col>
                <xdr:colOff>161925</xdr:colOff>
                <xdr:row>13</xdr:row>
                <xdr:rowOff>28575</xdr:rowOff>
              </from>
              <to>
                <xdr:col>0</xdr:col>
                <xdr:colOff>342900</xdr:colOff>
                <xdr:row>13</xdr:row>
                <xdr:rowOff>200025</xdr:rowOff>
              </to>
            </anchor>
          </controlPr>
        </control>
      </mc:Choice>
      <mc:Fallback>
        <control shapeId="2058" r:id="rId10" name="CheckBox_CloseFile"/>
      </mc:Fallback>
    </mc:AlternateContent>
    <mc:AlternateContent xmlns:mc="http://schemas.openxmlformats.org/markup-compatibility/2006">
      <mc:Choice Requires="x14">
        <control shapeId="2061" r:id="rId11" name="CheckBox1">
          <controlPr defaultSize="0" autoLine="0" r:id="rId7">
            <anchor moveWithCells="1">
              <from>
                <xdr:col>0</xdr:col>
                <xdr:colOff>171450</xdr:colOff>
                <xdr:row>3</xdr:row>
                <xdr:rowOff>19050</xdr:rowOff>
              </from>
              <to>
                <xdr:col>0</xdr:col>
                <xdr:colOff>352425</xdr:colOff>
                <xdr:row>3</xdr:row>
                <xdr:rowOff>190500</xdr:rowOff>
              </to>
            </anchor>
          </controlPr>
        </control>
      </mc:Choice>
      <mc:Fallback>
        <control shapeId="2061" r:id="rId11" name="CheckBox1"/>
      </mc:Fallback>
    </mc:AlternateContent>
    <mc:AlternateContent xmlns:mc="http://schemas.openxmlformats.org/markup-compatibility/2006">
      <mc:Choice Requires="x14">
        <control shapeId="2066" r:id="rId12" name="CheckBox_AutoStart">
          <controlPr defaultSize="0" autoLine="0" r:id="rId13">
            <anchor moveWithCells="1">
              <from>
                <xdr:col>0</xdr:col>
                <xdr:colOff>161925</xdr:colOff>
                <xdr:row>3</xdr:row>
                <xdr:rowOff>19050</xdr:rowOff>
              </from>
              <to>
                <xdr:col>0</xdr:col>
                <xdr:colOff>342900</xdr:colOff>
                <xdr:row>3</xdr:row>
                <xdr:rowOff>190500</xdr:rowOff>
              </to>
            </anchor>
          </controlPr>
        </control>
      </mc:Choice>
      <mc:Fallback>
        <control shapeId="2066" r:id="rId12" name="CheckBox_AutoStart"/>
      </mc:Fallback>
    </mc:AlternateContent>
    <mc:AlternateContent xmlns:mc="http://schemas.openxmlformats.org/markup-compatibility/2006">
      <mc:Choice Requires="x14">
        <control shapeId="2067" r:id="rId14" name="CheckBox_MailGlobalStatus">
          <controlPr defaultSize="0" autoLine="0" r:id="rId5">
            <anchor moveWithCells="1">
              <from>
                <xdr:col>0</xdr:col>
                <xdr:colOff>161925</xdr:colOff>
                <xdr:row>11</xdr:row>
                <xdr:rowOff>19050</xdr:rowOff>
              </from>
              <to>
                <xdr:col>0</xdr:col>
                <xdr:colOff>342900</xdr:colOff>
                <xdr:row>11</xdr:row>
                <xdr:rowOff>190500</xdr:rowOff>
              </to>
            </anchor>
          </controlPr>
        </control>
      </mc:Choice>
      <mc:Fallback>
        <control shapeId="2067" r:id="rId14" name="CheckBox_MailGlobalStatus"/>
      </mc:Fallback>
    </mc:AlternateContent>
    <mc:AlternateContent xmlns:mc="http://schemas.openxmlformats.org/markup-compatibility/2006">
      <mc:Choice Requires="x14">
        <control shapeId="2068" r:id="rId15" name="CheckBox_CheckLibraries">
          <controlPr defaultSize="0" autoLine="0" r:id="rId7">
            <anchor moveWithCells="1">
              <from>
                <xdr:col>0</xdr:col>
                <xdr:colOff>161925</xdr:colOff>
                <xdr:row>2</xdr:row>
                <xdr:rowOff>19050</xdr:rowOff>
              </from>
              <to>
                <xdr:col>0</xdr:col>
                <xdr:colOff>342900</xdr:colOff>
                <xdr:row>2</xdr:row>
                <xdr:rowOff>190500</xdr:rowOff>
              </to>
            </anchor>
          </controlPr>
        </control>
      </mc:Choice>
      <mc:Fallback>
        <control shapeId="2068" r:id="rId15" name="CheckBox_CheckLibraries"/>
      </mc:Fallback>
    </mc:AlternateContent>
    <mc:AlternateContent xmlns:mc="http://schemas.openxmlformats.org/markup-compatibility/2006">
      <mc:Choice Requires="x14">
        <control shapeId="2060" r:id="rId16" name="Button 12">
          <controlPr defaultSize="0" print="0" autoFill="0" autoPict="0" macro="[0]!Control">
            <anchor moveWithCells="1" siz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1143000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6EA92D"/>
  </sheetPr>
  <dimension ref="A1:J4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C5" sqref="C5"/>
    </sheetView>
  </sheetViews>
  <sheetFormatPr defaultColWidth="8.85546875" defaultRowHeight="15"/>
  <cols>
    <col min="1" max="1" width="39.28515625" style="1" bestFit="1" customWidth="1"/>
    <col min="2" max="2" width="61.140625" style="1" customWidth="1"/>
    <col min="3" max="3" width="15.7109375" style="2" customWidth="1"/>
    <col min="4" max="5" width="15.7109375" style="17" customWidth="1"/>
    <col min="6" max="16384" width="8.85546875" style="1"/>
  </cols>
  <sheetData>
    <row r="1" spans="1:10" s="9" customFormat="1">
      <c r="A1" s="14"/>
      <c r="B1" s="14"/>
      <c r="C1" s="14" t="s">
        <v>36</v>
      </c>
      <c r="D1" s="15" t="s">
        <v>48</v>
      </c>
      <c r="E1" s="15" t="s">
        <v>102</v>
      </c>
    </row>
    <row r="2" spans="1:10" s="3" customFormat="1">
      <c r="A2" s="21" t="s">
        <v>105</v>
      </c>
      <c r="B2" s="21"/>
      <c r="C2" s="22"/>
      <c r="D2" s="23"/>
      <c r="E2" s="23"/>
      <c r="F2" s="30"/>
      <c r="G2" s="30"/>
      <c r="H2" s="30"/>
      <c r="I2" s="30"/>
      <c r="J2" s="30"/>
    </row>
    <row r="3" spans="1:10" s="10" customFormat="1" ht="36">
      <c r="A3" s="12" t="s">
        <v>106</v>
      </c>
      <c r="B3" s="13" t="s">
        <v>107</v>
      </c>
      <c r="C3" s="20"/>
      <c r="D3" s="25" t="s">
        <v>252</v>
      </c>
      <c r="E3" s="19"/>
      <c r="F3" s="30"/>
      <c r="G3" s="30"/>
      <c r="H3" s="30"/>
      <c r="I3" s="30"/>
      <c r="J3" s="30"/>
    </row>
    <row r="4" spans="1:10" s="3" customFormat="1">
      <c r="A4" s="21" t="s">
        <v>53</v>
      </c>
      <c r="B4" s="21"/>
      <c r="C4" s="22"/>
      <c r="D4" s="23"/>
      <c r="E4" s="23"/>
    </row>
    <row r="5" spans="1:10" s="10" customFormat="1" ht="24">
      <c r="A5" s="12" t="s">
        <v>54</v>
      </c>
      <c r="B5" s="13" t="s">
        <v>74</v>
      </c>
      <c r="C5" s="20" t="s">
        <v>96</v>
      </c>
      <c r="D5" s="25"/>
      <c r="E5" s="19"/>
    </row>
    <row r="6" spans="1:10" s="10" customFormat="1" ht="36">
      <c r="A6" s="12" t="s">
        <v>55</v>
      </c>
      <c r="B6" s="13" t="s">
        <v>56</v>
      </c>
      <c r="C6" s="20" t="s">
        <v>57</v>
      </c>
      <c r="D6" s="25"/>
      <c r="E6" s="19"/>
    </row>
    <row r="7" spans="1:10" s="10" customFormat="1" ht="24">
      <c r="A7" s="12" t="s">
        <v>58</v>
      </c>
      <c r="B7" s="13" t="s">
        <v>89</v>
      </c>
      <c r="C7" s="20" t="b">
        <v>0</v>
      </c>
      <c r="D7" s="25"/>
      <c r="E7" s="19"/>
    </row>
    <row r="8" spans="1:10" s="3" customFormat="1">
      <c r="A8" s="21" t="s">
        <v>59</v>
      </c>
      <c r="B8" s="21"/>
      <c r="C8" s="22"/>
      <c r="D8" s="23"/>
      <c r="E8" s="23"/>
    </row>
    <row r="9" spans="1:10" s="10" customFormat="1" ht="24">
      <c r="A9" s="12" t="s">
        <v>61</v>
      </c>
      <c r="B9" s="13" t="s">
        <v>75</v>
      </c>
      <c r="C9" s="24" t="s">
        <v>51</v>
      </c>
      <c r="D9" s="19"/>
      <c r="E9" s="28"/>
    </row>
    <row r="10" spans="1:10" s="10" customFormat="1" ht="24">
      <c r="A10" s="12" t="s">
        <v>62</v>
      </c>
      <c r="B10" s="13" t="s">
        <v>76</v>
      </c>
      <c r="C10" s="24" t="s">
        <v>52</v>
      </c>
      <c r="D10" s="19"/>
      <c r="E10" s="28"/>
    </row>
    <row r="11" spans="1:10" s="3" customFormat="1">
      <c r="A11" s="21" t="s">
        <v>42</v>
      </c>
      <c r="B11" s="21"/>
      <c r="C11" s="22"/>
      <c r="D11" s="23"/>
      <c r="E11" s="23"/>
    </row>
    <row r="12" spans="1:10" s="10" customFormat="1" ht="36">
      <c r="A12" s="12" t="s">
        <v>98</v>
      </c>
      <c r="B12" s="13" t="s">
        <v>100</v>
      </c>
      <c r="C12" s="20" t="s">
        <v>35</v>
      </c>
      <c r="D12" s="16"/>
      <c r="E12" s="25"/>
    </row>
    <row r="13" spans="1:10" s="10" customFormat="1" ht="36">
      <c r="A13" s="12" t="s">
        <v>99</v>
      </c>
      <c r="B13" s="13" t="s">
        <v>101</v>
      </c>
      <c r="C13" s="20" t="s">
        <v>35</v>
      </c>
      <c r="D13" s="16"/>
      <c r="E13" s="25"/>
    </row>
    <row r="14" spans="1:10" s="10" customFormat="1" ht="24">
      <c r="A14" s="12" t="s">
        <v>22</v>
      </c>
      <c r="B14" s="13" t="s">
        <v>40</v>
      </c>
      <c r="C14" s="20"/>
      <c r="D14" s="16"/>
      <c r="E14" s="25"/>
    </row>
    <row r="15" spans="1:10" s="10" customFormat="1" ht="24">
      <c r="A15" s="12" t="s">
        <v>23</v>
      </c>
      <c r="B15" s="13" t="s">
        <v>41</v>
      </c>
      <c r="C15" s="20"/>
      <c r="D15" s="16"/>
      <c r="E15" s="25"/>
    </row>
    <row r="16" spans="1:10" s="10" customFormat="1" ht="24">
      <c r="A16" s="12" t="s">
        <v>24</v>
      </c>
      <c r="B16" s="13" t="s">
        <v>77</v>
      </c>
      <c r="C16" s="20" t="s">
        <v>35</v>
      </c>
      <c r="D16" s="16"/>
      <c r="E16" s="25"/>
    </row>
    <row r="17" spans="1:5" s="10" customFormat="1" ht="24">
      <c r="A17" s="12" t="s">
        <v>25</v>
      </c>
      <c r="B17" s="13" t="s">
        <v>41</v>
      </c>
      <c r="C17" s="20"/>
      <c r="D17" s="16"/>
      <c r="E17" s="25"/>
    </row>
    <row r="18" spans="1:5" s="10" customFormat="1" ht="48">
      <c r="A18" s="12" t="s">
        <v>39</v>
      </c>
      <c r="B18" s="13" t="s">
        <v>88</v>
      </c>
      <c r="C18" s="20"/>
      <c r="D18" s="16"/>
      <c r="E18" s="25"/>
    </row>
    <row r="19" spans="1:5" s="10" customFormat="1" ht="24">
      <c r="A19" s="12" t="s">
        <v>26</v>
      </c>
      <c r="B19" s="13" t="s">
        <v>78</v>
      </c>
      <c r="C19" s="20">
        <v>1</v>
      </c>
      <c r="D19" s="16"/>
      <c r="E19" s="25"/>
    </row>
    <row r="20" spans="1:5" s="10" customFormat="1" ht="24">
      <c r="A20" s="12" t="s">
        <v>27</v>
      </c>
      <c r="B20" s="13" t="s">
        <v>79</v>
      </c>
      <c r="C20" s="20">
        <v>2</v>
      </c>
      <c r="D20" s="16"/>
      <c r="E20" s="25">
        <v>3</v>
      </c>
    </row>
    <row r="21" spans="1:5" s="10" customFormat="1" ht="24">
      <c r="A21" s="12" t="s">
        <v>28</v>
      </c>
      <c r="B21" s="13" t="s">
        <v>80</v>
      </c>
      <c r="C21" s="20">
        <v>3</v>
      </c>
      <c r="D21" s="16"/>
      <c r="E21" s="25">
        <v>4</v>
      </c>
    </row>
    <row r="22" spans="1:5" s="10" customFormat="1" ht="48">
      <c r="A22" s="12" t="s">
        <v>29</v>
      </c>
      <c r="B22" s="13" t="s">
        <v>81</v>
      </c>
      <c r="C22" s="20">
        <v>2</v>
      </c>
      <c r="D22" s="16"/>
      <c r="E22" s="25">
        <v>3</v>
      </c>
    </row>
    <row r="23" spans="1:5" s="3" customFormat="1">
      <c r="A23" s="21" t="s">
        <v>43</v>
      </c>
      <c r="B23" s="21"/>
      <c r="C23" s="22"/>
      <c r="D23" s="23"/>
      <c r="E23" s="23"/>
    </row>
    <row r="24" spans="1:5" s="10" customFormat="1" ht="36">
      <c r="A24" s="12" t="s">
        <v>21</v>
      </c>
      <c r="B24" s="13" t="s">
        <v>50</v>
      </c>
      <c r="C24" s="20" t="s">
        <v>11</v>
      </c>
      <c r="D24" s="16"/>
      <c r="E24" s="25"/>
    </row>
    <row r="25" spans="1:5" s="10" customFormat="1" ht="24">
      <c r="A25" s="12" t="s">
        <v>30</v>
      </c>
      <c r="B25" s="13" t="s">
        <v>82</v>
      </c>
      <c r="C25" s="20" t="s">
        <v>35</v>
      </c>
      <c r="D25" s="16"/>
      <c r="E25" s="25"/>
    </row>
    <row r="26" spans="1:5" s="10" customFormat="1" ht="24">
      <c r="A26" s="12" t="s">
        <v>31</v>
      </c>
      <c r="B26" s="13" t="s">
        <v>83</v>
      </c>
      <c r="C26" s="20" t="s">
        <v>35</v>
      </c>
      <c r="D26" s="16"/>
      <c r="E26" s="25"/>
    </row>
    <row r="27" spans="1:5" s="10" customFormat="1" ht="36">
      <c r="A27" s="12" t="s">
        <v>34</v>
      </c>
      <c r="B27" s="13" t="s">
        <v>44</v>
      </c>
      <c r="C27" s="20"/>
      <c r="D27" s="16"/>
      <c r="E27" s="25"/>
    </row>
    <row r="28" spans="1:5" s="10" customFormat="1" ht="24.6" customHeight="1">
      <c r="A28" s="12" t="s">
        <v>33</v>
      </c>
      <c r="B28" s="13" t="s">
        <v>84</v>
      </c>
      <c r="C28" s="20">
        <v>2</v>
      </c>
      <c r="D28" s="16"/>
      <c r="E28" s="25"/>
    </row>
    <row r="29" spans="1:5" s="10" customFormat="1" ht="36">
      <c r="A29" s="12" t="s">
        <v>32</v>
      </c>
      <c r="B29" s="13" t="s">
        <v>129</v>
      </c>
      <c r="C29" s="20">
        <v>2</v>
      </c>
      <c r="D29" s="16"/>
      <c r="E29" s="25">
        <v>1</v>
      </c>
    </row>
    <row r="30" spans="1:5" s="3" customFormat="1">
      <c r="A30" s="21" t="s">
        <v>66</v>
      </c>
      <c r="B30" s="21"/>
      <c r="C30" s="22"/>
      <c r="D30" s="23"/>
      <c r="E30" s="23"/>
    </row>
    <row r="31" spans="1:5" s="10" customFormat="1" ht="36">
      <c r="A31" s="12" t="s">
        <v>108</v>
      </c>
      <c r="B31" s="13" t="s">
        <v>97</v>
      </c>
      <c r="C31" s="20" t="s">
        <v>67</v>
      </c>
      <c r="D31" s="16"/>
      <c r="E31" s="25"/>
    </row>
    <row r="32" spans="1:5" s="10" customFormat="1" ht="36">
      <c r="A32" s="12" t="s">
        <v>71</v>
      </c>
      <c r="B32" s="13" t="s">
        <v>73</v>
      </c>
      <c r="C32" s="20" t="s">
        <v>72</v>
      </c>
      <c r="D32" s="16"/>
      <c r="E32" s="25"/>
    </row>
    <row r="33" spans="1:10" s="10" customFormat="1" ht="36">
      <c r="A33" s="12" t="s">
        <v>93</v>
      </c>
      <c r="B33" s="13" t="s">
        <v>95</v>
      </c>
      <c r="C33" s="20" t="b">
        <v>0</v>
      </c>
      <c r="D33" s="16"/>
      <c r="E33" s="25"/>
    </row>
    <row r="34" spans="1:10" s="3" customFormat="1">
      <c r="A34" s="21" t="s">
        <v>60</v>
      </c>
      <c r="B34" s="21"/>
      <c r="C34" s="22"/>
      <c r="D34" s="23"/>
      <c r="E34" s="23"/>
    </row>
    <row r="35" spans="1:10" s="10" customFormat="1" ht="36">
      <c r="A35" s="12" t="s">
        <v>69</v>
      </c>
      <c r="B35" s="13" t="s">
        <v>97</v>
      </c>
      <c r="C35" s="20" t="s">
        <v>67</v>
      </c>
      <c r="D35" s="25" t="s">
        <v>278</v>
      </c>
      <c r="E35" s="16"/>
    </row>
    <row r="36" spans="1:10" s="10" customFormat="1" ht="36">
      <c r="A36" s="12" t="s">
        <v>70</v>
      </c>
      <c r="B36" s="13" t="s">
        <v>45</v>
      </c>
      <c r="C36" s="20" t="s">
        <v>68</v>
      </c>
      <c r="D36" s="25"/>
      <c r="E36" s="16"/>
    </row>
    <row r="37" spans="1:10" s="10" customFormat="1" ht="36">
      <c r="A37" s="12" t="s">
        <v>92</v>
      </c>
      <c r="B37" s="13" t="s">
        <v>94</v>
      </c>
      <c r="C37" s="20" t="b">
        <v>0</v>
      </c>
      <c r="D37" s="25" t="b">
        <v>1</v>
      </c>
      <c r="E37" s="16"/>
    </row>
    <row r="38" spans="1:10" s="10" customFormat="1" ht="60">
      <c r="A38" s="12" t="s">
        <v>91</v>
      </c>
      <c r="B38" s="13" t="s">
        <v>87</v>
      </c>
      <c r="C38" s="20" t="b">
        <v>0</v>
      </c>
      <c r="D38" s="25"/>
      <c r="E38" s="16"/>
    </row>
    <row r="39" spans="1:10" s="3" customFormat="1">
      <c r="A39" s="21" t="s">
        <v>63</v>
      </c>
      <c r="B39" s="21"/>
      <c r="C39" s="22"/>
      <c r="D39" s="23"/>
      <c r="E39" s="23"/>
    </row>
    <row r="40" spans="1:10" s="10" customFormat="1" ht="24">
      <c r="A40" s="12" t="s">
        <v>64</v>
      </c>
      <c r="B40" s="13" t="s">
        <v>85</v>
      </c>
      <c r="C40" s="20" t="s">
        <v>49</v>
      </c>
      <c r="D40" s="25"/>
      <c r="E40" s="16"/>
    </row>
    <row r="41" spans="1:10" s="10" customFormat="1" ht="24">
      <c r="A41" s="12" t="s">
        <v>65</v>
      </c>
      <c r="B41" s="13" t="s">
        <v>86</v>
      </c>
      <c r="C41" s="20" t="s">
        <v>266</v>
      </c>
      <c r="D41" s="25"/>
      <c r="E41" s="16"/>
    </row>
    <row r="42" spans="1:10" s="10" customFormat="1" ht="48">
      <c r="A42" s="12" t="s">
        <v>103</v>
      </c>
      <c r="B42" s="13" t="s">
        <v>104</v>
      </c>
      <c r="C42" s="20"/>
      <c r="D42" s="25" t="s">
        <v>277</v>
      </c>
      <c r="E42" s="16"/>
      <c r="F42" s="29"/>
      <c r="G42" s="29"/>
      <c r="H42" s="29"/>
      <c r="I42" s="29"/>
      <c r="J42" s="29"/>
    </row>
    <row r="43" spans="1:10">
      <c r="B43" s="11"/>
      <c r="C4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6EA92D"/>
    <pageSetUpPr fitToPage="1"/>
  </sheetPr>
  <dimension ref="A1:BK88"/>
  <sheetViews>
    <sheetView zoomScale="85" zoomScaleNormal="85" workbookViewId="0">
      <pane ySplit="2" topLeftCell="A3" activePane="bottomLeft" state="frozen"/>
      <selection pane="bottomLeft" activeCell="B8" sqref="B8"/>
    </sheetView>
  </sheetViews>
  <sheetFormatPr defaultColWidth="9.140625" defaultRowHeight="15"/>
  <cols>
    <col min="1" max="1" width="28.42578125" style="1" bestFit="1" customWidth="1"/>
    <col min="2" max="2" width="11.7109375" bestFit="1" customWidth="1"/>
    <col min="3" max="3" width="11.85546875" bestFit="1" customWidth="1"/>
    <col min="4" max="4" width="7.5703125" bestFit="1" customWidth="1"/>
    <col min="5" max="5" width="11.42578125" bestFit="1" customWidth="1"/>
    <col min="6" max="6" width="12.140625" bestFit="1" customWidth="1"/>
    <col min="7" max="7" width="11.42578125" bestFit="1" customWidth="1"/>
    <col min="8" max="8" width="12.140625" bestFit="1" customWidth="1"/>
    <col min="9" max="9" width="11.42578125" bestFit="1" customWidth="1"/>
    <col min="10" max="10" width="12.140625" bestFit="1" customWidth="1"/>
    <col min="11" max="11" width="11.7109375" bestFit="1" customWidth="1"/>
    <col min="12" max="12" width="13.140625" bestFit="1" customWidth="1"/>
    <col min="13" max="13" width="12.140625" style="37" bestFit="1" customWidth="1"/>
    <col min="14" max="17" width="16.85546875" customWidth="1"/>
    <col min="18" max="18" width="15.85546875" style="1" customWidth="1"/>
    <col min="19" max="19" width="16.42578125" style="1" customWidth="1"/>
    <col min="20" max="34" width="9.140625" style="1"/>
    <col min="35" max="35" width="16.5703125" style="1" customWidth="1"/>
    <col min="36" max="36" width="16.42578125" style="1" customWidth="1"/>
    <col min="37" max="37" width="4.85546875" style="1" customWidth="1"/>
    <col min="38" max="38" width="11" style="1" customWidth="1"/>
    <col min="39" max="39" width="10.7109375" style="1" customWidth="1"/>
    <col min="40" max="40" width="14.140625" style="1" customWidth="1"/>
    <col min="41" max="41" width="11" style="1" customWidth="1"/>
    <col min="42" max="42" width="12" style="1" customWidth="1"/>
    <col min="43" max="43" width="22.85546875" style="1" customWidth="1"/>
    <col min="44" max="44" width="17.85546875" style="1" customWidth="1"/>
    <col min="45" max="45" width="11.7109375" style="1" customWidth="1"/>
    <col min="46" max="46" width="12.85546875" style="1" customWidth="1"/>
    <col min="47" max="47" width="13.7109375" style="1" customWidth="1"/>
    <col min="48" max="50" width="15.7109375" style="1" customWidth="1"/>
    <col min="51" max="51" width="13" style="1" customWidth="1"/>
    <col min="52" max="52" width="14.28515625" style="1" customWidth="1"/>
    <col min="53" max="53" width="11.42578125" style="1" customWidth="1"/>
    <col min="54" max="54" width="16" style="1" customWidth="1"/>
    <col min="55" max="55" width="19" style="1" customWidth="1"/>
    <col min="56" max="56" width="13.42578125" style="1" customWidth="1"/>
    <col min="57" max="57" width="15.42578125" style="1" customWidth="1"/>
    <col min="58" max="58" width="9.140625" style="1"/>
    <col min="59" max="59" width="14.85546875" style="1" customWidth="1"/>
    <col min="60" max="60" width="16.28515625" style="1" customWidth="1"/>
    <col min="61" max="61" width="9.140625" style="1"/>
    <col min="62" max="62" width="19.7109375" customWidth="1"/>
    <col min="63" max="63" width="9" customWidth="1"/>
    <col min="64" max="16384" width="9.140625" style="1"/>
  </cols>
  <sheetData>
    <row r="1" spans="1:63" ht="32.25" customHeight="1">
      <c r="A1" s="55" t="s">
        <v>130</v>
      </c>
      <c r="B1" s="55" t="s">
        <v>131</v>
      </c>
      <c r="C1" s="55" t="s">
        <v>132</v>
      </c>
      <c r="D1" s="55" t="s">
        <v>133</v>
      </c>
      <c r="E1" s="55" t="s">
        <v>134</v>
      </c>
      <c r="F1" s="55"/>
      <c r="G1" s="55" t="s">
        <v>135</v>
      </c>
      <c r="H1" s="55"/>
      <c r="I1" s="55" t="s">
        <v>136</v>
      </c>
      <c r="J1" s="55"/>
      <c r="K1" s="51" t="s">
        <v>137</v>
      </c>
      <c r="L1" s="55" t="s">
        <v>141</v>
      </c>
      <c r="M1" s="55" t="s">
        <v>142</v>
      </c>
      <c r="AJ1"/>
      <c r="AK1"/>
      <c r="BJ1" s="1"/>
      <c r="BK1" s="1"/>
    </row>
    <row r="2" spans="1:63" ht="63" customHeight="1">
      <c r="A2" s="55"/>
      <c r="B2" s="55"/>
      <c r="C2" s="55"/>
      <c r="D2" s="55"/>
      <c r="E2" s="51" t="s">
        <v>138</v>
      </c>
      <c r="F2" s="51" t="s">
        <v>139</v>
      </c>
      <c r="G2" s="51" t="s">
        <v>138</v>
      </c>
      <c r="H2" s="51" t="s">
        <v>139</v>
      </c>
      <c r="I2" s="51" t="s">
        <v>138</v>
      </c>
      <c r="J2" s="51" t="s">
        <v>139</v>
      </c>
      <c r="K2" s="51" t="s">
        <v>140</v>
      </c>
      <c r="L2" s="55"/>
      <c r="M2" s="55"/>
      <c r="AJ2"/>
      <c r="AK2"/>
      <c r="BJ2" s="1"/>
      <c r="BK2" s="1"/>
    </row>
    <row r="3" spans="1:63">
      <c r="A3" s="52"/>
      <c r="B3" s="54"/>
      <c r="C3" s="54">
        <v>0</v>
      </c>
      <c r="D3" s="54"/>
      <c r="E3" s="54"/>
      <c r="F3" s="54"/>
      <c r="G3" s="54"/>
      <c r="H3" s="54"/>
      <c r="I3" s="54"/>
      <c r="J3" s="54"/>
      <c r="K3" s="50"/>
      <c r="L3" s="50">
        <v>1</v>
      </c>
      <c r="M3" s="50"/>
      <c r="AJ3"/>
      <c r="AK3"/>
      <c r="BJ3" s="1"/>
      <c r="BK3" s="1"/>
    </row>
    <row r="4" spans="1:63" ht="29.25" customHeight="1">
      <c r="A4" s="52" t="s">
        <v>143</v>
      </c>
      <c r="B4" s="49" t="s">
        <v>144</v>
      </c>
      <c r="C4" s="49">
        <v>2.0000000000000002E-5</v>
      </c>
      <c r="D4" s="49" t="s">
        <v>145</v>
      </c>
      <c r="E4" s="49" t="s">
        <v>146</v>
      </c>
      <c r="F4" s="49" t="s">
        <v>147</v>
      </c>
      <c r="G4" s="49" t="s">
        <v>145</v>
      </c>
      <c r="H4" s="49" t="s">
        <v>148</v>
      </c>
      <c r="I4" s="49" t="s">
        <v>145</v>
      </c>
      <c r="J4" s="49" t="s">
        <v>149</v>
      </c>
      <c r="K4" s="50">
        <v>1</v>
      </c>
      <c r="L4" s="50">
        <v>1</v>
      </c>
      <c r="M4" s="50" t="s">
        <v>150</v>
      </c>
      <c r="AJ4"/>
      <c r="AK4"/>
      <c r="BJ4" s="1"/>
      <c r="BK4" s="1"/>
    </row>
    <row r="5" spans="1:63">
      <c r="A5" s="52" t="s">
        <v>151</v>
      </c>
      <c r="B5" s="49" t="s">
        <v>152</v>
      </c>
      <c r="C5" s="49">
        <v>4.0000000000000003E-5</v>
      </c>
      <c r="D5" s="49" t="s">
        <v>153</v>
      </c>
      <c r="E5" s="49" t="s">
        <v>154</v>
      </c>
      <c r="F5" s="49" t="s">
        <v>147</v>
      </c>
      <c r="G5" s="49" t="s">
        <v>153</v>
      </c>
      <c r="H5" s="49" t="s">
        <v>148</v>
      </c>
      <c r="I5" s="49" t="s">
        <v>153</v>
      </c>
      <c r="J5" s="49" t="s">
        <v>149</v>
      </c>
      <c r="K5" s="50">
        <v>2</v>
      </c>
      <c r="L5" s="50">
        <v>2</v>
      </c>
      <c r="M5" s="50" t="s">
        <v>150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J5"/>
      <c r="AK5"/>
      <c r="BJ5" s="1"/>
      <c r="BK5" s="1"/>
    </row>
    <row r="6" spans="1:63">
      <c r="A6" s="52" t="s">
        <v>151</v>
      </c>
      <c r="B6" s="49" t="s">
        <v>155</v>
      </c>
      <c r="C6" s="49">
        <v>8.0000000000000007E-5</v>
      </c>
      <c r="D6" s="49" t="s">
        <v>156</v>
      </c>
      <c r="E6" s="49" t="s">
        <v>157</v>
      </c>
      <c r="F6" s="49" t="s">
        <v>147</v>
      </c>
      <c r="G6" s="49" t="s">
        <v>156</v>
      </c>
      <c r="H6" s="49" t="s">
        <v>148</v>
      </c>
      <c r="I6" s="49" t="s">
        <v>156</v>
      </c>
      <c r="J6" s="49" t="s">
        <v>149</v>
      </c>
      <c r="K6" s="50">
        <v>3</v>
      </c>
      <c r="L6" s="50">
        <v>2</v>
      </c>
      <c r="M6" s="50" t="s">
        <v>150</v>
      </c>
      <c r="AJ6"/>
      <c r="AK6"/>
      <c r="BJ6" s="1"/>
      <c r="BK6" s="1"/>
    </row>
    <row r="7" spans="1:63" ht="15" customHeight="1">
      <c r="A7" s="52" t="s">
        <v>151</v>
      </c>
      <c r="B7" s="49" t="s">
        <v>158</v>
      </c>
      <c r="C7" s="49">
        <v>1.5200000000000001E-4</v>
      </c>
      <c r="D7" s="49" t="s">
        <v>159</v>
      </c>
      <c r="E7" s="49" t="s">
        <v>160</v>
      </c>
      <c r="F7" s="49" t="s">
        <v>147</v>
      </c>
      <c r="G7" s="49" t="s">
        <v>159</v>
      </c>
      <c r="H7" s="49" t="s">
        <v>148</v>
      </c>
      <c r="I7" s="49" t="s">
        <v>159</v>
      </c>
      <c r="J7" s="49" t="s">
        <v>149</v>
      </c>
      <c r="K7" s="50">
        <v>4</v>
      </c>
      <c r="L7" s="50">
        <v>2</v>
      </c>
      <c r="M7" s="50" t="s">
        <v>150</v>
      </c>
      <c r="AJ7"/>
      <c r="AK7"/>
      <c r="BJ7" s="1"/>
      <c r="BK7" s="1"/>
    </row>
    <row r="8" spans="1:63">
      <c r="A8" s="52" t="s">
        <v>161</v>
      </c>
      <c r="B8" s="49" t="s">
        <v>162</v>
      </c>
      <c r="C8" s="49">
        <v>2.8600000000000001E-4</v>
      </c>
      <c r="D8" s="49" t="s">
        <v>163</v>
      </c>
      <c r="E8" s="49" t="s">
        <v>164</v>
      </c>
      <c r="F8" s="49" t="s">
        <v>147</v>
      </c>
      <c r="G8" s="49" t="s">
        <v>163</v>
      </c>
      <c r="H8" s="49" t="s">
        <v>165</v>
      </c>
      <c r="I8" s="49" t="s">
        <v>163</v>
      </c>
      <c r="J8" s="49" t="s">
        <v>166</v>
      </c>
      <c r="K8" s="50">
        <v>5</v>
      </c>
      <c r="L8" s="50">
        <v>3</v>
      </c>
      <c r="M8" s="50" t="s">
        <v>150</v>
      </c>
      <c r="AJ8"/>
      <c r="AK8"/>
      <c r="BJ8" s="1"/>
      <c r="BK8" s="1"/>
    </row>
    <row r="9" spans="1:63">
      <c r="A9" s="52" t="s">
        <v>161</v>
      </c>
      <c r="B9" s="49" t="s">
        <v>167</v>
      </c>
      <c r="C9" s="49">
        <v>5.2900000000000006E-4</v>
      </c>
      <c r="D9" s="49" t="s">
        <v>35</v>
      </c>
      <c r="E9" s="49" t="s">
        <v>168</v>
      </c>
      <c r="F9" s="49" t="s">
        <v>147</v>
      </c>
      <c r="G9" s="49" t="s">
        <v>35</v>
      </c>
      <c r="H9" s="49" t="s">
        <v>165</v>
      </c>
      <c r="I9" s="49" t="s">
        <v>35</v>
      </c>
      <c r="J9" s="49" t="s">
        <v>166</v>
      </c>
      <c r="K9" s="50">
        <v>6</v>
      </c>
      <c r="L9" s="50">
        <v>3</v>
      </c>
      <c r="M9" s="50" t="s">
        <v>150</v>
      </c>
      <c r="AJ9"/>
      <c r="AK9"/>
      <c r="BJ9" s="1"/>
      <c r="BK9" s="1"/>
    </row>
    <row r="10" spans="1:63">
      <c r="A10" s="52" t="s">
        <v>161</v>
      </c>
      <c r="B10" s="49" t="s">
        <v>169</v>
      </c>
      <c r="C10" s="49">
        <v>9.6000000000000002E-4</v>
      </c>
      <c r="D10" s="49" t="s">
        <v>170</v>
      </c>
      <c r="E10" s="49" t="s">
        <v>171</v>
      </c>
      <c r="F10" s="49" t="s">
        <v>172</v>
      </c>
      <c r="G10" s="49" t="s">
        <v>170</v>
      </c>
      <c r="H10" s="49" t="s">
        <v>173</v>
      </c>
      <c r="I10" s="49" t="s">
        <v>170</v>
      </c>
      <c r="J10" s="49" t="s">
        <v>174</v>
      </c>
      <c r="K10" s="50">
        <v>7</v>
      </c>
      <c r="L10" s="50">
        <v>3</v>
      </c>
      <c r="M10" s="50" t="s">
        <v>150</v>
      </c>
      <c r="T10" s="36"/>
      <c r="U10" s="36"/>
      <c r="V10" s="36"/>
      <c r="W10" s="36"/>
      <c r="X10" s="36"/>
      <c r="Y10" s="36"/>
      <c r="Z10" s="36"/>
      <c r="AA10" s="36"/>
      <c r="AB10" s="36"/>
      <c r="AC10" s="36"/>
      <c r="AJ10"/>
      <c r="AK10"/>
      <c r="BJ10" s="1"/>
      <c r="BK10" s="1"/>
    </row>
    <row r="11" spans="1:63">
      <c r="A11" s="52" t="s">
        <v>175</v>
      </c>
      <c r="B11" s="49" t="s">
        <v>176</v>
      </c>
      <c r="C11" s="49">
        <v>1.7150000000000002E-3</v>
      </c>
      <c r="D11" s="49" t="s">
        <v>177</v>
      </c>
      <c r="E11" s="49" t="s">
        <v>178</v>
      </c>
      <c r="F11" s="49" t="s">
        <v>172</v>
      </c>
      <c r="G11" s="49" t="s">
        <v>177</v>
      </c>
      <c r="H11" s="49" t="s">
        <v>173</v>
      </c>
      <c r="I11" s="49" t="s">
        <v>177</v>
      </c>
      <c r="J11" s="49" t="s">
        <v>174</v>
      </c>
      <c r="K11" s="50">
        <v>8</v>
      </c>
      <c r="L11" s="50">
        <v>4</v>
      </c>
      <c r="M11" s="50" t="s">
        <v>150</v>
      </c>
      <c r="AJ11"/>
      <c r="AK11"/>
      <c r="BJ11" s="1"/>
      <c r="BK11" s="1"/>
    </row>
    <row r="12" spans="1:63">
      <c r="A12" s="52" t="s">
        <v>175</v>
      </c>
      <c r="B12" s="49" t="s">
        <v>179</v>
      </c>
      <c r="C12" s="49">
        <v>3.0000000000000001E-3</v>
      </c>
      <c r="D12" s="49" t="s">
        <v>180</v>
      </c>
      <c r="E12" s="49" t="s">
        <v>181</v>
      </c>
      <c r="F12" s="56" t="s">
        <v>182</v>
      </c>
      <c r="G12" s="49" t="s">
        <v>180</v>
      </c>
      <c r="H12" s="56" t="s">
        <v>183</v>
      </c>
      <c r="I12" s="49" t="s">
        <v>180</v>
      </c>
      <c r="J12" s="56" t="s">
        <v>184</v>
      </c>
      <c r="K12" s="50">
        <v>9</v>
      </c>
      <c r="L12" s="50">
        <v>4</v>
      </c>
      <c r="M12" s="50" t="s">
        <v>150</v>
      </c>
      <c r="AJ12"/>
      <c r="AK12"/>
      <c r="BJ12" s="1"/>
      <c r="BK12" s="1"/>
    </row>
    <row r="13" spans="1:63">
      <c r="A13" s="52" t="s">
        <v>175</v>
      </c>
      <c r="B13" s="49" t="s">
        <v>185</v>
      </c>
      <c r="C13" s="49">
        <v>5.1999999999999998E-3</v>
      </c>
      <c r="D13" s="49" t="s">
        <v>186</v>
      </c>
      <c r="E13" s="49" t="s">
        <v>187</v>
      </c>
      <c r="F13" s="56"/>
      <c r="G13" s="49" t="s">
        <v>186</v>
      </c>
      <c r="H13" s="56"/>
      <c r="I13" s="49" t="s">
        <v>186</v>
      </c>
      <c r="J13" s="56"/>
      <c r="K13" s="50">
        <v>10</v>
      </c>
      <c r="L13" s="50">
        <v>4</v>
      </c>
      <c r="M13" s="50" t="s">
        <v>150</v>
      </c>
      <c r="T13" s="36"/>
      <c r="U13" s="36"/>
      <c r="V13" s="36"/>
      <c r="W13" s="36"/>
      <c r="X13" s="36"/>
      <c r="Y13" s="36"/>
      <c r="Z13" s="36"/>
      <c r="AA13" s="36"/>
      <c r="AB13" s="36"/>
      <c r="AC13" s="36"/>
      <c r="AJ13"/>
      <c r="AK13"/>
      <c r="BJ13" s="1"/>
      <c r="BK13" s="1"/>
    </row>
    <row r="14" spans="1:63" ht="20.25" customHeight="1">
      <c r="A14" s="52" t="s">
        <v>188</v>
      </c>
      <c r="B14" s="49" t="s">
        <v>189</v>
      </c>
      <c r="C14" s="49">
        <v>8.8000000000000005E-3</v>
      </c>
      <c r="D14" s="49" t="s">
        <v>190</v>
      </c>
      <c r="E14" s="49" t="s">
        <v>191</v>
      </c>
      <c r="F14" s="49" t="s">
        <v>192</v>
      </c>
      <c r="G14" s="49" t="s">
        <v>190</v>
      </c>
      <c r="H14" s="49" t="s">
        <v>193</v>
      </c>
      <c r="I14" s="50" t="s">
        <v>190</v>
      </c>
      <c r="J14" s="49" t="s">
        <v>193</v>
      </c>
      <c r="K14" s="50">
        <v>11</v>
      </c>
      <c r="L14" s="50">
        <v>5</v>
      </c>
      <c r="M14" s="50" t="s">
        <v>194</v>
      </c>
      <c r="T14" s="36"/>
      <c r="U14" s="36"/>
      <c r="V14" s="36"/>
      <c r="W14" s="36"/>
      <c r="X14" s="36"/>
      <c r="Y14" s="36"/>
      <c r="Z14" s="36"/>
      <c r="AA14" s="36"/>
      <c r="AB14" s="36"/>
      <c r="AC14" s="36"/>
      <c r="AJ14"/>
      <c r="AK14"/>
      <c r="BJ14" s="1"/>
      <c r="BK14" s="1"/>
    </row>
    <row r="15" spans="1:63" ht="15.75" customHeight="1">
      <c r="A15" s="52" t="s">
        <v>188</v>
      </c>
      <c r="B15" s="49" t="s">
        <v>195</v>
      </c>
      <c r="C15" s="49">
        <v>1.4999999999999999E-2</v>
      </c>
      <c r="D15" s="49" t="s">
        <v>196</v>
      </c>
      <c r="E15" s="49" t="s">
        <v>197</v>
      </c>
      <c r="F15" s="49" t="s">
        <v>192</v>
      </c>
      <c r="G15" s="49" t="s">
        <v>196</v>
      </c>
      <c r="H15" s="49" t="s">
        <v>193</v>
      </c>
      <c r="I15" s="49" t="s">
        <v>196</v>
      </c>
      <c r="J15" s="49" t="s">
        <v>193</v>
      </c>
      <c r="K15" s="50">
        <v>12</v>
      </c>
      <c r="L15" s="50">
        <v>5</v>
      </c>
      <c r="M15" s="50" t="s">
        <v>194</v>
      </c>
      <c r="T15" s="36"/>
      <c r="U15" s="36"/>
      <c r="V15" s="36"/>
      <c r="W15" s="36"/>
      <c r="X15" s="36"/>
      <c r="Y15" s="36"/>
      <c r="Z15" s="36"/>
      <c r="AA15" s="36"/>
      <c r="AB15" s="36"/>
      <c r="AC15" s="36"/>
      <c r="AJ15"/>
      <c r="AK15"/>
      <c r="BJ15" s="1"/>
      <c r="BK15" s="1"/>
    </row>
    <row r="16" spans="1:63" ht="15.75" customHeight="1">
      <c r="A16" s="52" t="s">
        <v>188</v>
      </c>
      <c r="B16" s="49" t="s">
        <v>198</v>
      </c>
      <c r="C16" s="49">
        <v>2.4E-2</v>
      </c>
      <c r="D16" s="49" t="s">
        <v>199</v>
      </c>
      <c r="E16" s="49" t="s">
        <v>200</v>
      </c>
      <c r="F16" s="49" t="s">
        <v>192</v>
      </c>
      <c r="G16" s="49" t="s">
        <v>199</v>
      </c>
      <c r="H16" s="49" t="s">
        <v>193</v>
      </c>
      <c r="I16" s="49" t="s">
        <v>199</v>
      </c>
      <c r="J16" s="49" t="s">
        <v>193</v>
      </c>
      <c r="K16" s="50">
        <v>13</v>
      </c>
      <c r="L16" s="50">
        <v>5</v>
      </c>
      <c r="M16" s="50" t="s">
        <v>194</v>
      </c>
      <c r="AJ16"/>
      <c r="AK16"/>
      <c r="BJ16" s="1"/>
      <c r="BK16" s="1"/>
    </row>
    <row r="17" spans="1:63" ht="15.75" customHeight="1">
      <c r="A17" s="52" t="s">
        <v>201</v>
      </c>
      <c r="B17" s="49" t="s">
        <v>202</v>
      </c>
      <c r="C17" s="49">
        <v>0.04</v>
      </c>
      <c r="D17" s="49" t="s">
        <v>203</v>
      </c>
      <c r="E17" s="49" t="s">
        <v>204</v>
      </c>
      <c r="F17" s="49" t="s">
        <v>192</v>
      </c>
      <c r="G17" s="49" t="s">
        <v>203</v>
      </c>
      <c r="H17" s="49" t="s">
        <v>193</v>
      </c>
      <c r="I17" s="49" t="s">
        <v>203</v>
      </c>
      <c r="J17" s="49" t="s">
        <v>193</v>
      </c>
      <c r="K17" s="50">
        <v>14</v>
      </c>
      <c r="L17" s="50">
        <v>6</v>
      </c>
      <c r="M17" s="50" t="s">
        <v>194</v>
      </c>
      <c r="AJ17"/>
      <c r="AK17"/>
      <c r="BJ17" s="1"/>
      <c r="BK17" s="1"/>
    </row>
    <row r="18" spans="1:63">
      <c r="A18" s="52" t="s">
        <v>201</v>
      </c>
      <c r="B18" s="49" t="s">
        <v>205</v>
      </c>
      <c r="C18" s="49">
        <v>0.06</v>
      </c>
      <c r="D18" s="49" t="s">
        <v>193</v>
      </c>
      <c r="E18" s="49" t="s">
        <v>206</v>
      </c>
      <c r="F18" s="49" t="s">
        <v>192</v>
      </c>
      <c r="G18" s="49" t="s">
        <v>193</v>
      </c>
      <c r="H18" s="49" t="s">
        <v>193</v>
      </c>
      <c r="I18" s="49" t="s">
        <v>193</v>
      </c>
      <c r="J18" s="49" t="s">
        <v>193</v>
      </c>
      <c r="K18" s="50">
        <v>15</v>
      </c>
      <c r="L18" s="50">
        <v>6</v>
      </c>
      <c r="M18" s="50" t="s">
        <v>194</v>
      </c>
      <c r="T18" s="36"/>
      <c r="U18" s="36"/>
      <c r="V18" s="36"/>
      <c r="W18" s="36"/>
      <c r="X18" s="36"/>
      <c r="Y18" s="36"/>
      <c r="Z18" s="36"/>
      <c r="AA18" s="36"/>
      <c r="AB18" s="36"/>
      <c r="AC18" s="36"/>
      <c r="AJ18"/>
      <c r="AK18"/>
      <c r="BJ18" s="1"/>
      <c r="BK18" s="1"/>
    </row>
    <row r="19" spans="1:63" ht="14.25" customHeight="1">
      <c r="A19" s="52" t="s">
        <v>201</v>
      </c>
      <c r="B19" s="49" t="s">
        <v>207</v>
      </c>
      <c r="C19" s="49">
        <v>0.1</v>
      </c>
      <c r="D19" s="49" t="s">
        <v>208</v>
      </c>
      <c r="E19" s="49" t="s">
        <v>209</v>
      </c>
      <c r="F19" s="49" t="s">
        <v>192</v>
      </c>
      <c r="G19" s="49" t="s">
        <v>208</v>
      </c>
      <c r="H19" s="49" t="s">
        <v>193</v>
      </c>
      <c r="I19" s="49" t="s">
        <v>208</v>
      </c>
      <c r="J19" s="49" t="s">
        <v>193</v>
      </c>
      <c r="K19" s="50">
        <v>16</v>
      </c>
      <c r="L19" s="50">
        <v>6</v>
      </c>
      <c r="M19" s="50" t="s">
        <v>194</v>
      </c>
      <c r="T19" s="36"/>
      <c r="U19" s="36"/>
      <c r="V19" s="36"/>
      <c r="W19" s="36"/>
      <c r="X19" s="36"/>
      <c r="Y19" s="36"/>
      <c r="Z19" s="36"/>
      <c r="AA19" s="36"/>
      <c r="AB19" s="36"/>
      <c r="AC19" s="36"/>
      <c r="AJ19"/>
      <c r="AK19"/>
      <c r="BJ19" s="1"/>
      <c r="BK19" s="1"/>
    </row>
    <row r="20" spans="1:63">
      <c r="A20" s="52" t="s">
        <v>210</v>
      </c>
      <c r="B20" s="49" t="s">
        <v>211</v>
      </c>
      <c r="C20" s="49">
        <v>0.15</v>
      </c>
      <c r="D20" s="49" t="s">
        <v>212</v>
      </c>
      <c r="E20" s="49" t="s">
        <v>213</v>
      </c>
      <c r="F20" s="49" t="s">
        <v>192</v>
      </c>
      <c r="G20" s="49" t="s">
        <v>212</v>
      </c>
      <c r="H20" s="49" t="s">
        <v>214</v>
      </c>
      <c r="I20" s="49" t="s">
        <v>212</v>
      </c>
      <c r="J20" s="49" t="s">
        <v>214</v>
      </c>
      <c r="K20" s="50">
        <v>17</v>
      </c>
      <c r="L20" s="50">
        <v>7</v>
      </c>
      <c r="M20" s="50" t="s">
        <v>215</v>
      </c>
      <c r="AJ20"/>
      <c r="AK20"/>
      <c r="BJ20" s="1"/>
      <c r="BK20" s="1"/>
    </row>
    <row r="21" spans="1:63">
      <c r="A21" s="52" t="s">
        <v>210</v>
      </c>
      <c r="B21" s="49" t="s">
        <v>216</v>
      </c>
      <c r="C21" s="49">
        <v>0.22</v>
      </c>
      <c r="D21" s="49" t="s">
        <v>217</v>
      </c>
      <c r="E21" s="49" t="s">
        <v>218</v>
      </c>
      <c r="F21" s="49" t="s">
        <v>192</v>
      </c>
      <c r="G21" s="49" t="s">
        <v>217</v>
      </c>
      <c r="H21" s="49" t="s">
        <v>214</v>
      </c>
      <c r="I21" s="49" t="s">
        <v>217</v>
      </c>
      <c r="J21" s="49" t="s">
        <v>214</v>
      </c>
      <c r="K21" s="50">
        <v>18</v>
      </c>
      <c r="L21" s="50">
        <v>7</v>
      </c>
      <c r="M21" s="50" t="s">
        <v>215</v>
      </c>
      <c r="AJ21"/>
      <c r="AK21"/>
      <c r="BJ21" s="1"/>
      <c r="BK21" s="1"/>
    </row>
    <row r="22" spans="1:63">
      <c r="A22" s="52" t="s">
        <v>210</v>
      </c>
      <c r="B22" s="49" t="s">
        <v>219</v>
      </c>
      <c r="C22" s="49">
        <v>0.3</v>
      </c>
      <c r="D22" s="49" t="s">
        <v>220</v>
      </c>
      <c r="E22" s="49" t="s">
        <v>221</v>
      </c>
      <c r="F22" s="49" t="s">
        <v>192</v>
      </c>
      <c r="G22" s="49" t="s">
        <v>220</v>
      </c>
      <c r="H22" s="49" t="s">
        <v>214</v>
      </c>
      <c r="I22" s="49" t="s">
        <v>220</v>
      </c>
      <c r="J22" s="49" t="s">
        <v>214</v>
      </c>
      <c r="K22" s="50">
        <v>19</v>
      </c>
      <c r="L22" s="50">
        <v>7</v>
      </c>
      <c r="M22" s="50" t="s">
        <v>215</v>
      </c>
      <c r="T22" s="36"/>
      <c r="U22" s="36"/>
      <c r="V22" s="36"/>
      <c r="W22" s="36"/>
      <c r="X22" s="36"/>
      <c r="Y22" s="36"/>
      <c r="Z22" s="36"/>
      <c r="AA22" s="36"/>
      <c r="AB22" s="36"/>
      <c r="AC22" s="36"/>
      <c r="AJ22"/>
      <c r="AK22"/>
      <c r="BJ22" s="1"/>
      <c r="BK22" s="1"/>
    </row>
    <row r="23" spans="1:63">
      <c r="A23" s="52" t="s">
        <v>222</v>
      </c>
      <c r="B23" s="49" t="s">
        <v>223</v>
      </c>
      <c r="C23" s="49">
        <v>0.5</v>
      </c>
      <c r="D23" s="49" t="s">
        <v>224</v>
      </c>
      <c r="E23" s="49" t="s">
        <v>225</v>
      </c>
      <c r="F23" s="49" t="s">
        <v>192</v>
      </c>
      <c r="G23" s="49" t="s">
        <v>224</v>
      </c>
      <c r="H23" s="49" t="s">
        <v>214</v>
      </c>
      <c r="I23" s="49" t="s">
        <v>224</v>
      </c>
      <c r="J23" s="49" t="s">
        <v>214</v>
      </c>
      <c r="K23" s="50">
        <v>20</v>
      </c>
      <c r="L23" s="50">
        <v>8</v>
      </c>
      <c r="M23" s="50" t="s">
        <v>215</v>
      </c>
      <c r="T23" s="36"/>
      <c r="U23" s="36"/>
      <c r="V23" s="36"/>
      <c r="W23" s="36"/>
      <c r="X23" s="36"/>
      <c r="Y23" s="36"/>
      <c r="Z23" s="36"/>
      <c r="AA23" s="36"/>
      <c r="AB23" s="36"/>
      <c r="AC23" s="36"/>
      <c r="AJ23"/>
      <c r="AK23"/>
      <c r="BJ23" s="1"/>
      <c r="BK23" s="1"/>
    </row>
    <row r="24" spans="1:63" ht="25.5" customHeight="1">
      <c r="A24" s="52" t="s">
        <v>226</v>
      </c>
      <c r="B24" s="49" t="s">
        <v>227</v>
      </c>
      <c r="C24" s="49">
        <v>1</v>
      </c>
      <c r="D24" s="49" t="s">
        <v>228</v>
      </c>
      <c r="E24" s="49"/>
      <c r="F24" s="49" t="s">
        <v>192</v>
      </c>
      <c r="G24" s="49" t="s">
        <v>214</v>
      </c>
      <c r="H24" s="49" t="s">
        <v>214</v>
      </c>
      <c r="I24" s="49"/>
      <c r="J24" s="49" t="s">
        <v>214</v>
      </c>
      <c r="K24" s="50">
        <v>21</v>
      </c>
      <c r="L24" s="50">
        <v>9</v>
      </c>
      <c r="M24" s="50" t="s">
        <v>229</v>
      </c>
      <c r="AJ24"/>
      <c r="AK24"/>
      <c r="BJ24" s="1"/>
      <c r="BK24" s="1"/>
    </row>
    <row r="25" spans="1:63">
      <c r="A25" s="52" t="s">
        <v>222</v>
      </c>
      <c r="B25" s="49" t="s">
        <v>227</v>
      </c>
      <c r="C25" s="49">
        <v>1</v>
      </c>
      <c r="D25" s="49" t="s">
        <v>214</v>
      </c>
      <c r="E25" s="49" t="s">
        <v>214</v>
      </c>
      <c r="F25" s="49" t="s">
        <v>192</v>
      </c>
      <c r="G25" s="49" t="s">
        <v>230</v>
      </c>
      <c r="H25" s="49" t="s">
        <v>214</v>
      </c>
      <c r="I25" s="49" t="s">
        <v>214</v>
      </c>
      <c r="J25" s="49" t="s">
        <v>214</v>
      </c>
      <c r="K25" s="50">
        <v>22</v>
      </c>
      <c r="L25" s="50">
        <v>9</v>
      </c>
      <c r="M25" s="50" t="s">
        <v>229</v>
      </c>
      <c r="AJ25"/>
      <c r="AK25"/>
      <c r="BJ25" s="1"/>
      <c r="BK25" s="1"/>
    </row>
    <row r="26" spans="1:63">
      <c r="A26" s="52" t="s">
        <v>231</v>
      </c>
      <c r="B26" s="49" t="s">
        <v>227</v>
      </c>
      <c r="C26" s="49">
        <v>1</v>
      </c>
      <c r="D26" s="49" t="s">
        <v>232</v>
      </c>
      <c r="E26" s="49"/>
      <c r="F26" s="49" t="s">
        <v>192</v>
      </c>
      <c r="G26" s="49" t="s">
        <v>232</v>
      </c>
      <c r="H26" s="49" t="s">
        <v>233</v>
      </c>
      <c r="I26" s="49" t="s">
        <v>234</v>
      </c>
      <c r="J26" s="49" t="s">
        <v>233</v>
      </c>
      <c r="K26" s="50">
        <v>23</v>
      </c>
      <c r="L26" s="50">
        <v>10</v>
      </c>
      <c r="M26" s="50" t="s">
        <v>229</v>
      </c>
      <c r="AJ26"/>
      <c r="AK26"/>
      <c r="BJ26" s="1"/>
      <c r="BK26" s="1"/>
    </row>
    <row r="27" spans="1:63">
      <c r="A27" s="52" t="s">
        <v>231</v>
      </c>
      <c r="B27" s="49" t="s">
        <v>227</v>
      </c>
      <c r="C27" s="49">
        <v>1</v>
      </c>
      <c r="D27" s="49" t="s">
        <v>235</v>
      </c>
      <c r="E27" s="49"/>
      <c r="F27" s="49" t="s">
        <v>192</v>
      </c>
      <c r="G27" s="49"/>
      <c r="H27" s="49"/>
      <c r="I27" s="49"/>
      <c r="J27" s="49"/>
      <c r="K27" s="50">
        <v>24</v>
      </c>
      <c r="L27" s="50">
        <v>10</v>
      </c>
      <c r="M27" s="50" t="s">
        <v>229</v>
      </c>
      <c r="AJ27"/>
      <c r="AK27"/>
      <c r="BJ27" s="1"/>
      <c r="BK27" s="1"/>
    </row>
    <row r="28" spans="1:63">
      <c r="A28" s="52" t="s">
        <v>231</v>
      </c>
      <c r="B28" s="49" t="s">
        <v>227</v>
      </c>
      <c r="C28" s="49">
        <v>1</v>
      </c>
      <c r="D28" s="49" t="s">
        <v>236</v>
      </c>
      <c r="E28" s="49"/>
      <c r="F28" s="49" t="s">
        <v>192</v>
      </c>
      <c r="G28" s="49"/>
      <c r="H28" s="49"/>
      <c r="I28" s="49"/>
      <c r="J28" s="49"/>
      <c r="K28" s="50">
        <v>25</v>
      </c>
      <c r="L28" s="50">
        <v>10</v>
      </c>
      <c r="M28" s="50" t="s">
        <v>229</v>
      </c>
      <c r="AJ28"/>
      <c r="AK28"/>
      <c r="BJ28" s="1"/>
      <c r="BK28" s="1"/>
    </row>
    <row r="29" spans="1:63">
      <c r="A29" s="52" t="s">
        <v>231</v>
      </c>
      <c r="B29" s="49" t="s">
        <v>227</v>
      </c>
      <c r="C29" s="49">
        <v>1</v>
      </c>
      <c r="D29" s="49" t="s">
        <v>233</v>
      </c>
      <c r="E29" s="49"/>
      <c r="F29" s="49" t="s">
        <v>192</v>
      </c>
      <c r="G29" s="50" t="s">
        <v>233</v>
      </c>
      <c r="H29" s="49"/>
      <c r="I29" s="50" t="s">
        <v>233</v>
      </c>
      <c r="J29" s="49"/>
      <c r="K29" s="50">
        <v>26</v>
      </c>
      <c r="L29" s="50">
        <v>10</v>
      </c>
      <c r="M29" s="50" t="s">
        <v>229</v>
      </c>
      <c r="AJ29"/>
      <c r="AK29"/>
      <c r="BJ29" s="1"/>
      <c r="BK29" s="1"/>
    </row>
    <row r="30" spans="1:63">
      <c r="A30" s="52" t="s">
        <v>237</v>
      </c>
      <c r="B30" s="49"/>
      <c r="C30" s="49"/>
      <c r="D30" s="49" t="s">
        <v>238</v>
      </c>
      <c r="E30" s="49" t="s">
        <v>238</v>
      </c>
      <c r="F30" s="49" t="s">
        <v>238</v>
      </c>
      <c r="G30" s="49" t="s">
        <v>238</v>
      </c>
      <c r="H30" s="49" t="s">
        <v>238</v>
      </c>
      <c r="I30" s="49" t="s">
        <v>238</v>
      </c>
      <c r="J30" s="49" t="s">
        <v>238</v>
      </c>
      <c r="K30" s="49"/>
      <c r="L30" s="50"/>
      <c r="M30" s="50" t="s">
        <v>237</v>
      </c>
      <c r="AJ30"/>
      <c r="AK30"/>
      <c r="BJ30" s="1"/>
      <c r="BK30" s="1"/>
    </row>
    <row r="31" spans="1:63">
      <c r="A31" s="52" t="s">
        <v>237</v>
      </c>
      <c r="B31" s="49"/>
      <c r="C31" s="49"/>
      <c r="D31" s="49" t="s">
        <v>239</v>
      </c>
      <c r="E31" s="49" t="s">
        <v>239</v>
      </c>
      <c r="F31" s="49" t="s">
        <v>239</v>
      </c>
      <c r="G31" s="49" t="s">
        <v>239</v>
      </c>
      <c r="H31" s="49" t="s">
        <v>239</v>
      </c>
      <c r="I31" s="49" t="s">
        <v>239</v>
      </c>
      <c r="J31" s="49" t="s">
        <v>239</v>
      </c>
      <c r="K31" s="49"/>
      <c r="L31" s="50"/>
      <c r="M31" s="50" t="s">
        <v>237</v>
      </c>
      <c r="AJ31"/>
      <c r="AK31"/>
      <c r="BJ31" s="1"/>
      <c r="BK31" s="1"/>
    </row>
    <row r="32" spans="1:63">
      <c r="A32" s="52" t="s">
        <v>237</v>
      </c>
      <c r="B32" s="49"/>
      <c r="C32" s="49"/>
      <c r="D32" s="49" t="s">
        <v>240</v>
      </c>
      <c r="E32" s="49" t="s">
        <v>240</v>
      </c>
      <c r="F32" s="49" t="s">
        <v>240</v>
      </c>
      <c r="G32" s="49" t="s">
        <v>240</v>
      </c>
      <c r="H32" s="49" t="s">
        <v>240</v>
      </c>
      <c r="I32" s="49" t="s">
        <v>240</v>
      </c>
      <c r="J32" s="49" t="s">
        <v>240</v>
      </c>
      <c r="K32" s="49"/>
      <c r="L32" s="50"/>
      <c r="M32" s="50" t="s">
        <v>237</v>
      </c>
      <c r="AJ32"/>
      <c r="AK32"/>
      <c r="BJ32" s="1"/>
      <c r="BK32" s="1"/>
    </row>
    <row r="33" spans="1:63">
      <c r="A33" s="52" t="s">
        <v>237</v>
      </c>
      <c r="B33" s="50"/>
      <c r="C33" s="50"/>
      <c r="D33" s="49" t="s">
        <v>241</v>
      </c>
      <c r="E33" s="49" t="s">
        <v>241</v>
      </c>
      <c r="F33" s="49" t="s">
        <v>241</v>
      </c>
      <c r="G33" s="49" t="s">
        <v>241</v>
      </c>
      <c r="H33" s="49" t="s">
        <v>241</v>
      </c>
      <c r="I33" s="49" t="s">
        <v>241</v>
      </c>
      <c r="J33" s="49" t="s">
        <v>241</v>
      </c>
      <c r="K33" s="49"/>
      <c r="L33" s="50"/>
      <c r="M33" s="50" t="s">
        <v>237</v>
      </c>
      <c r="AJ33"/>
      <c r="AK33"/>
      <c r="BJ33" s="1"/>
      <c r="BK33" s="1"/>
    </row>
    <row r="34" spans="1:63">
      <c r="A34" s="52" t="s">
        <v>237</v>
      </c>
      <c r="B34" s="50"/>
      <c r="C34" s="50"/>
      <c r="D34" s="50" t="s">
        <v>242</v>
      </c>
      <c r="E34" s="50" t="s">
        <v>242</v>
      </c>
      <c r="F34" s="50" t="s">
        <v>242</v>
      </c>
      <c r="G34" s="50" t="s">
        <v>242</v>
      </c>
      <c r="H34" s="50" t="s">
        <v>242</v>
      </c>
      <c r="I34" s="50" t="s">
        <v>242</v>
      </c>
      <c r="J34" s="50" t="s">
        <v>242</v>
      </c>
      <c r="K34" s="50"/>
      <c r="L34" s="50"/>
      <c r="M34" s="50" t="s">
        <v>237</v>
      </c>
      <c r="AJ34"/>
      <c r="AK34"/>
      <c r="BJ34" s="1"/>
      <c r="BK34" s="1"/>
    </row>
    <row r="35" spans="1:63">
      <c r="A35" s="52" t="s">
        <v>237</v>
      </c>
      <c r="B35" s="50"/>
      <c r="C35" s="50"/>
      <c r="D35" s="50" t="s">
        <v>243</v>
      </c>
      <c r="E35" s="50" t="s">
        <v>243</v>
      </c>
      <c r="F35" s="50" t="s">
        <v>243</v>
      </c>
      <c r="G35" s="50" t="s">
        <v>243</v>
      </c>
      <c r="H35" s="50" t="s">
        <v>243</v>
      </c>
      <c r="I35" s="50" t="s">
        <v>243</v>
      </c>
      <c r="J35" s="50" t="s">
        <v>243</v>
      </c>
      <c r="K35" s="50"/>
      <c r="L35" s="50"/>
      <c r="M35" s="50" t="s">
        <v>237</v>
      </c>
      <c r="AJ35"/>
      <c r="AK35"/>
      <c r="BJ35" s="1"/>
      <c r="BK35" s="1"/>
    </row>
    <row r="36" spans="1:63">
      <c r="AJ36"/>
      <c r="AK36"/>
      <c r="BJ36" s="1"/>
      <c r="BK36" s="1"/>
    </row>
    <row r="37" spans="1:63">
      <c r="AJ37"/>
      <c r="AK37"/>
      <c r="BJ37" s="1"/>
      <c r="BK37" s="1"/>
    </row>
    <row r="38" spans="1:63">
      <c r="R38" s="2"/>
      <c r="AJ38"/>
      <c r="AK38"/>
      <c r="BJ38" s="1"/>
      <c r="BK38" s="1"/>
    </row>
    <row r="39" spans="1:63">
      <c r="AJ39"/>
      <c r="AK39"/>
      <c r="BJ39" s="1"/>
      <c r="BK39" s="1"/>
    </row>
    <row r="40" spans="1:63">
      <c r="N40" s="1"/>
      <c r="O40" s="1"/>
      <c r="P40" s="1"/>
      <c r="Q40" s="1"/>
      <c r="AJ40"/>
      <c r="AK40"/>
      <c r="BJ40" s="1"/>
      <c r="BK40" s="1"/>
    </row>
    <row r="41" spans="1:63">
      <c r="N41" s="1"/>
      <c r="O41" s="1"/>
      <c r="P41" s="1"/>
      <c r="Q41" s="1"/>
      <c r="AJ41"/>
      <c r="AK41"/>
      <c r="BJ41" s="1"/>
      <c r="BK41" s="1"/>
    </row>
    <row r="42" spans="1:63">
      <c r="N42" s="1"/>
      <c r="O42" s="1"/>
      <c r="P42" s="1"/>
      <c r="Q42" s="1"/>
      <c r="AJ42"/>
      <c r="AK42"/>
      <c r="BJ42" s="1"/>
      <c r="BK42" s="1"/>
    </row>
    <row r="43" spans="1:63">
      <c r="N43" s="1"/>
      <c r="O43" s="1"/>
      <c r="P43" s="1"/>
      <c r="Q43" s="1"/>
      <c r="AJ43"/>
      <c r="AK43"/>
      <c r="BJ43" s="1"/>
      <c r="BK43" s="1"/>
    </row>
    <row r="44" spans="1:63">
      <c r="N44" s="1"/>
      <c r="O44" s="1"/>
      <c r="P44" s="1"/>
      <c r="Q44" s="1"/>
      <c r="AJ44"/>
      <c r="AK44"/>
      <c r="BJ44" s="1"/>
      <c r="BK44" s="1"/>
    </row>
    <row r="45" spans="1:63">
      <c r="N45" s="1"/>
      <c r="O45" s="1"/>
      <c r="P45" s="1"/>
      <c r="Q45" s="1"/>
      <c r="AJ45"/>
      <c r="AK45"/>
      <c r="BJ45" s="1"/>
      <c r="BK45" s="1"/>
    </row>
    <row r="46" spans="1:63">
      <c r="N46" s="1"/>
      <c r="O46" s="1"/>
      <c r="P46" s="1"/>
      <c r="Q46" s="1"/>
    </row>
    <row r="47" spans="1:63">
      <c r="N47" s="1"/>
      <c r="O47" s="1"/>
      <c r="P47" s="1"/>
      <c r="Q47" s="1"/>
    </row>
    <row r="48" spans="1:63">
      <c r="N48" s="1"/>
      <c r="O48" s="1"/>
      <c r="P48" s="1"/>
      <c r="Q48" s="1"/>
    </row>
    <row r="49" spans="14:17">
      <c r="N49" s="1"/>
      <c r="O49" s="1"/>
      <c r="P49" s="1"/>
      <c r="Q49" s="1"/>
    </row>
    <row r="50" spans="14:17">
      <c r="N50" s="1"/>
      <c r="O50" s="1"/>
      <c r="P50" s="1"/>
      <c r="Q50" s="1"/>
    </row>
    <row r="51" spans="14:17">
      <c r="N51" s="1"/>
      <c r="O51" s="1"/>
      <c r="P51" s="1"/>
      <c r="Q51" s="1"/>
    </row>
    <row r="52" spans="14:17">
      <c r="N52" s="1"/>
      <c r="O52" s="1"/>
      <c r="P52" s="1"/>
      <c r="Q52" s="1"/>
    </row>
    <row r="53" spans="14:17">
      <c r="N53" s="1"/>
      <c r="O53" s="1"/>
      <c r="P53" s="1"/>
      <c r="Q53" s="1"/>
    </row>
    <row r="54" spans="14:17">
      <c r="N54" s="1"/>
      <c r="O54" s="1"/>
      <c r="P54" s="1"/>
      <c r="Q54" s="1"/>
    </row>
    <row r="55" spans="14:17">
      <c r="N55" s="1"/>
      <c r="O55" s="1"/>
      <c r="P55" s="1"/>
      <c r="Q55" s="1"/>
    </row>
    <row r="56" spans="14:17">
      <c r="N56" s="1"/>
      <c r="O56" s="1"/>
      <c r="P56" s="1"/>
      <c r="Q56" s="1"/>
    </row>
    <row r="57" spans="14:17">
      <c r="N57" s="1"/>
      <c r="O57" s="1"/>
      <c r="P57" s="1"/>
      <c r="Q57" s="1"/>
    </row>
    <row r="58" spans="14:17">
      <c r="N58" s="1"/>
      <c r="O58" s="1"/>
      <c r="P58" s="1"/>
      <c r="Q58" s="1"/>
    </row>
    <row r="59" spans="14:17">
      <c r="N59" s="1"/>
      <c r="O59" s="1"/>
      <c r="P59" s="1"/>
      <c r="Q59" s="1"/>
    </row>
    <row r="60" spans="14:17">
      <c r="N60" s="1"/>
      <c r="O60" s="1"/>
      <c r="P60" s="1"/>
      <c r="Q60" s="1"/>
    </row>
    <row r="61" spans="14:17">
      <c r="N61" s="1"/>
      <c r="O61" s="1"/>
      <c r="P61" s="1"/>
      <c r="Q61" s="1"/>
    </row>
    <row r="62" spans="14:17">
      <c r="N62" s="1"/>
      <c r="O62" s="1"/>
      <c r="P62" s="1"/>
      <c r="Q62" s="1"/>
    </row>
    <row r="63" spans="14:17">
      <c r="N63" s="1"/>
      <c r="O63" s="1"/>
      <c r="P63" s="1"/>
      <c r="Q63" s="1"/>
    </row>
    <row r="64" spans="14:17">
      <c r="N64" s="1"/>
      <c r="O64" s="1"/>
      <c r="P64" s="1"/>
      <c r="Q64" s="1"/>
    </row>
    <row r="65" spans="14:17">
      <c r="N65" s="1"/>
      <c r="O65" s="1"/>
      <c r="P65" s="1"/>
      <c r="Q65" s="1"/>
    </row>
    <row r="66" spans="14:17">
      <c r="N66" s="1"/>
      <c r="O66" s="1"/>
      <c r="P66" s="1"/>
      <c r="Q66" s="1"/>
    </row>
    <row r="67" spans="14:17">
      <c r="N67" s="1"/>
      <c r="O67" s="1"/>
      <c r="P67" s="1"/>
      <c r="Q67" s="1"/>
    </row>
    <row r="68" spans="14:17">
      <c r="N68" s="1"/>
      <c r="O68" s="1"/>
      <c r="P68" s="1"/>
      <c r="Q68" s="1"/>
    </row>
    <row r="69" spans="14:17">
      <c r="N69" s="1"/>
      <c r="O69" s="1"/>
      <c r="P69" s="1"/>
      <c r="Q69" s="1"/>
    </row>
    <row r="70" spans="14:17">
      <c r="N70" s="1"/>
      <c r="O70" s="1"/>
      <c r="P70" s="1"/>
      <c r="Q70" s="1"/>
    </row>
    <row r="71" spans="14:17">
      <c r="N71" s="1"/>
      <c r="O71" s="1"/>
      <c r="P71" s="1"/>
      <c r="Q71" s="1"/>
    </row>
    <row r="72" spans="14:17">
      <c r="N72" s="1"/>
      <c r="O72" s="1"/>
      <c r="P72" s="1"/>
      <c r="Q72" s="1"/>
    </row>
    <row r="73" spans="14:17">
      <c r="N73" s="1"/>
      <c r="O73" s="1"/>
      <c r="P73" s="1"/>
      <c r="Q73" s="1"/>
    </row>
    <row r="74" spans="14:17">
      <c r="N74" s="1"/>
      <c r="O74" s="1"/>
      <c r="P74" s="1"/>
      <c r="Q74" s="1"/>
    </row>
    <row r="75" spans="14:17">
      <c r="N75" s="1"/>
      <c r="O75" s="1"/>
      <c r="P75" s="1"/>
      <c r="Q75" s="1"/>
    </row>
    <row r="76" spans="14:17">
      <c r="N76" s="1"/>
      <c r="O76" s="1"/>
      <c r="P76" s="1"/>
      <c r="Q76" s="1"/>
    </row>
    <row r="77" spans="14:17">
      <c r="N77" s="1"/>
      <c r="O77" s="1"/>
      <c r="P77" s="1"/>
      <c r="Q77" s="1"/>
    </row>
    <row r="78" spans="14:17">
      <c r="N78" s="1"/>
      <c r="O78" s="1"/>
      <c r="P78" s="1"/>
      <c r="Q78" s="1"/>
    </row>
    <row r="79" spans="14:17">
      <c r="N79" s="1"/>
      <c r="O79" s="1"/>
      <c r="P79" s="1"/>
      <c r="Q79" s="1"/>
    </row>
    <row r="80" spans="14:17">
      <c r="N80" s="1"/>
      <c r="O80" s="1"/>
      <c r="P80" s="1"/>
      <c r="Q80" s="1"/>
    </row>
    <row r="81" spans="14:17">
      <c r="N81" s="1"/>
      <c r="O81" s="1"/>
      <c r="P81" s="1"/>
      <c r="Q81" s="1"/>
    </row>
    <row r="82" spans="14:17">
      <c r="N82" s="1"/>
      <c r="O82" s="1"/>
      <c r="P82" s="1"/>
      <c r="Q82" s="1"/>
    </row>
    <row r="83" spans="14:17">
      <c r="N83" s="1"/>
      <c r="O83" s="1"/>
      <c r="P83" s="1"/>
      <c r="Q83" s="1"/>
    </row>
    <row r="84" spans="14:17">
      <c r="N84" s="1"/>
      <c r="O84" s="1"/>
      <c r="P84" s="1"/>
      <c r="Q84" s="1"/>
    </row>
    <row r="85" spans="14:17">
      <c r="N85" s="1"/>
      <c r="O85" s="1"/>
      <c r="P85" s="1"/>
      <c r="Q85" s="1"/>
    </row>
    <row r="86" spans="14:17">
      <c r="N86" s="1"/>
      <c r="O86" s="1"/>
      <c r="P86" s="1"/>
      <c r="Q86" s="1"/>
    </row>
    <row r="87" spans="14:17">
      <c r="N87" s="1"/>
      <c r="O87" s="1"/>
      <c r="P87" s="1"/>
      <c r="Q87" s="1"/>
    </row>
    <row r="88" spans="14:17">
      <c r="N88" s="1"/>
      <c r="O88" s="1"/>
      <c r="P88" s="1"/>
      <c r="Q88" s="1"/>
    </row>
  </sheetData>
  <mergeCells count="12">
    <mergeCell ref="F12:F13"/>
    <mergeCell ref="H12:H13"/>
    <mergeCell ref="J12:J13"/>
    <mergeCell ref="E1:F1"/>
    <mergeCell ref="G1:H1"/>
    <mergeCell ref="I1:J1"/>
    <mergeCell ref="M1:M2"/>
    <mergeCell ref="A1:A2"/>
    <mergeCell ref="B1:B2"/>
    <mergeCell ref="C1:C2"/>
    <mergeCell ref="D1:D2"/>
    <mergeCell ref="L1:L2"/>
  </mergeCells>
  <pageMargins left="0.7" right="0.7" top="0.75" bottom="0.75" header="0.3" footer="0.3"/>
  <pageSetup paperSize="9" scale="37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2060"/>
  </sheetPr>
  <dimension ref="A1:Q1"/>
  <sheetViews>
    <sheetView workbookViewId="0"/>
  </sheetViews>
  <sheetFormatPr defaultRowHeight="15"/>
  <sheetData>
    <row r="1" spans="1:17" s="33" customFormat="1" ht="33.75" customHeight="1">
      <c r="A1" s="39" t="s">
        <v>114</v>
      </c>
      <c r="B1" s="39" t="s">
        <v>115</v>
      </c>
      <c r="C1" s="39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244</v>
      </c>
      <c r="L1" s="41" t="s">
        <v>124</v>
      </c>
      <c r="M1" s="42" t="s">
        <v>125</v>
      </c>
      <c r="N1" s="42" t="s">
        <v>245</v>
      </c>
      <c r="O1" s="35" t="s">
        <v>126</v>
      </c>
      <c r="P1" s="35" t="s">
        <v>127</v>
      </c>
      <c r="Q1" s="35" t="s">
        <v>128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5" tint="-0.249977111117893"/>
  </sheetPr>
  <dimension ref="A1"/>
  <sheetViews>
    <sheetView zoomScale="75" zoomScaleNormal="75" workbookViewId="0">
      <selection activeCell="D31" sqref="D3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</sheetPr>
  <dimension ref="A1:Q10"/>
  <sheetViews>
    <sheetView zoomScale="85" zoomScaleNormal="85" workbookViewId="0">
      <selection activeCell="A6" sqref="A6:XFD6"/>
    </sheetView>
  </sheetViews>
  <sheetFormatPr defaultColWidth="36.7109375" defaultRowHeight="15"/>
  <cols>
    <col min="1" max="1" width="28.5703125" bestFit="1" customWidth="1"/>
    <col min="2" max="2" width="30.7109375" customWidth="1"/>
    <col min="3" max="21" width="20.7109375" customWidth="1"/>
  </cols>
  <sheetData>
    <row r="1" spans="1:17" ht="25.5">
      <c r="A1" s="53" t="s">
        <v>115</v>
      </c>
      <c r="B1" s="53" t="s">
        <v>114</v>
      </c>
      <c r="C1" s="53" t="s">
        <v>259</v>
      </c>
      <c r="D1" s="53" t="s">
        <v>263</v>
      </c>
      <c r="E1" s="40" t="s">
        <v>117</v>
      </c>
      <c r="F1" s="40" t="s">
        <v>253</v>
      </c>
      <c r="G1" s="40" t="s">
        <v>119</v>
      </c>
      <c r="H1" s="40" t="s">
        <v>254</v>
      </c>
      <c r="I1" s="40" t="s">
        <v>121</v>
      </c>
      <c r="J1" s="40" t="s">
        <v>255</v>
      </c>
      <c r="K1" s="40" t="s">
        <v>244</v>
      </c>
      <c r="L1" s="41" t="s">
        <v>124</v>
      </c>
      <c r="M1" s="42" t="s">
        <v>125</v>
      </c>
      <c r="N1" s="42" t="s">
        <v>245</v>
      </c>
      <c r="O1" s="35" t="s">
        <v>141</v>
      </c>
      <c r="P1" s="35" t="s">
        <v>250</v>
      </c>
      <c r="Q1" s="35" t="s">
        <v>251</v>
      </c>
    </row>
    <row r="2" spans="1:17">
      <c r="A2" s="46" t="s">
        <v>257</v>
      </c>
      <c r="B2" s="47" t="s">
        <v>246</v>
      </c>
      <c r="C2" s="47" t="s">
        <v>262</v>
      </c>
      <c r="D2" s="47" t="s">
        <v>264</v>
      </c>
      <c r="E2" s="44" t="s">
        <v>159</v>
      </c>
      <c r="F2" s="44">
        <v>2</v>
      </c>
      <c r="G2" s="44" t="s">
        <v>249</v>
      </c>
      <c r="H2" s="44" t="s">
        <v>249</v>
      </c>
      <c r="I2" s="44" t="s">
        <v>163</v>
      </c>
      <c r="J2" s="44">
        <v>3</v>
      </c>
      <c r="K2" s="44">
        <v>3</v>
      </c>
      <c r="L2" s="44">
        <v>96.910841139281516</v>
      </c>
      <c r="M2" s="44">
        <v>1.180353976831805E-4</v>
      </c>
      <c r="N2" s="44">
        <v>2</v>
      </c>
      <c r="O2" s="44">
        <v>2.5</v>
      </c>
      <c r="P2" s="44">
        <v>5</v>
      </c>
      <c r="Q2" s="44">
        <v>6</v>
      </c>
    </row>
    <row r="3" spans="1:17">
      <c r="A3" s="46" t="s">
        <v>256</v>
      </c>
      <c r="B3" s="47" t="s">
        <v>246</v>
      </c>
      <c r="C3" s="47" t="s">
        <v>258</v>
      </c>
      <c r="D3" s="47" t="s">
        <v>264</v>
      </c>
      <c r="E3" s="44" t="s">
        <v>163</v>
      </c>
      <c r="F3" s="44">
        <v>3</v>
      </c>
      <c r="G3" s="44" t="s">
        <v>160</v>
      </c>
      <c r="H3" s="44">
        <v>2</v>
      </c>
      <c r="I3" s="44" t="s">
        <v>163</v>
      </c>
      <c r="J3" s="44">
        <v>3</v>
      </c>
      <c r="K3" s="44">
        <v>3</v>
      </c>
      <c r="L3" s="44">
        <v>78.38248144331601</v>
      </c>
      <c r="M3" s="44">
        <v>1.9869932409675162E-3</v>
      </c>
      <c r="N3" s="44">
        <v>4</v>
      </c>
      <c r="O3" s="44">
        <v>3.5</v>
      </c>
      <c r="P3" s="44">
        <v>5</v>
      </c>
      <c r="Q3" s="44">
        <v>6</v>
      </c>
    </row>
    <row r="4" spans="1:17">
      <c r="A4" s="46" t="s">
        <v>260</v>
      </c>
      <c r="B4" s="47" t="s">
        <v>246</v>
      </c>
      <c r="C4" s="47" t="s">
        <v>261</v>
      </c>
      <c r="D4" s="47" t="s">
        <v>264</v>
      </c>
      <c r="E4" s="44" t="s">
        <v>163</v>
      </c>
      <c r="F4" s="44">
        <v>3</v>
      </c>
      <c r="G4" s="44" t="s">
        <v>249</v>
      </c>
      <c r="H4" s="44" t="s">
        <v>249</v>
      </c>
      <c r="I4" s="44" t="s">
        <v>163</v>
      </c>
      <c r="J4" s="44">
        <v>3</v>
      </c>
      <c r="K4" s="44">
        <v>3</v>
      </c>
      <c r="L4" s="44">
        <v>49.053241530751762</v>
      </c>
      <c r="M4" s="44">
        <v>7.6004189911569759E-5</v>
      </c>
      <c r="N4" s="44">
        <v>2</v>
      </c>
      <c r="O4" s="44">
        <v>2.5</v>
      </c>
      <c r="P4" s="44">
        <v>5</v>
      </c>
      <c r="Q4" s="44">
        <v>6</v>
      </c>
    </row>
    <row r="5" spans="1:17">
      <c r="A5" s="46" t="s">
        <v>271</v>
      </c>
      <c r="B5" s="47" t="s">
        <v>246</v>
      </c>
      <c r="C5" s="47" t="s">
        <v>272</v>
      </c>
      <c r="D5" s="47" t="s">
        <v>264</v>
      </c>
      <c r="E5" s="44" t="s">
        <v>35</v>
      </c>
      <c r="F5" s="44">
        <v>3</v>
      </c>
      <c r="G5" s="44" t="s">
        <v>164</v>
      </c>
      <c r="H5" s="44">
        <v>3</v>
      </c>
      <c r="I5" s="44" t="s">
        <v>163</v>
      </c>
      <c r="J5" s="44">
        <v>3</v>
      </c>
      <c r="K5" s="44">
        <v>3</v>
      </c>
      <c r="L5" s="44">
        <v>48.817925861158052</v>
      </c>
      <c r="M5" s="44">
        <v>7.3501426491625585E-5</v>
      </c>
      <c r="N5" s="44">
        <v>2</v>
      </c>
      <c r="O5" s="44">
        <v>2.5</v>
      </c>
      <c r="P5" s="44">
        <v>5</v>
      </c>
      <c r="Q5" s="44">
        <v>6</v>
      </c>
    </row>
    <row r="6" spans="1:17">
      <c r="A6" s="46" t="s">
        <v>247</v>
      </c>
      <c r="B6" s="47" t="s">
        <v>267</v>
      </c>
      <c r="C6" s="47" t="s">
        <v>248</v>
      </c>
      <c r="D6" s="47" t="s">
        <v>269</v>
      </c>
      <c r="E6" s="44" t="s">
        <v>249</v>
      </c>
      <c r="F6" s="44" t="s">
        <v>249</v>
      </c>
      <c r="G6" s="44" t="s">
        <v>249</v>
      </c>
      <c r="H6" s="44" t="s">
        <v>249</v>
      </c>
      <c r="I6" s="44" t="s">
        <v>159</v>
      </c>
      <c r="J6" s="44">
        <v>2</v>
      </c>
      <c r="K6" s="44">
        <v>2</v>
      </c>
      <c r="L6" s="44">
        <v>154.74968005995592</v>
      </c>
      <c r="M6" s="44">
        <v>3.7517239359008093E-3</v>
      </c>
      <c r="N6" s="44">
        <v>4</v>
      </c>
      <c r="O6" s="44">
        <v>3</v>
      </c>
      <c r="P6" s="44">
        <v>5</v>
      </c>
      <c r="Q6" s="44">
        <v>6</v>
      </c>
    </row>
    <row r="7" spans="1:17">
      <c r="A7" s="46" t="s">
        <v>268</v>
      </c>
      <c r="B7" s="47" t="s">
        <v>273</v>
      </c>
      <c r="C7" s="47" t="s">
        <v>270</v>
      </c>
      <c r="D7" s="47" t="s">
        <v>264</v>
      </c>
      <c r="E7" s="44" t="s">
        <v>35</v>
      </c>
      <c r="F7" s="44">
        <v>3</v>
      </c>
      <c r="G7" s="44" t="s">
        <v>249</v>
      </c>
      <c r="H7" s="44" t="s">
        <v>249</v>
      </c>
      <c r="I7" s="44" t="s">
        <v>170</v>
      </c>
      <c r="J7" s="44">
        <v>3</v>
      </c>
      <c r="K7" s="44">
        <v>3</v>
      </c>
      <c r="L7" s="44">
        <v>89.929754494905808</v>
      </c>
      <c r="M7" s="44">
        <v>5.1735423077856613E-3</v>
      </c>
      <c r="N7" s="44">
        <v>4</v>
      </c>
      <c r="O7" s="44">
        <v>3.5</v>
      </c>
      <c r="P7" s="44">
        <v>5</v>
      </c>
      <c r="Q7" s="44">
        <v>6</v>
      </c>
    </row>
    <row r="8" spans="1:17">
      <c r="A8" s="46" t="s">
        <v>274</v>
      </c>
      <c r="B8" s="47" t="s">
        <v>275</v>
      </c>
      <c r="C8" s="47" t="s">
        <v>276</v>
      </c>
      <c r="D8" s="47" t="s">
        <v>265</v>
      </c>
      <c r="E8" s="44" t="s">
        <v>170</v>
      </c>
      <c r="F8" s="44">
        <v>3</v>
      </c>
      <c r="G8" s="44" t="s">
        <v>164</v>
      </c>
      <c r="H8" s="44">
        <v>3</v>
      </c>
      <c r="I8" s="44" t="s">
        <v>35</v>
      </c>
      <c r="J8" s="44">
        <v>3</v>
      </c>
      <c r="K8" s="44">
        <v>3</v>
      </c>
      <c r="L8" s="44">
        <v>61.437112811932494</v>
      </c>
      <c r="M8" s="44">
        <v>2.9560771453440715E-5</v>
      </c>
      <c r="N8" s="44">
        <v>1</v>
      </c>
      <c r="O8" s="44">
        <v>2</v>
      </c>
      <c r="P8" s="44">
        <v>5</v>
      </c>
      <c r="Q8" s="44">
        <v>6</v>
      </c>
    </row>
    <row r="9" spans="1:17">
      <c r="A9" s="46" t="s">
        <v>279</v>
      </c>
      <c r="B9" s="47" t="s">
        <v>267</v>
      </c>
      <c r="C9" s="47" t="s">
        <v>280</v>
      </c>
      <c r="D9" s="47" t="s">
        <v>281</v>
      </c>
      <c r="E9" s="44" t="s">
        <v>163</v>
      </c>
      <c r="F9" s="44">
        <v>3</v>
      </c>
      <c r="G9" s="44" t="s">
        <v>168</v>
      </c>
      <c r="H9" s="44">
        <v>3</v>
      </c>
      <c r="I9" s="44" t="s">
        <v>159</v>
      </c>
      <c r="J9" s="44">
        <v>2</v>
      </c>
      <c r="K9" s="44">
        <v>3</v>
      </c>
      <c r="L9" s="44">
        <v>111.52504776273845</v>
      </c>
      <c r="M9" s="44">
        <v>1.1844887200862519E-4</v>
      </c>
      <c r="N9" s="44">
        <v>2</v>
      </c>
      <c r="O9" s="44">
        <v>2.5</v>
      </c>
      <c r="P9" s="44">
        <v>5</v>
      </c>
      <c r="Q9" s="44">
        <v>6</v>
      </c>
    </row>
    <row r="10" spans="1:17">
      <c r="A10" s="46" t="s">
        <v>282</v>
      </c>
      <c r="B10" s="47" t="s">
        <v>283</v>
      </c>
      <c r="C10" s="47" t="s">
        <v>284</v>
      </c>
      <c r="D10" s="47" t="s">
        <v>281</v>
      </c>
      <c r="E10" s="44" t="s">
        <v>177</v>
      </c>
      <c r="F10" s="44">
        <v>4</v>
      </c>
      <c r="G10" s="44" t="s">
        <v>168</v>
      </c>
      <c r="H10" s="44">
        <v>3</v>
      </c>
      <c r="I10" s="44" t="s">
        <v>35</v>
      </c>
      <c r="J10" s="44">
        <v>3</v>
      </c>
      <c r="K10" s="44">
        <v>4</v>
      </c>
      <c r="L10" s="44">
        <v>89.444696092461385</v>
      </c>
      <c r="M10" s="44">
        <v>6.5169469385917278E-4</v>
      </c>
      <c r="N10" s="44">
        <v>3</v>
      </c>
      <c r="O10" s="44">
        <v>3.5</v>
      </c>
      <c r="P10" s="44">
        <v>5</v>
      </c>
      <c r="Q10" s="44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/>
  </sheetPr>
  <dimension ref="A1:Q1270"/>
  <sheetViews>
    <sheetView zoomScale="85" zoomScaleNormal="85" workbookViewId="0">
      <selection activeCell="A8" sqref="A8:XFD8"/>
    </sheetView>
  </sheetViews>
  <sheetFormatPr defaultColWidth="33.28515625" defaultRowHeight="15" outlineLevelRow="1"/>
  <cols>
    <col min="1" max="1" width="30.7109375" style="26" customWidth="1"/>
    <col min="2" max="2" width="20.7109375" style="32" customWidth="1"/>
    <col min="3" max="3" width="20.7109375" style="31" customWidth="1"/>
    <col min="4" max="4" width="36" style="31" bestFit="1" customWidth="1"/>
    <col min="5" max="17" width="20.7109375" style="26" customWidth="1"/>
    <col min="18" max="16384" width="33.28515625" style="26"/>
  </cols>
  <sheetData>
    <row r="1" spans="1:17" s="33" customFormat="1" ht="12.75" outlineLevel="1">
      <c r="A1" s="34"/>
      <c r="B1" s="38"/>
      <c r="C1" s="34"/>
      <c r="D1" s="34"/>
      <c r="E1" s="44" t="str">
        <f>+IF(LEFT(_xll.BDP($C1,E$2),4)="#N/A","",_xll.BDP($C1,E$2))</f>
        <v/>
      </c>
      <c r="F1" s="44" t="str">
        <f>+IFERROR(INDEX(CreditScore,MATCH(SUBSTITUTE($E1,"u",""),SP_LT,0),1),"")</f>
        <v/>
      </c>
      <c r="G1" s="44" t="str">
        <f>+IF(LEFT(_xll.BDP($C1,G$2),4)="#N/A","",_xll.BDP($C1,G$2))</f>
        <v/>
      </c>
      <c r="H1" s="44" t="str">
        <f>+IFERROR(INDEX(CreditScore,MATCH(SUBSTITUTE($G1,"u",""),Moodys_LT,0),1),"")</f>
        <v/>
      </c>
      <c r="I1" s="44" t="str">
        <f>+IF(LEFT(_xll.BDP($C1,I$2),4)="#N/A","",_xll.BDP($C1,I$2))</f>
        <v/>
      </c>
      <c r="J1" s="44" t="str">
        <f>+IFERROR(INDEX(CreditScore,MATCH(SUBSTITUTE(SUBSTITUTE($I1," *+","")," *-",""),Fitch_LT,0),1),"")</f>
        <v/>
      </c>
      <c r="K1" s="44">
        <f>+MAX($F1,$H1,$J1)</f>
        <v>0</v>
      </c>
      <c r="L1" s="44" t="str">
        <f>+IF(LEFT(_xll.BDP($C1,L$2),4)="#N/A","",_xll.BDP($C1,L$2))</f>
        <v/>
      </c>
      <c r="M1" s="44" t="str">
        <f>+IF(NOT(ISNUMBER(_xll.BDP($C1,M$2))),"",_xll.BDP($C1,M$2))</f>
        <v/>
      </c>
      <c r="N1" s="44" t="str">
        <f>IFERROR(INDEX(CreditScore,MATCH($M1,DefaultProbability,1),1),"")</f>
        <v/>
      </c>
      <c r="O1" s="44">
        <f>IF($K1="",$N1,IF($N1="",$K1,0.5*$K1+0.5*$N1))</f>
        <v>0</v>
      </c>
      <c r="P1" s="44">
        <f>5</f>
        <v>5</v>
      </c>
      <c r="Q1" s="44"/>
    </row>
    <row r="2" spans="1:17" s="38" customFormat="1" ht="25.5" outlineLevel="1">
      <c r="A2" s="34"/>
      <c r="C2" s="34"/>
      <c r="D2" s="34"/>
      <c r="E2" s="45" t="s">
        <v>109</v>
      </c>
      <c r="F2" s="45"/>
      <c r="G2" s="45" t="s">
        <v>110</v>
      </c>
      <c r="H2" s="45"/>
      <c r="I2" s="45" t="s">
        <v>111</v>
      </c>
      <c r="J2" s="45"/>
      <c r="K2" s="45"/>
      <c r="L2" s="45" t="s">
        <v>112</v>
      </c>
      <c r="M2" s="45" t="s">
        <v>113</v>
      </c>
      <c r="N2" s="45"/>
      <c r="O2" s="45"/>
      <c r="P2" s="45"/>
      <c r="Q2" s="45"/>
    </row>
    <row r="3" spans="1:17" s="33" customFormat="1" ht="33.75" customHeight="1">
      <c r="A3" s="53" t="s">
        <v>115</v>
      </c>
      <c r="B3" s="53" t="s">
        <v>114</v>
      </c>
      <c r="C3" s="53" t="s">
        <v>259</v>
      </c>
      <c r="D3" s="53" t="s">
        <v>263</v>
      </c>
      <c r="E3" s="40" t="s">
        <v>117</v>
      </c>
      <c r="F3" s="40" t="s">
        <v>253</v>
      </c>
      <c r="G3" s="40" t="s">
        <v>119</v>
      </c>
      <c r="H3" s="40" t="s">
        <v>254</v>
      </c>
      <c r="I3" s="40" t="s">
        <v>121</v>
      </c>
      <c r="J3" s="40" t="s">
        <v>255</v>
      </c>
      <c r="K3" s="40" t="s">
        <v>244</v>
      </c>
      <c r="L3" s="41" t="s">
        <v>124</v>
      </c>
      <c r="M3" s="42" t="s">
        <v>125</v>
      </c>
      <c r="N3" s="42" t="s">
        <v>245</v>
      </c>
      <c r="O3" s="35" t="s">
        <v>141</v>
      </c>
      <c r="P3" s="35" t="s">
        <v>250</v>
      </c>
      <c r="Q3" s="35" t="s">
        <v>251</v>
      </c>
    </row>
    <row r="4" spans="1:17" s="43" customFormat="1" ht="12.75">
      <c r="A4" s="46" t="s">
        <v>257</v>
      </c>
      <c r="B4" s="47" t="s">
        <v>246</v>
      </c>
      <c r="C4" s="47" t="s">
        <v>262</v>
      </c>
      <c r="D4" s="47" t="s">
        <v>264</v>
      </c>
      <c r="E4" s="44" t="str">
        <f>+IF(LEFT(_xll.BDP($C4,E$2),4)="#N/A","",_xll.BDP($C4,E$2))</f>
        <v>AA-</v>
      </c>
      <c r="F4" s="44">
        <f t="shared" ref="F4:F12" si="0">+IFERROR(INDEX(CreditScore,MATCH(SUBSTITUTE($E4,"u",""),SP_LT,0),1),"")</f>
        <v>2</v>
      </c>
      <c r="G4" s="44" t="str">
        <f>+IF(LEFT(_xll.BDP($C4,G$2),4)="#N/A","",_xll.BDP($C4,G$2))</f>
        <v/>
      </c>
      <c r="H4" s="44" t="str">
        <f t="shared" ref="H4:H12" si="1">+IFERROR(INDEX(CreditScore,MATCH(SUBSTITUTE($G4,"u",""),Moodys_LT,0),1),"")</f>
        <v/>
      </c>
      <c r="I4" s="44" t="str">
        <f>+IF(LEFT(_xll.BDP($C4,I$2),4)="#N/A","",_xll.BDP($C4,I$2))</f>
        <v>A+</v>
      </c>
      <c r="J4" s="44">
        <f t="shared" ref="J4:J12" si="2">+IFERROR(INDEX(CreditScore,MATCH(SUBSTITUTE(SUBSTITUTE($I4," *+","")," *-",""),Fitch_LT,0),1),"")</f>
        <v>3</v>
      </c>
      <c r="K4" s="44">
        <f t="shared" ref="K4:K12" si="3">+MAX($F4,$H4,$J4)</f>
        <v>3</v>
      </c>
      <c r="L4" s="44">
        <f>+IF(LEFT(_xll.BDP($C4,L$2),4)="#N/A","",_xll.BDP($C4,L$2))</f>
        <v>100.95759072637239</v>
      </c>
      <c r="M4" s="44">
        <f>+IF(NOT(ISNUMBER(_xll.BDP($C4,M$2))),"",_xll.BDP($C4,M$2))</f>
        <v>1.1977669287666082E-4</v>
      </c>
      <c r="N4" s="44">
        <f t="shared" ref="N4:N12" si="4">IFERROR(INDEX(CreditScore,MATCH($M4,DefaultProbability,1),1),"")</f>
        <v>2</v>
      </c>
      <c r="O4" s="44">
        <f t="shared" ref="O4:O12" si="5">IF($K4="",$N4,IF($N4="",$K4,0.5*$K4+0.5*$N4))</f>
        <v>2.5</v>
      </c>
      <c r="P4" s="44">
        <f>5</f>
        <v>5</v>
      </c>
      <c r="Q4" s="44">
        <v>6</v>
      </c>
    </row>
    <row r="5" spans="1:17" s="43" customFormat="1" ht="12.75">
      <c r="A5" s="46" t="s">
        <v>256</v>
      </c>
      <c r="B5" s="47" t="s">
        <v>246</v>
      </c>
      <c r="C5" s="47" t="s">
        <v>258</v>
      </c>
      <c r="D5" s="47" t="s">
        <v>264</v>
      </c>
      <c r="E5" s="44" t="str">
        <f>+IF(LEFT(_xll.BDP($C5,E$2),4)="#N/A","",_xll.BDP($C5,E$2))</f>
        <v>A+</v>
      </c>
      <c r="F5" s="44">
        <f t="shared" si="0"/>
        <v>3</v>
      </c>
      <c r="G5" s="44" t="str">
        <f>+IF(LEFT(_xll.BDP($C5,G$2),4)="#N/A","",_xll.BDP($C5,G$2))</f>
        <v>Aa3</v>
      </c>
      <c r="H5" s="44">
        <f t="shared" si="1"/>
        <v>2</v>
      </c>
      <c r="I5" s="44" t="str">
        <f>+IF(LEFT(_xll.BDP($C5,I$2),4)="#N/A","",_xll.BDP($C5,I$2))</f>
        <v>A+</v>
      </c>
      <c r="J5" s="44">
        <f t="shared" si="2"/>
        <v>3</v>
      </c>
      <c r="K5" s="44">
        <f t="shared" si="3"/>
        <v>3</v>
      </c>
      <c r="L5" s="44">
        <f>+IF(LEFT(_xll.BDP($C5,L$2),4)="#N/A","",_xll.BDP($C5,L$2))</f>
        <v>83.902746463722679</v>
      </c>
      <c r="M5" s="44">
        <f>+IF(NOT(ISNUMBER(_xll.BDP($C5,M$2))),"",_xll.BDP($C5,M$2))</f>
        <v>2.3560485377147611E-3</v>
      </c>
      <c r="N5" s="44">
        <f t="shared" si="4"/>
        <v>4</v>
      </c>
      <c r="O5" s="44">
        <f t="shared" si="5"/>
        <v>3.5</v>
      </c>
      <c r="P5" s="44">
        <f>5</f>
        <v>5</v>
      </c>
      <c r="Q5" s="44">
        <v>6</v>
      </c>
    </row>
    <row r="6" spans="1:17" s="43" customFormat="1" ht="12.75">
      <c r="A6" s="46" t="s">
        <v>260</v>
      </c>
      <c r="B6" s="47" t="s">
        <v>246</v>
      </c>
      <c r="C6" s="47" t="s">
        <v>261</v>
      </c>
      <c r="D6" s="47" t="s">
        <v>264</v>
      </c>
      <c r="E6" s="44" t="str">
        <f>+IF(LEFT(_xll.BDP($C6,E$2),4)="#N/A","",_xll.BDP($C6,E$2))</f>
        <v>A+</v>
      </c>
      <c r="F6" s="44">
        <f t="shared" si="0"/>
        <v>3</v>
      </c>
      <c r="G6" s="44" t="str">
        <f>+IF(LEFT(_xll.BDP($C6,G$2),4)="#N/A","",_xll.BDP($C6,G$2))</f>
        <v/>
      </c>
      <c r="H6" s="44" t="str">
        <f t="shared" si="1"/>
        <v/>
      </c>
      <c r="I6" s="44" t="str">
        <f>+IF(LEFT(_xll.BDP($C6,I$2),4)="#N/A","",_xll.BDP($C6,I$2))</f>
        <v>A+</v>
      </c>
      <c r="J6" s="44">
        <f t="shared" si="2"/>
        <v>3</v>
      </c>
      <c r="K6" s="44">
        <f t="shared" si="3"/>
        <v>3</v>
      </c>
      <c r="L6" s="44">
        <f>+IF(LEFT(_xll.BDP($C6,L$2),4)="#N/A","",_xll.BDP($C6,L$2))</f>
        <v>51.069153893389945</v>
      </c>
      <c r="M6" s="44">
        <f>+IF(NOT(ISNUMBER(_xll.BDP($C6,M$2))),"",_xll.BDP($C6,M$2))</f>
        <v>7.0383069714829728E-5</v>
      </c>
      <c r="N6" s="44">
        <f t="shared" si="4"/>
        <v>2</v>
      </c>
      <c r="O6" s="44">
        <f t="shared" si="5"/>
        <v>2.5</v>
      </c>
      <c r="P6" s="44">
        <f>5</f>
        <v>5</v>
      </c>
      <c r="Q6" s="44">
        <v>6</v>
      </c>
    </row>
    <row r="7" spans="1:17" s="43" customFormat="1" ht="12.75">
      <c r="A7" s="46" t="s">
        <v>271</v>
      </c>
      <c r="B7" s="47" t="s">
        <v>246</v>
      </c>
      <c r="C7" s="47" t="s">
        <v>272</v>
      </c>
      <c r="D7" s="47" t="s">
        <v>264</v>
      </c>
      <c r="E7" s="44" t="str">
        <f>+IF(LEFT(_xll.BDP($C7,E$2),4)="#N/A","",_xll.BDP($C7,E$2))</f>
        <v>A</v>
      </c>
      <c r="F7" s="44">
        <f t="shared" si="0"/>
        <v>3</v>
      </c>
      <c r="G7" s="44" t="str">
        <f>+IF(LEFT(_xll.BDP($C7,G$2),4)="#N/A","",_xll.BDP($C7,G$2))</f>
        <v>A1</v>
      </c>
      <c r="H7" s="44">
        <f t="shared" si="1"/>
        <v>3</v>
      </c>
      <c r="I7" s="44" t="str">
        <f>+IF(LEFT(_xll.BDP($C7,I$2),4)="#N/A","",_xll.BDP($C7,I$2))</f>
        <v>A+</v>
      </c>
      <c r="J7" s="44">
        <f t="shared" si="2"/>
        <v>3</v>
      </c>
      <c r="K7" s="44">
        <f t="shared" si="3"/>
        <v>3</v>
      </c>
      <c r="L7" s="44">
        <f>+IF(LEFT(_xll.BDP($C7,L$2),4)="#N/A","",_xll.BDP($C7,L$2))</f>
        <v>50.827907303999204</v>
      </c>
      <c r="M7" s="44">
        <f>+IF(NOT(ISNUMBER(_xll.BDP($C7,M$2))),"",_xll.BDP($C7,M$2))</f>
        <v>6.8065393148444823E-5</v>
      </c>
      <c r="N7" s="44">
        <f t="shared" si="4"/>
        <v>2</v>
      </c>
      <c r="O7" s="44">
        <f t="shared" si="5"/>
        <v>2.5</v>
      </c>
      <c r="P7" s="44">
        <f>5</f>
        <v>5</v>
      </c>
      <c r="Q7" s="44">
        <v>6</v>
      </c>
    </row>
    <row r="8" spans="1:17" s="43" customFormat="1" ht="12.75">
      <c r="A8" s="46" t="s">
        <v>247</v>
      </c>
      <c r="B8" s="47" t="s">
        <v>267</v>
      </c>
      <c r="C8" s="47" t="s">
        <v>248</v>
      </c>
      <c r="D8" s="47" t="s">
        <v>269</v>
      </c>
      <c r="E8" s="44" t="str">
        <f>+IF(LEFT(_xll.BDP($C8,E$2),4)="#N/A","",_xll.BDP($C8,E$2))</f>
        <v/>
      </c>
      <c r="F8" s="44" t="str">
        <f t="shared" si="0"/>
        <v/>
      </c>
      <c r="G8" s="44" t="str">
        <f>+IF(LEFT(_xll.BDP($C8,G$2),4)="#N/A","",_xll.BDP($C8,G$2))</f>
        <v/>
      </c>
      <c r="H8" s="44" t="str">
        <f t="shared" si="1"/>
        <v/>
      </c>
      <c r="I8" s="44" t="str">
        <f>+IF(LEFT(_xll.BDP($C8,I$2),4)="#N/A","",_xll.BDP($C8,I$2))</f>
        <v>AA-</v>
      </c>
      <c r="J8" s="44">
        <f t="shared" si="2"/>
        <v>2</v>
      </c>
      <c r="K8" s="44">
        <f t="shared" si="3"/>
        <v>2</v>
      </c>
      <c r="L8" s="44">
        <f>+IF(LEFT(_xll.BDP($C8,L$2),4)="#N/A","",_xll.BDP($C8,L$2))</f>
        <v>154.74968005995592</v>
      </c>
      <c r="M8" s="44">
        <f>+IF(NOT(ISNUMBER(_xll.BDP($C8,M$2))),"",_xll.BDP($C8,M$2))</f>
        <v>3.7517239359008093E-3</v>
      </c>
      <c r="N8" s="44">
        <f t="shared" si="4"/>
        <v>4</v>
      </c>
      <c r="O8" s="44">
        <f t="shared" si="5"/>
        <v>3</v>
      </c>
      <c r="P8" s="44">
        <f>5</f>
        <v>5</v>
      </c>
      <c r="Q8" s="44">
        <v>6</v>
      </c>
    </row>
    <row r="9" spans="1:17" s="43" customFormat="1" ht="12.75">
      <c r="A9" s="46" t="s">
        <v>268</v>
      </c>
      <c r="B9" s="47" t="s">
        <v>273</v>
      </c>
      <c r="C9" s="47" t="s">
        <v>270</v>
      </c>
      <c r="D9" s="47" t="s">
        <v>264</v>
      </c>
      <c r="E9" s="44" t="str">
        <f>+IF(LEFT(_xll.BDP($C9,E$2),4)="#N/A","",_xll.BDP($C9,E$2))</f>
        <v>A</v>
      </c>
      <c r="F9" s="44">
        <f t="shared" si="0"/>
        <v>3</v>
      </c>
      <c r="G9" s="44" t="str">
        <f>+IF(LEFT(_xll.BDP($C9,G$2),4)="#N/A","",_xll.BDP($C9,G$2))</f>
        <v/>
      </c>
      <c r="H9" s="44" t="str">
        <f t="shared" si="1"/>
        <v/>
      </c>
      <c r="I9" s="44" t="str">
        <f>+IF(LEFT(_xll.BDP($C9,I$2),4)="#N/A","",_xll.BDP($C9,I$2))</f>
        <v>A-</v>
      </c>
      <c r="J9" s="44">
        <f t="shared" si="2"/>
        <v>3</v>
      </c>
      <c r="K9" s="44">
        <f t="shared" si="3"/>
        <v>3</v>
      </c>
      <c r="L9" s="44">
        <f>+IF(LEFT(_xll.BDP($C9,L$2),4)="#N/A","",_xll.BDP($C9,L$2))</f>
        <v>95.567484378157346</v>
      </c>
      <c r="M9" s="44">
        <f>+IF(NOT(ISNUMBER(_xll.BDP($C9,M$2))),"",_xll.BDP($C9,M$2))</f>
        <v>5.9150464853279239E-3</v>
      </c>
      <c r="N9" s="44">
        <f t="shared" si="4"/>
        <v>4</v>
      </c>
      <c r="O9" s="44">
        <f t="shared" si="5"/>
        <v>3.5</v>
      </c>
      <c r="P9" s="44">
        <f>5</f>
        <v>5</v>
      </c>
      <c r="Q9" s="44">
        <v>6</v>
      </c>
    </row>
    <row r="10" spans="1:17" s="43" customFormat="1" ht="12.75">
      <c r="A10" s="46" t="s">
        <v>274</v>
      </c>
      <c r="B10" s="47" t="s">
        <v>275</v>
      </c>
      <c r="C10" s="47" t="s">
        <v>276</v>
      </c>
      <c r="D10" s="47" t="s">
        <v>265</v>
      </c>
      <c r="E10" s="44" t="str">
        <f>+IF(LEFT(_xll.BDP($C10,E$2),4)="#N/A","",_xll.BDP($C10,E$2))</f>
        <v>A-</v>
      </c>
      <c r="F10" s="44">
        <f t="shared" si="0"/>
        <v>3</v>
      </c>
      <c r="G10" s="44" t="str">
        <f>+IF(LEFT(_xll.BDP($C10,G$2),4)="#N/A","",_xll.BDP($C10,G$2))</f>
        <v>A1</v>
      </c>
      <c r="H10" s="44">
        <f t="shared" si="1"/>
        <v>3</v>
      </c>
      <c r="I10" s="44" t="str">
        <f>+IF(LEFT(_xll.BDP($C10,I$2),4)="#N/A","",_xll.BDP($C10,I$2))</f>
        <v>A</v>
      </c>
      <c r="J10" s="44">
        <f t="shared" si="2"/>
        <v>3</v>
      </c>
      <c r="K10" s="44">
        <f t="shared" si="3"/>
        <v>3</v>
      </c>
      <c r="L10" s="44">
        <f>+IF(LEFT(_xll.BDP($C10,L$2),4)="#N/A","",_xll.BDP($C10,L$2))</f>
        <v>81.377895785302229</v>
      </c>
      <c r="M10" s="44">
        <f>+IF(NOT(ISNUMBER(_xll.BDP($C10,M$2))),"",_xll.BDP($C10,M$2))</f>
        <v>3.8717109198438404E-4</v>
      </c>
      <c r="N10" s="44">
        <f t="shared" si="4"/>
        <v>3</v>
      </c>
      <c r="O10" s="44">
        <f t="shared" si="5"/>
        <v>3</v>
      </c>
      <c r="P10" s="44">
        <f>5</f>
        <v>5</v>
      </c>
      <c r="Q10" s="44">
        <v>6</v>
      </c>
    </row>
    <row r="11" spans="1:17" s="43" customFormat="1" ht="12.75">
      <c r="A11" s="46" t="s">
        <v>279</v>
      </c>
      <c r="B11" s="47" t="s">
        <v>267</v>
      </c>
      <c r="C11" s="47" t="s">
        <v>280</v>
      </c>
      <c r="D11" s="47" t="s">
        <v>281</v>
      </c>
      <c r="E11" s="44" t="str">
        <f>+IF(LEFT(_xll.BDP($C11,E$2),4)="#N/A","",_xll.BDP($C11,E$2))</f>
        <v>A+</v>
      </c>
      <c r="F11" s="44">
        <f t="shared" si="0"/>
        <v>3</v>
      </c>
      <c r="G11" s="44" t="str">
        <f>+IF(LEFT(_xll.BDP($C11,G$2),4)="#N/A","",_xll.BDP($C11,G$2))</f>
        <v>A2</v>
      </c>
      <c r="H11" s="44">
        <f t="shared" si="1"/>
        <v>3</v>
      </c>
      <c r="I11" s="44" t="str">
        <f>+IF(LEFT(_xll.BDP($C11,I$2),4)="#N/A","",_xll.BDP($C11,I$2))</f>
        <v>AA-</v>
      </c>
      <c r="J11" s="44">
        <f t="shared" si="2"/>
        <v>2</v>
      </c>
      <c r="K11" s="44">
        <f t="shared" si="3"/>
        <v>3</v>
      </c>
      <c r="L11" s="44">
        <f>+IF(LEFT(_xll.BDP($C11,L$2),4)="#N/A","",_xll.BDP($C11,L$2))</f>
        <v>111.94693160932572</v>
      </c>
      <c r="M11" s="44">
        <f>+IF(NOT(ISNUMBER(_xll.BDP($C11,M$2))),"",_xll.BDP($C11,M$2))</f>
        <v>1.343918734341143E-4</v>
      </c>
      <c r="N11" s="44">
        <f t="shared" si="4"/>
        <v>2</v>
      </c>
      <c r="O11" s="44">
        <f t="shared" si="5"/>
        <v>2.5</v>
      </c>
      <c r="P11" s="44">
        <f>5</f>
        <v>5</v>
      </c>
      <c r="Q11" s="44">
        <v>6</v>
      </c>
    </row>
    <row r="12" spans="1:17" s="43" customFormat="1" ht="12.75">
      <c r="A12" s="46" t="s">
        <v>282</v>
      </c>
      <c r="B12" s="47" t="s">
        <v>283</v>
      </c>
      <c r="C12" s="47" t="s">
        <v>284</v>
      </c>
      <c r="D12" s="47" t="s">
        <v>281</v>
      </c>
      <c r="E12" s="44" t="str">
        <f>+IF(LEFT(_xll.BDP($C12,E$2),4)="#N/A","",_xll.BDP($C12,E$2))</f>
        <v>BBB+</v>
      </c>
      <c r="F12" s="44">
        <f t="shared" si="0"/>
        <v>4</v>
      </c>
      <c r="G12" s="44" t="str">
        <f>+IF(LEFT(_xll.BDP($C12,G$2),4)="#N/A","",_xll.BDP($C12,G$2))</f>
        <v>A2</v>
      </c>
      <c r="H12" s="44">
        <f t="shared" si="1"/>
        <v>3</v>
      </c>
      <c r="I12" s="44" t="str">
        <f>+IF(LEFT(_xll.BDP($C12,I$2),4)="#N/A","",_xll.BDP($C12,I$2))</f>
        <v>A</v>
      </c>
      <c r="J12" s="44">
        <f t="shared" si="2"/>
        <v>3</v>
      </c>
      <c r="K12" s="44">
        <f t="shared" si="3"/>
        <v>4</v>
      </c>
      <c r="L12" s="44">
        <f>+IF(LEFT(_xll.BDP($C12,L$2),4)="#N/A","",_xll.BDP($C12,L$2))</f>
        <v>83.47444623429439</v>
      </c>
      <c r="M12" s="44">
        <f>+IF(NOT(ISNUMBER(_xll.BDP($C12,M$2))),"",_xll.BDP($C12,M$2))</f>
        <v>4.7429184771263788E-4</v>
      </c>
      <c r="N12" s="44">
        <f t="shared" si="4"/>
        <v>3</v>
      </c>
      <c r="O12" s="44">
        <f t="shared" si="5"/>
        <v>3.5</v>
      </c>
      <c r="P12" s="44">
        <f>5</f>
        <v>5</v>
      </c>
      <c r="Q12" s="44">
        <v>6</v>
      </c>
    </row>
    <row r="13" spans="1:17" s="27" customFormat="1">
      <c r="B13" s="32"/>
      <c r="C13" s="31"/>
      <c r="D13" s="31"/>
    </row>
    <row r="14" spans="1:17" s="27" customFormat="1">
      <c r="B14" s="32"/>
      <c r="C14" s="31"/>
      <c r="D14" s="31"/>
    </row>
    <row r="15" spans="1:17" s="27" customFormat="1">
      <c r="B15" s="32"/>
      <c r="C15" s="31"/>
      <c r="D15" s="31"/>
    </row>
    <row r="16" spans="1:17" s="27" customFormat="1">
      <c r="B16" s="32"/>
      <c r="C16" s="31"/>
      <c r="D16" s="31"/>
    </row>
    <row r="17" spans="2:4" s="27" customFormat="1">
      <c r="B17" s="32"/>
      <c r="C17" s="31"/>
      <c r="D17" s="31"/>
    </row>
    <row r="18" spans="2:4" s="27" customFormat="1">
      <c r="B18" s="32"/>
      <c r="C18" s="31"/>
      <c r="D18" s="31"/>
    </row>
    <row r="19" spans="2:4" s="27" customFormat="1">
      <c r="B19" s="32"/>
      <c r="C19" s="31"/>
      <c r="D19" s="31"/>
    </row>
    <row r="20" spans="2:4" s="27" customFormat="1">
      <c r="B20" s="32"/>
      <c r="C20" s="31"/>
      <c r="D20" s="31"/>
    </row>
    <row r="21" spans="2:4" s="27" customFormat="1">
      <c r="B21" s="32"/>
      <c r="C21" s="31"/>
      <c r="D21" s="31"/>
    </row>
    <row r="22" spans="2:4" s="27" customFormat="1">
      <c r="B22" s="32"/>
      <c r="C22" s="31"/>
      <c r="D22" s="31"/>
    </row>
    <row r="23" spans="2:4" s="27" customFormat="1">
      <c r="B23" s="32"/>
      <c r="C23" s="31"/>
      <c r="D23" s="31"/>
    </row>
    <row r="24" spans="2:4" s="27" customFormat="1">
      <c r="B24" s="32"/>
      <c r="C24" s="31"/>
      <c r="D24" s="31"/>
    </row>
    <row r="25" spans="2:4" s="27" customFormat="1">
      <c r="B25" s="32"/>
      <c r="C25" s="31"/>
      <c r="D25" s="31"/>
    </row>
    <row r="26" spans="2:4" s="27" customFormat="1">
      <c r="B26" s="32"/>
      <c r="C26" s="31"/>
      <c r="D26" s="31"/>
    </row>
    <row r="27" spans="2:4" s="27" customFormat="1">
      <c r="B27" s="32"/>
      <c r="C27" s="31"/>
      <c r="D27" s="31"/>
    </row>
    <row r="28" spans="2:4" s="27" customFormat="1">
      <c r="B28" s="32"/>
      <c r="C28" s="31"/>
      <c r="D28" s="31"/>
    </row>
    <row r="29" spans="2:4" s="27" customFormat="1">
      <c r="B29" s="32"/>
      <c r="C29" s="31"/>
      <c r="D29" s="31"/>
    </row>
    <row r="30" spans="2:4" s="27" customFormat="1">
      <c r="B30" s="32"/>
      <c r="C30" s="31"/>
      <c r="D30" s="31"/>
    </row>
    <row r="31" spans="2:4" s="27" customFormat="1">
      <c r="B31" s="32"/>
      <c r="C31" s="31"/>
      <c r="D31" s="31"/>
    </row>
    <row r="32" spans="2:4" s="27" customFormat="1">
      <c r="B32" s="32"/>
      <c r="C32" s="31"/>
      <c r="D32" s="31"/>
    </row>
    <row r="33" spans="2:4" s="27" customFormat="1">
      <c r="B33" s="32"/>
      <c r="C33" s="31"/>
      <c r="D33" s="31"/>
    </row>
    <row r="34" spans="2:4" s="27" customFormat="1">
      <c r="B34" s="32"/>
      <c r="C34" s="31"/>
      <c r="D34" s="31"/>
    </row>
    <row r="35" spans="2:4" s="27" customFormat="1">
      <c r="B35" s="32"/>
      <c r="C35" s="31"/>
      <c r="D35" s="31"/>
    </row>
    <row r="36" spans="2:4" s="27" customFormat="1">
      <c r="B36" s="32"/>
      <c r="C36" s="31"/>
      <c r="D36" s="31"/>
    </row>
    <row r="37" spans="2:4" s="27" customFormat="1">
      <c r="B37" s="32"/>
      <c r="C37" s="31"/>
      <c r="D37" s="31"/>
    </row>
    <row r="38" spans="2:4" s="27" customFormat="1">
      <c r="B38" s="32"/>
      <c r="C38" s="31"/>
      <c r="D38" s="31"/>
    </row>
    <row r="39" spans="2:4" s="27" customFormat="1">
      <c r="B39" s="32"/>
      <c r="C39" s="31"/>
      <c r="D39" s="31"/>
    </row>
    <row r="40" spans="2:4" s="27" customFormat="1">
      <c r="B40" s="32"/>
      <c r="C40" s="31"/>
      <c r="D40" s="31"/>
    </row>
    <row r="41" spans="2:4" s="27" customFormat="1">
      <c r="B41" s="32"/>
      <c r="C41" s="31"/>
      <c r="D41" s="31"/>
    </row>
    <row r="42" spans="2:4" s="27" customFormat="1">
      <c r="B42" s="32"/>
      <c r="C42" s="31"/>
      <c r="D42" s="31"/>
    </row>
    <row r="43" spans="2:4" s="27" customFormat="1">
      <c r="B43" s="32"/>
      <c r="C43" s="31"/>
      <c r="D43" s="31"/>
    </row>
    <row r="44" spans="2:4" s="27" customFormat="1">
      <c r="B44" s="32"/>
      <c r="C44" s="31"/>
      <c r="D44" s="31"/>
    </row>
    <row r="45" spans="2:4" s="27" customFormat="1">
      <c r="B45" s="32"/>
      <c r="C45" s="31"/>
      <c r="D45" s="31"/>
    </row>
    <row r="46" spans="2:4" s="27" customFormat="1">
      <c r="B46" s="32"/>
      <c r="C46" s="31"/>
      <c r="D46" s="31"/>
    </row>
    <row r="47" spans="2:4" s="27" customFormat="1">
      <c r="B47" s="32"/>
      <c r="C47" s="31"/>
      <c r="D47" s="31"/>
    </row>
    <row r="48" spans="2:4" s="27" customFormat="1">
      <c r="B48" s="32"/>
      <c r="C48" s="31"/>
      <c r="D48" s="31"/>
    </row>
    <row r="49" spans="2:4" s="27" customFormat="1">
      <c r="B49" s="32"/>
      <c r="C49" s="31"/>
      <c r="D49" s="31"/>
    </row>
    <row r="50" spans="2:4" s="27" customFormat="1">
      <c r="B50" s="32"/>
      <c r="C50" s="31"/>
      <c r="D50" s="31"/>
    </row>
    <row r="51" spans="2:4" s="27" customFormat="1">
      <c r="B51" s="32"/>
      <c r="C51" s="31"/>
      <c r="D51" s="31"/>
    </row>
    <row r="52" spans="2:4" s="27" customFormat="1">
      <c r="B52" s="32"/>
      <c r="C52" s="31"/>
      <c r="D52" s="31"/>
    </row>
    <row r="53" spans="2:4" s="27" customFormat="1">
      <c r="B53" s="32"/>
      <c r="C53" s="31"/>
      <c r="D53" s="31"/>
    </row>
    <row r="54" spans="2:4" s="27" customFormat="1">
      <c r="B54" s="32"/>
      <c r="C54" s="31"/>
      <c r="D54" s="31"/>
    </row>
    <row r="55" spans="2:4" s="27" customFormat="1">
      <c r="B55" s="32"/>
      <c r="C55" s="31"/>
      <c r="D55" s="31"/>
    </row>
    <row r="56" spans="2:4" s="27" customFormat="1">
      <c r="B56" s="32"/>
      <c r="C56" s="31"/>
      <c r="D56" s="31"/>
    </row>
    <row r="57" spans="2:4" s="27" customFormat="1">
      <c r="B57" s="32"/>
      <c r="C57" s="31"/>
      <c r="D57" s="31"/>
    </row>
    <row r="58" spans="2:4" s="27" customFormat="1">
      <c r="B58" s="32"/>
      <c r="C58" s="31"/>
      <c r="D58" s="31"/>
    </row>
    <row r="59" spans="2:4" s="27" customFormat="1">
      <c r="B59" s="32"/>
      <c r="C59" s="31"/>
      <c r="D59" s="31"/>
    </row>
    <row r="60" spans="2:4" s="27" customFormat="1">
      <c r="B60" s="32"/>
      <c r="C60" s="31"/>
      <c r="D60" s="31"/>
    </row>
    <row r="61" spans="2:4" s="27" customFormat="1">
      <c r="B61" s="32"/>
      <c r="C61" s="31"/>
      <c r="D61" s="31"/>
    </row>
    <row r="62" spans="2:4" s="27" customFormat="1">
      <c r="B62" s="32"/>
      <c r="C62" s="31"/>
      <c r="D62" s="31"/>
    </row>
    <row r="63" spans="2:4" s="27" customFormat="1">
      <c r="B63" s="32"/>
      <c r="C63" s="31"/>
      <c r="D63" s="31"/>
    </row>
    <row r="64" spans="2:4" s="27" customFormat="1">
      <c r="B64" s="32"/>
      <c r="C64" s="31"/>
      <c r="D64" s="31"/>
    </row>
    <row r="65" spans="2:4" s="27" customFormat="1">
      <c r="B65" s="32"/>
      <c r="C65" s="31"/>
      <c r="D65" s="31"/>
    </row>
    <row r="66" spans="2:4" s="27" customFormat="1">
      <c r="B66" s="32"/>
      <c r="C66" s="31"/>
      <c r="D66" s="31"/>
    </row>
    <row r="67" spans="2:4" s="27" customFormat="1">
      <c r="B67" s="32"/>
      <c r="C67" s="31"/>
      <c r="D67" s="31"/>
    </row>
    <row r="68" spans="2:4" s="27" customFormat="1">
      <c r="B68" s="32"/>
      <c r="C68" s="31"/>
      <c r="D68" s="31"/>
    </row>
    <row r="69" spans="2:4" s="27" customFormat="1">
      <c r="B69" s="32"/>
      <c r="C69" s="31"/>
      <c r="D69" s="31"/>
    </row>
    <row r="70" spans="2:4" s="27" customFormat="1">
      <c r="B70" s="32"/>
      <c r="C70" s="31"/>
      <c r="D70" s="31"/>
    </row>
    <row r="71" spans="2:4" s="27" customFormat="1">
      <c r="B71" s="32"/>
      <c r="C71" s="31"/>
      <c r="D71" s="31"/>
    </row>
    <row r="72" spans="2:4" s="27" customFormat="1">
      <c r="B72" s="32"/>
      <c r="C72" s="31"/>
      <c r="D72" s="31"/>
    </row>
    <row r="73" spans="2:4" s="27" customFormat="1">
      <c r="B73" s="32"/>
      <c r="C73" s="31"/>
      <c r="D73" s="31"/>
    </row>
    <row r="74" spans="2:4" s="27" customFormat="1">
      <c r="B74" s="32"/>
      <c r="C74" s="31"/>
      <c r="D74" s="31"/>
    </row>
    <row r="75" spans="2:4" s="27" customFormat="1">
      <c r="B75" s="32"/>
      <c r="C75" s="31"/>
      <c r="D75" s="31"/>
    </row>
    <row r="76" spans="2:4" s="27" customFormat="1">
      <c r="B76" s="32"/>
      <c r="C76" s="31"/>
      <c r="D76" s="31"/>
    </row>
    <row r="77" spans="2:4" s="27" customFormat="1">
      <c r="B77" s="32"/>
      <c r="C77" s="31"/>
      <c r="D77" s="31"/>
    </row>
    <row r="78" spans="2:4" s="27" customFormat="1">
      <c r="B78" s="32"/>
      <c r="C78" s="31"/>
      <c r="D78" s="31"/>
    </row>
    <row r="79" spans="2:4" s="27" customFormat="1">
      <c r="B79" s="32"/>
      <c r="C79" s="31"/>
      <c r="D79" s="31"/>
    </row>
    <row r="80" spans="2:4" s="27" customFormat="1">
      <c r="B80" s="32"/>
      <c r="C80" s="31"/>
      <c r="D80" s="31"/>
    </row>
    <row r="81" spans="2:4" s="27" customFormat="1">
      <c r="B81" s="32"/>
      <c r="C81" s="31"/>
      <c r="D81" s="31"/>
    </row>
    <row r="82" spans="2:4" s="27" customFormat="1">
      <c r="B82" s="32"/>
      <c r="C82" s="31"/>
      <c r="D82" s="31"/>
    </row>
    <row r="83" spans="2:4" s="27" customFormat="1">
      <c r="B83" s="32"/>
      <c r="C83" s="31"/>
      <c r="D83" s="31"/>
    </row>
    <row r="84" spans="2:4" s="27" customFormat="1">
      <c r="B84" s="32"/>
      <c r="C84" s="31"/>
      <c r="D84" s="31"/>
    </row>
    <row r="85" spans="2:4" s="27" customFormat="1">
      <c r="B85" s="32"/>
      <c r="C85" s="31"/>
      <c r="D85" s="31"/>
    </row>
    <row r="86" spans="2:4" s="27" customFormat="1">
      <c r="B86" s="32"/>
      <c r="C86" s="31"/>
      <c r="D86" s="31"/>
    </row>
    <row r="87" spans="2:4" s="27" customFormat="1">
      <c r="B87" s="32"/>
      <c r="C87" s="31"/>
      <c r="D87" s="31"/>
    </row>
    <row r="88" spans="2:4" s="27" customFormat="1">
      <c r="B88" s="32"/>
      <c r="C88" s="31"/>
      <c r="D88" s="31"/>
    </row>
    <row r="89" spans="2:4" s="27" customFormat="1">
      <c r="B89" s="32"/>
      <c r="C89" s="31"/>
      <c r="D89" s="31"/>
    </row>
    <row r="90" spans="2:4" s="27" customFormat="1">
      <c r="B90" s="32"/>
      <c r="C90" s="31"/>
      <c r="D90" s="31"/>
    </row>
    <row r="91" spans="2:4" s="27" customFormat="1">
      <c r="B91" s="32"/>
      <c r="C91" s="31"/>
      <c r="D91" s="31"/>
    </row>
    <row r="92" spans="2:4" s="27" customFormat="1">
      <c r="B92" s="32"/>
      <c r="C92" s="31"/>
      <c r="D92" s="31"/>
    </row>
    <row r="93" spans="2:4" s="27" customFormat="1">
      <c r="B93" s="32"/>
      <c r="C93" s="31"/>
      <c r="D93" s="31"/>
    </row>
    <row r="94" spans="2:4" s="27" customFormat="1">
      <c r="B94" s="32"/>
      <c r="C94" s="31"/>
      <c r="D94" s="31"/>
    </row>
    <row r="95" spans="2:4" s="27" customFormat="1">
      <c r="B95" s="32"/>
      <c r="C95" s="31"/>
      <c r="D95" s="31"/>
    </row>
    <row r="96" spans="2:4" s="27" customFormat="1">
      <c r="B96" s="32"/>
      <c r="C96" s="31"/>
      <c r="D96" s="31"/>
    </row>
    <row r="97" spans="2:4" s="27" customFormat="1">
      <c r="B97" s="32"/>
      <c r="C97" s="31"/>
      <c r="D97" s="31"/>
    </row>
    <row r="98" spans="2:4" s="27" customFormat="1">
      <c r="B98" s="32"/>
      <c r="C98" s="31"/>
      <c r="D98" s="31"/>
    </row>
    <row r="99" spans="2:4" s="27" customFormat="1">
      <c r="B99" s="32"/>
      <c r="C99" s="31"/>
      <c r="D99" s="31"/>
    </row>
    <row r="100" spans="2:4" s="27" customFormat="1">
      <c r="B100" s="32"/>
      <c r="C100" s="31"/>
      <c r="D100" s="31"/>
    </row>
    <row r="101" spans="2:4" s="27" customFormat="1">
      <c r="B101" s="32"/>
      <c r="C101" s="31"/>
      <c r="D101" s="31"/>
    </row>
    <row r="102" spans="2:4" s="27" customFormat="1">
      <c r="B102" s="32"/>
      <c r="C102" s="31"/>
      <c r="D102" s="31"/>
    </row>
    <row r="103" spans="2:4" s="27" customFormat="1">
      <c r="B103" s="32"/>
      <c r="C103" s="31"/>
      <c r="D103" s="31"/>
    </row>
    <row r="104" spans="2:4" s="27" customFormat="1">
      <c r="B104" s="32"/>
      <c r="C104" s="31"/>
      <c r="D104" s="31"/>
    </row>
    <row r="105" spans="2:4" s="27" customFormat="1">
      <c r="B105" s="32"/>
      <c r="C105" s="31"/>
      <c r="D105" s="31"/>
    </row>
    <row r="106" spans="2:4" s="27" customFormat="1">
      <c r="B106" s="32"/>
      <c r="C106" s="31"/>
      <c r="D106" s="31"/>
    </row>
    <row r="107" spans="2:4" s="27" customFormat="1">
      <c r="B107" s="32"/>
      <c r="C107" s="31"/>
      <c r="D107" s="31"/>
    </row>
    <row r="108" spans="2:4" s="27" customFormat="1">
      <c r="B108" s="32"/>
      <c r="C108" s="31"/>
      <c r="D108" s="31"/>
    </row>
    <row r="109" spans="2:4" s="27" customFormat="1">
      <c r="B109" s="32"/>
      <c r="C109" s="31"/>
      <c r="D109" s="31"/>
    </row>
    <row r="110" spans="2:4" s="27" customFormat="1">
      <c r="B110" s="32"/>
      <c r="C110" s="31"/>
      <c r="D110" s="31"/>
    </row>
    <row r="111" spans="2:4" s="27" customFormat="1">
      <c r="B111" s="32"/>
      <c r="C111" s="31"/>
      <c r="D111" s="31"/>
    </row>
    <row r="112" spans="2:4" s="27" customFormat="1">
      <c r="B112" s="32"/>
      <c r="C112" s="31"/>
      <c r="D112" s="31"/>
    </row>
    <row r="113" spans="2:4" s="27" customFormat="1">
      <c r="B113" s="32"/>
      <c r="C113" s="31"/>
      <c r="D113" s="31"/>
    </row>
    <row r="114" spans="2:4" s="27" customFormat="1">
      <c r="B114" s="32"/>
      <c r="C114" s="31"/>
      <c r="D114" s="31"/>
    </row>
    <row r="115" spans="2:4" s="27" customFormat="1">
      <c r="B115" s="32"/>
      <c r="C115" s="31"/>
      <c r="D115" s="31"/>
    </row>
    <row r="116" spans="2:4" s="27" customFormat="1">
      <c r="B116" s="32"/>
      <c r="C116" s="31"/>
      <c r="D116" s="31"/>
    </row>
    <row r="117" spans="2:4" s="27" customFormat="1">
      <c r="B117" s="32"/>
      <c r="C117" s="31"/>
      <c r="D117" s="31"/>
    </row>
    <row r="118" spans="2:4" s="27" customFormat="1">
      <c r="B118" s="32"/>
      <c r="C118" s="31"/>
      <c r="D118" s="31"/>
    </row>
    <row r="119" spans="2:4" s="27" customFormat="1">
      <c r="B119" s="32"/>
      <c r="C119" s="31"/>
      <c r="D119" s="31"/>
    </row>
    <row r="120" spans="2:4" s="27" customFormat="1">
      <c r="B120" s="32"/>
      <c r="C120" s="31"/>
      <c r="D120" s="31"/>
    </row>
    <row r="121" spans="2:4" s="27" customFormat="1">
      <c r="B121" s="32"/>
      <c r="C121" s="31"/>
      <c r="D121" s="31"/>
    </row>
    <row r="122" spans="2:4" s="27" customFormat="1">
      <c r="B122" s="32"/>
      <c r="C122" s="31"/>
      <c r="D122" s="31"/>
    </row>
    <row r="123" spans="2:4" s="27" customFormat="1">
      <c r="B123" s="32"/>
      <c r="C123" s="31"/>
      <c r="D123" s="31"/>
    </row>
    <row r="124" spans="2:4" s="27" customFormat="1">
      <c r="B124" s="32"/>
      <c r="C124" s="31"/>
      <c r="D124" s="31"/>
    </row>
    <row r="125" spans="2:4" s="27" customFormat="1">
      <c r="B125" s="32"/>
      <c r="C125" s="31"/>
      <c r="D125" s="31"/>
    </row>
    <row r="126" spans="2:4" s="27" customFormat="1">
      <c r="B126" s="32"/>
      <c r="C126" s="31"/>
      <c r="D126" s="31"/>
    </row>
    <row r="127" spans="2:4" s="27" customFormat="1">
      <c r="B127" s="32"/>
      <c r="C127" s="31"/>
      <c r="D127" s="31"/>
    </row>
    <row r="128" spans="2:4" s="27" customFormat="1">
      <c r="B128" s="32"/>
      <c r="C128" s="31"/>
      <c r="D128" s="31"/>
    </row>
    <row r="129" spans="2:4" s="27" customFormat="1">
      <c r="B129" s="32"/>
      <c r="C129" s="31"/>
      <c r="D129" s="31"/>
    </row>
    <row r="130" spans="2:4" s="27" customFormat="1">
      <c r="B130" s="32"/>
      <c r="C130" s="31"/>
      <c r="D130" s="31"/>
    </row>
    <row r="131" spans="2:4" s="27" customFormat="1">
      <c r="B131" s="32"/>
      <c r="C131" s="31"/>
      <c r="D131" s="31"/>
    </row>
    <row r="132" spans="2:4" s="27" customFormat="1">
      <c r="B132" s="32"/>
      <c r="C132" s="31"/>
      <c r="D132" s="31"/>
    </row>
    <row r="133" spans="2:4" s="27" customFormat="1">
      <c r="B133" s="32"/>
      <c r="C133" s="31"/>
      <c r="D133" s="31"/>
    </row>
    <row r="134" spans="2:4" s="27" customFormat="1">
      <c r="B134" s="32"/>
      <c r="C134" s="31"/>
      <c r="D134" s="31"/>
    </row>
    <row r="135" spans="2:4" s="27" customFormat="1">
      <c r="B135" s="32"/>
      <c r="C135" s="31"/>
      <c r="D135" s="31"/>
    </row>
    <row r="136" spans="2:4" s="27" customFormat="1">
      <c r="B136" s="32"/>
      <c r="C136" s="31"/>
      <c r="D136" s="31"/>
    </row>
    <row r="137" spans="2:4" s="27" customFormat="1">
      <c r="B137" s="32"/>
      <c r="C137" s="31"/>
      <c r="D137" s="31"/>
    </row>
    <row r="138" spans="2:4" s="27" customFormat="1">
      <c r="B138" s="32"/>
      <c r="C138" s="31"/>
      <c r="D138" s="31"/>
    </row>
    <row r="139" spans="2:4" s="27" customFormat="1">
      <c r="B139" s="32"/>
      <c r="C139" s="31"/>
      <c r="D139" s="31"/>
    </row>
    <row r="140" spans="2:4" s="27" customFormat="1">
      <c r="B140" s="32"/>
      <c r="C140" s="31"/>
      <c r="D140" s="31"/>
    </row>
    <row r="141" spans="2:4" s="27" customFormat="1">
      <c r="B141" s="32"/>
      <c r="C141" s="31"/>
      <c r="D141" s="31"/>
    </row>
    <row r="142" spans="2:4" s="27" customFormat="1">
      <c r="B142" s="32"/>
      <c r="C142" s="31"/>
      <c r="D142" s="31"/>
    </row>
    <row r="143" spans="2:4" s="27" customFormat="1">
      <c r="B143" s="32"/>
      <c r="C143" s="31"/>
      <c r="D143" s="31"/>
    </row>
    <row r="144" spans="2:4" s="27" customFormat="1">
      <c r="B144" s="32"/>
      <c r="C144" s="31"/>
      <c r="D144" s="31"/>
    </row>
    <row r="145" spans="2:4" s="27" customFormat="1">
      <c r="B145" s="32"/>
      <c r="C145" s="31"/>
      <c r="D145" s="31"/>
    </row>
    <row r="146" spans="2:4" s="27" customFormat="1">
      <c r="B146" s="32"/>
      <c r="C146" s="31"/>
      <c r="D146" s="31"/>
    </row>
    <row r="147" spans="2:4" s="27" customFormat="1">
      <c r="B147" s="32"/>
      <c r="C147" s="31"/>
      <c r="D147" s="31"/>
    </row>
    <row r="148" spans="2:4" s="27" customFormat="1">
      <c r="B148" s="32"/>
      <c r="C148" s="31"/>
      <c r="D148" s="31"/>
    </row>
    <row r="149" spans="2:4" s="27" customFormat="1">
      <c r="B149" s="32"/>
      <c r="C149" s="31"/>
      <c r="D149" s="31"/>
    </row>
    <row r="150" spans="2:4" s="27" customFormat="1">
      <c r="B150" s="32"/>
      <c r="C150" s="31"/>
      <c r="D150" s="31"/>
    </row>
    <row r="151" spans="2:4" s="27" customFormat="1">
      <c r="B151" s="32"/>
      <c r="C151" s="31"/>
      <c r="D151" s="31"/>
    </row>
    <row r="152" spans="2:4" s="27" customFormat="1">
      <c r="B152" s="32"/>
      <c r="C152" s="31"/>
      <c r="D152" s="31"/>
    </row>
    <row r="153" spans="2:4" s="27" customFormat="1">
      <c r="B153" s="32"/>
      <c r="C153" s="31"/>
      <c r="D153" s="31"/>
    </row>
    <row r="154" spans="2:4" s="27" customFormat="1">
      <c r="B154" s="32"/>
      <c r="C154" s="31"/>
      <c r="D154" s="31"/>
    </row>
    <row r="155" spans="2:4" s="27" customFormat="1">
      <c r="B155" s="32"/>
      <c r="C155" s="31"/>
      <c r="D155" s="31"/>
    </row>
    <row r="156" spans="2:4" s="27" customFormat="1">
      <c r="B156" s="32"/>
      <c r="C156" s="31"/>
      <c r="D156" s="31"/>
    </row>
    <row r="157" spans="2:4" s="27" customFormat="1">
      <c r="B157" s="32"/>
      <c r="C157" s="31"/>
      <c r="D157" s="31"/>
    </row>
    <row r="158" spans="2:4" s="27" customFormat="1">
      <c r="B158" s="32"/>
      <c r="C158" s="31"/>
      <c r="D158" s="31"/>
    </row>
    <row r="159" spans="2:4" s="27" customFormat="1">
      <c r="B159" s="32"/>
      <c r="C159" s="31"/>
      <c r="D159" s="31"/>
    </row>
    <row r="160" spans="2:4" s="27" customFormat="1">
      <c r="B160" s="32"/>
      <c r="C160" s="31"/>
      <c r="D160" s="31"/>
    </row>
    <row r="161" spans="2:4" s="27" customFormat="1">
      <c r="B161" s="32"/>
      <c r="C161" s="31"/>
      <c r="D161" s="31"/>
    </row>
    <row r="162" spans="2:4" s="27" customFormat="1">
      <c r="B162" s="32"/>
      <c r="C162" s="31"/>
      <c r="D162" s="31"/>
    </row>
    <row r="163" spans="2:4" s="27" customFormat="1">
      <c r="B163" s="32"/>
      <c r="C163" s="31"/>
      <c r="D163" s="31"/>
    </row>
    <row r="164" spans="2:4" s="27" customFormat="1">
      <c r="B164" s="32"/>
      <c r="C164" s="31"/>
      <c r="D164" s="31"/>
    </row>
    <row r="165" spans="2:4" s="27" customFormat="1">
      <c r="B165" s="32"/>
      <c r="C165" s="31"/>
      <c r="D165" s="31"/>
    </row>
    <row r="166" spans="2:4" s="27" customFormat="1">
      <c r="B166" s="32"/>
      <c r="C166" s="31"/>
      <c r="D166" s="31"/>
    </row>
    <row r="167" spans="2:4" s="27" customFormat="1">
      <c r="B167" s="32"/>
      <c r="C167" s="31"/>
      <c r="D167" s="31"/>
    </row>
    <row r="168" spans="2:4" s="27" customFormat="1">
      <c r="B168" s="32"/>
      <c r="C168" s="31"/>
      <c r="D168" s="31"/>
    </row>
    <row r="169" spans="2:4" s="27" customFormat="1">
      <c r="B169" s="32"/>
      <c r="C169" s="31"/>
      <c r="D169" s="31"/>
    </row>
    <row r="170" spans="2:4" s="27" customFormat="1">
      <c r="B170" s="32"/>
      <c r="C170" s="31"/>
      <c r="D170" s="31"/>
    </row>
    <row r="171" spans="2:4" s="27" customFormat="1">
      <c r="B171" s="32"/>
      <c r="C171" s="31"/>
      <c r="D171" s="31"/>
    </row>
    <row r="172" spans="2:4" s="27" customFormat="1">
      <c r="B172" s="32"/>
      <c r="C172" s="31"/>
      <c r="D172" s="31"/>
    </row>
    <row r="173" spans="2:4" s="27" customFormat="1">
      <c r="B173" s="32"/>
      <c r="C173" s="31"/>
      <c r="D173" s="31"/>
    </row>
    <row r="174" spans="2:4" s="27" customFormat="1">
      <c r="B174" s="32"/>
      <c r="C174" s="31"/>
      <c r="D174" s="31"/>
    </row>
    <row r="175" spans="2:4" s="27" customFormat="1">
      <c r="B175" s="32"/>
      <c r="C175" s="31"/>
      <c r="D175" s="31"/>
    </row>
    <row r="176" spans="2:4" s="27" customFormat="1">
      <c r="B176" s="32"/>
      <c r="C176" s="31"/>
      <c r="D176" s="31"/>
    </row>
    <row r="177" spans="2:4" s="27" customFormat="1">
      <c r="B177" s="32"/>
      <c r="C177" s="31"/>
      <c r="D177" s="31"/>
    </row>
    <row r="178" spans="2:4" s="27" customFormat="1">
      <c r="B178" s="32"/>
      <c r="C178" s="31"/>
      <c r="D178" s="31"/>
    </row>
    <row r="179" spans="2:4" s="27" customFormat="1">
      <c r="B179" s="32"/>
      <c r="C179" s="31"/>
      <c r="D179" s="31"/>
    </row>
    <row r="180" spans="2:4" s="27" customFormat="1">
      <c r="B180" s="32"/>
      <c r="C180" s="31"/>
      <c r="D180" s="31"/>
    </row>
    <row r="181" spans="2:4" s="27" customFormat="1">
      <c r="B181" s="32"/>
      <c r="C181" s="31"/>
      <c r="D181" s="31"/>
    </row>
    <row r="182" spans="2:4" s="27" customFormat="1">
      <c r="B182" s="32"/>
      <c r="C182" s="31"/>
      <c r="D182" s="31"/>
    </row>
    <row r="183" spans="2:4" s="27" customFormat="1">
      <c r="B183" s="32"/>
      <c r="C183" s="31"/>
      <c r="D183" s="31"/>
    </row>
    <row r="184" spans="2:4" s="27" customFormat="1">
      <c r="B184" s="32"/>
      <c r="C184" s="31"/>
      <c r="D184" s="31"/>
    </row>
    <row r="185" spans="2:4" s="27" customFormat="1">
      <c r="B185" s="32"/>
      <c r="C185" s="31"/>
      <c r="D185" s="31"/>
    </row>
    <row r="186" spans="2:4" s="27" customFormat="1">
      <c r="B186" s="32"/>
      <c r="C186" s="31"/>
      <c r="D186" s="31"/>
    </row>
    <row r="187" spans="2:4" s="27" customFormat="1">
      <c r="B187" s="32"/>
      <c r="C187" s="31"/>
      <c r="D187" s="31"/>
    </row>
    <row r="188" spans="2:4" s="27" customFormat="1">
      <c r="B188" s="32"/>
      <c r="C188" s="31"/>
      <c r="D188" s="31"/>
    </row>
    <row r="189" spans="2:4" s="27" customFormat="1">
      <c r="B189" s="32"/>
      <c r="C189" s="31"/>
      <c r="D189" s="31"/>
    </row>
    <row r="190" spans="2:4" s="27" customFormat="1">
      <c r="B190" s="32"/>
      <c r="C190" s="31"/>
      <c r="D190" s="31"/>
    </row>
    <row r="191" spans="2:4" s="27" customFormat="1">
      <c r="B191" s="32"/>
      <c r="C191" s="31"/>
      <c r="D191" s="31"/>
    </row>
    <row r="192" spans="2:4" s="27" customFormat="1">
      <c r="B192" s="32"/>
      <c r="C192" s="31"/>
      <c r="D192" s="31"/>
    </row>
    <row r="193" spans="2:4" s="27" customFormat="1">
      <c r="B193" s="32"/>
      <c r="C193" s="31"/>
      <c r="D193" s="31"/>
    </row>
    <row r="194" spans="2:4" s="27" customFormat="1">
      <c r="B194" s="32"/>
      <c r="C194" s="31"/>
      <c r="D194" s="31"/>
    </row>
    <row r="195" spans="2:4" s="27" customFormat="1">
      <c r="B195" s="32"/>
      <c r="C195" s="31"/>
      <c r="D195" s="31"/>
    </row>
    <row r="196" spans="2:4" s="27" customFormat="1">
      <c r="B196" s="32"/>
      <c r="C196" s="31"/>
      <c r="D196" s="31"/>
    </row>
    <row r="197" spans="2:4" s="27" customFormat="1">
      <c r="B197" s="32"/>
      <c r="C197" s="31"/>
      <c r="D197" s="31"/>
    </row>
    <row r="198" spans="2:4" s="27" customFormat="1">
      <c r="B198" s="32"/>
      <c r="C198" s="31"/>
      <c r="D198" s="31"/>
    </row>
    <row r="199" spans="2:4" s="27" customFormat="1">
      <c r="B199" s="32"/>
      <c r="C199" s="31"/>
      <c r="D199" s="31"/>
    </row>
    <row r="200" spans="2:4" s="27" customFormat="1">
      <c r="B200" s="32"/>
      <c r="C200" s="31"/>
      <c r="D200" s="31"/>
    </row>
    <row r="201" spans="2:4" s="27" customFormat="1">
      <c r="B201" s="32"/>
      <c r="C201" s="31"/>
      <c r="D201" s="31"/>
    </row>
    <row r="202" spans="2:4" s="27" customFormat="1">
      <c r="B202" s="32"/>
      <c r="C202" s="31"/>
      <c r="D202" s="31"/>
    </row>
    <row r="203" spans="2:4" s="27" customFormat="1">
      <c r="B203" s="32"/>
      <c r="C203" s="31"/>
      <c r="D203" s="31"/>
    </row>
    <row r="204" spans="2:4" s="27" customFormat="1">
      <c r="B204" s="32"/>
      <c r="C204" s="31"/>
      <c r="D204" s="31"/>
    </row>
    <row r="205" spans="2:4" s="27" customFormat="1">
      <c r="B205" s="32"/>
      <c r="C205" s="31"/>
      <c r="D205" s="31"/>
    </row>
    <row r="206" spans="2:4" s="27" customFormat="1">
      <c r="B206" s="32"/>
      <c r="C206" s="31"/>
      <c r="D206" s="31"/>
    </row>
    <row r="207" spans="2:4" s="27" customFormat="1">
      <c r="B207" s="32"/>
      <c r="C207" s="31"/>
      <c r="D207" s="31"/>
    </row>
    <row r="208" spans="2:4" s="27" customFormat="1">
      <c r="B208" s="32"/>
      <c r="C208" s="31"/>
      <c r="D208" s="31"/>
    </row>
    <row r="209" spans="2:4" s="27" customFormat="1">
      <c r="B209" s="32"/>
      <c r="C209" s="31"/>
      <c r="D209" s="31"/>
    </row>
    <row r="210" spans="2:4" s="27" customFormat="1">
      <c r="B210" s="32"/>
      <c r="C210" s="31"/>
      <c r="D210" s="31"/>
    </row>
    <row r="211" spans="2:4" s="27" customFormat="1">
      <c r="B211" s="32"/>
      <c r="C211" s="31"/>
      <c r="D211" s="31"/>
    </row>
    <row r="212" spans="2:4" s="27" customFormat="1">
      <c r="B212" s="32"/>
      <c r="C212" s="31"/>
      <c r="D212" s="31"/>
    </row>
    <row r="213" spans="2:4" s="27" customFormat="1">
      <c r="B213" s="32"/>
      <c r="C213" s="31"/>
      <c r="D213" s="31"/>
    </row>
    <row r="214" spans="2:4" s="27" customFormat="1">
      <c r="B214" s="32"/>
      <c r="C214" s="31"/>
      <c r="D214" s="31"/>
    </row>
    <row r="215" spans="2:4" s="27" customFormat="1">
      <c r="B215" s="32"/>
      <c r="C215" s="31"/>
      <c r="D215" s="31"/>
    </row>
    <row r="216" spans="2:4" s="27" customFormat="1">
      <c r="B216" s="32"/>
      <c r="C216" s="31"/>
      <c r="D216" s="31"/>
    </row>
    <row r="217" spans="2:4" s="27" customFormat="1">
      <c r="B217" s="32"/>
      <c r="C217" s="31"/>
      <c r="D217" s="31"/>
    </row>
    <row r="218" spans="2:4" s="27" customFormat="1">
      <c r="B218" s="32"/>
      <c r="C218" s="31"/>
      <c r="D218" s="31"/>
    </row>
    <row r="219" spans="2:4" s="27" customFormat="1">
      <c r="B219" s="32"/>
      <c r="C219" s="31"/>
      <c r="D219" s="31"/>
    </row>
    <row r="220" spans="2:4" s="27" customFormat="1">
      <c r="B220" s="32"/>
      <c r="C220" s="31"/>
      <c r="D220" s="31"/>
    </row>
    <row r="221" spans="2:4" s="27" customFormat="1">
      <c r="B221" s="32"/>
      <c r="C221" s="31"/>
      <c r="D221" s="31"/>
    </row>
    <row r="222" spans="2:4" s="27" customFormat="1">
      <c r="B222" s="32"/>
      <c r="C222" s="31"/>
      <c r="D222" s="31"/>
    </row>
    <row r="223" spans="2:4" s="27" customFormat="1">
      <c r="B223" s="32"/>
      <c r="C223" s="31"/>
      <c r="D223" s="31"/>
    </row>
    <row r="224" spans="2:4" s="27" customFormat="1">
      <c r="B224" s="32"/>
      <c r="C224" s="31"/>
      <c r="D224" s="31"/>
    </row>
    <row r="225" spans="2:4" s="27" customFormat="1">
      <c r="B225" s="32"/>
      <c r="C225" s="31"/>
      <c r="D225" s="31"/>
    </row>
    <row r="226" spans="2:4" s="27" customFormat="1">
      <c r="B226" s="32"/>
      <c r="C226" s="31"/>
      <c r="D226" s="31"/>
    </row>
    <row r="227" spans="2:4" s="27" customFormat="1">
      <c r="B227" s="32"/>
      <c r="C227" s="31"/>
      <c r="D227" s="31"/>
    </row>
    <row r="228" spans="2:4" s="27" customFormat="1">
      <c r="B228" s="32"/>
      <c r="C228" s="31"/>
      <c r="D228" s="31"/>
    </row>
    <row r="229" spans="2:4" s="27" customFormat="1">
      <c r="B229" s="32"/>
      <c r="C229" s="31"/>
      <c r="D229" s="31"/>
    </row>
    <row r="230" spans="2:4" s="27" customFormat="1">
      <c r="B230" s="32"/>
      <c r="C230" s="31"/>
      <c r="D230" s="31"/>
    </row>
    <row r="231" spans="2:4" s="27" customFormat="1">
      <c r="B231" s="32"/>
      <c r="C231" s="31"/>
      <c r="D231" s="31"/>
    </row>
    <row r="232" spans="2:4" s="27" customFormat="1">
      <c r="B232" s="32"/>
      <c r="C232" s="31"/>
      <c r="D232" s="31"/>
    </row>
    <row r="233" spans="2:4" s="27" customFormat="1">
      <c r="B233" s="32"/>
      <c r="C233" s="31"/>
      <c r="D233" s="31"/>
    </row>
    <row r="234" spans="2:4" s="27" customFormat="1">
      <c r="B234" s="32"/>
      <c r="C234" s="31"/>
      <c r="D234" s="31"/>
    </row>
    <row r="235" spans="2:4" s="27" customFormat="1">
      <c r="B235" s="32"/>
      <c r="C235" s="31"/>
      <c r="D235" s="31"/>
    </row>
    <row r="236" spans="2:4" s="27" customFormat="1">
      <c r="B236" s="32"/>
      <c r="C236" s="31"/>
      <c r="D236" s="31"/>
    </row>
    <row r="237" spans="2:4" s="27" customFormat="1">
      <c r="B237" s="32"/>
      <c r="C237" s="31"/>
      <c r="D237" s="31"/>
    </row>
    <row r="238" spans="2:4" s="27" customFormat="1">
      <c r="B238" s="32"/>
      <c r="C238" s="31"/>
      <c r="D238" s="31"/>
    </row>
    <row r="239" spans="2:4" s="27" customFormat="1">
      <c r="B239" s="32"/>
      <c r="C239" s="31"/>
      <c r="D239" s="31"/>
    </row>
    <row r="240" spans="2:4" s="27" customFormat="1">
      <c r="B240" s="32"/>
      <c r="C240" s="31"/>
      <c r="D240" s="31"/>
    </row>
    <row r="241" spans="2:4" s="27" customFormat="1">
      <c r="B241" s="32"/>
      <c r="C241" s="31"/>
      <c r="D241" s="31"/>
    </row>
    <row r="242" spans="2:4" s="27" customFormat="1">
      <c r="B242" s="32"/>
      <c r="C242" s="31"/>
      <c r="D242" s="31"/>
    </row>
    <row r="243" spans="2:4" s="27" customFormat="1">
      <c r="B243" s="32"/>
      <c r="C243" s="31"/>
      <c r="D243" s="31"/>
    </row>
    <row r="244" spans="2:4" s="27" customFormat="1">
      <c r="B244" s="32"/>
      <c r="C244" s="31"/>
      <c r="D244" s="31"/>
    </row>
    <row r="245" spans="2:4" s="27" customFormat="1">
      <c r="B245" s="32"/>
      <c r="C245" s="31"/>
      <c r="D245" s="31"/>
    </row>
    <row r="246" spans="2:4" s="27" customFormat="1">
      <c r="B246" s="32"/>
      <c r="C246" s="31"/>
      <c r="D246" s="31"/>
    </row>
    <row r="247" spans="2:4" s="27" customFormat="1">
      <c r="B247" s="32"/>
      <c r="C247" s="31"/>
      <c r="D247" s="31"/>
    </row>
    <row r="248" spans="2:4" s="27" customFormat="1">
      <c r="B248" s="32"/>
      <c r="C248" s="31"/>
      <c r="D248" s="31"/>
    </row>
    <row r="249" spans="2:4" s="27" customFormat="1">
      <c r="B249" s="32"/>
      <c r="C249" s="31"/>
      <c r="D249" s="31"/>
    </row>
    <row r="250" spans="2:4" s="27" customFormat="1">
      <c r="B250" s="32"/>
      <c r="C250" s="31"/>
      <c r="D250" s="31"/>
    </row>
    <row r="251" spans="2:4" s="27" customFormat="1">
      <c r="B251" s="32"/>
      <c r="C251" s="31"/>
      <c r="D251" s="31"/>
    </row>
    <row r="252" spans="2:4" s="27" customFormat="1">
      <c r="B252" s="32"/>
      <c r="C252" s="31"/>
      <c r="D252" s="31"/>
    </row>
    <row r="253" spans="2:4" s="27" customFormat="1">
      <c r="B253" s="32"/>
      <c r="C253" s="31"/>
      <c r="D253" s="31"/>
    </row>
    <row r="254" spans="2:4" s="27" customFormat="1">
      <c r="B254" s="32"/>
      <c r="C254" s="31"/>
      <c r="D254" s="31"/>
    </row>
    <row r="255" spans="2:4" s="27" customFormat="1">
      <c r="B255" s="32"/>
      <c r="C255" s="31"/>
      <c r="D255" s="31"/>
    </row>
    <row r="256" spans="2:4" s="27" customFormat="1">
      <c r="B256" s="32"/>
      <c r="C256" s="31"/>
      <c r="D256" s="31"/>
    </row>
    <row r="257" spans="2:4" s="27" customFormat="1">
      <c r="B257" s="32"/>
      <c r="C257" s="31"/>
      <c r="D257" s="31"/>
    </row>
    <row r="258" spans="2:4" s="27" customFormat="1">
      <c r="B258" s="32"/>
      <c r="C258" s="31"/>
      <c r="D258" s="31"/>
    </row>
    <row r="259" spans="2:4" s="27" customFormat="1">
      <c r="B259" s="32"/>
      <c r="C259" s="31"/>
      <c r="D259" s="31"/>
    </row>
    <row r="260" spans="2:4" s="27" customFormat="1">
      <c r="B260" s="32"/>
      <c r="C260" s="31"/>
      <c r="D260" s="31"/>
    </row>
    <row r="261" spans="2:4" s="27" customFormat="1">
      <c r="B261" s="32"/>
      <c r="C261" s="31"/>
      <c r="D261" s="31"/>
    </row>
    <row r="262" spans="2:4" s="27" customFormat="1">
      <c r="B262" s="32"/>
      <c r="C262" s="31"/>
      <c r="D262" s="31"/>
    </row>
    <row r="263" spans="2:4" s="27" customFormat="1">
      <c r="B263" s="32"/>
      <c r="C263" s="31"/>
      <c r="D263" s="31"/>
    </row>
    <row r="264" spans="2:4" s="27" customFormat="1">
      <c r="B264" s="32"/>
      <c r="C264" s="31"/>
      <c r="D264" s="31"/>
    </row>
    <row r="265" spans="2:4" s="27" customFormat="1">
      <c r="B265" s="32"/>
      <c r="C265" s="31"/>
      <c r="D265" s="31"/>
    </row>
    <row r="266" spans="2:4" s="27" customFormat="1">
      <c r="B266" s="32"/>
      <c r="C266" s="31"/>
      <c r="D266" s="31"/>
    </row>
    <row r="267" spans="2:4" s="27" customFormat="1">
      <c r="B267" s="32"/>
      <c r="C267" s="31"/>
      <c r="D267" s="31"/>
    </row>
    <row r="268" spans="2:4" s="27" customFormat="1">
      <c r="B268" s="32"/>
      <c r="C268" s="31"/>
      <c r="D268" s="31"/>
    </row>
    <row r="269" spans="2:4" s="27" customFormat="1">
      <c r="B269" s="32"/>
      <c r="C269" s="31"/>
      <c r="D269" s="31"/>
    </row>
    <row r="270" spans="2:4" s="27" customFormat="1">
      <c r="B270" s="32"/>
      <c r="C270" s="31"/>
      <c r="D270" s="31"/>
    </row>
    <row r="271" spans="2:4" s="27" customFormat="1">
      <c r="B271" s="32"/>
      <c r="C271" s="31"/>
      <c r="D271" s="31"/>
    </row>
    <row r="272" spans="2:4" s="27" customFormat="1">
      <c r="B272" s="32"/>
      <c r="C272" s="31"/>
      <c r="D272" s="31"/>
    </row>
    <row r="273" spans="2:4" s="27" customFormat="1">
      <c r="B273" s="32"/>
      <c r="C273" s="31"/>
      <c r="D273" s="31"/>
    </row>
    <row r="274" spans="2:4" s="27" customFormat="1">
      <c r="B274" s="32"/>
      <c r="C274" s="31"/>
      <c r="D274" s="31"/>
    </row>
    <row r="275" spans="2:4" s="27" customFormat="1">
      <c r="B275" s="32"/>
      <c r="C275" s="31"/>
      <c r="D275" s="31"/>
    </row>
    <row r="276" spans="2:4" s="27" customFormat="1">
      <c r="B276" s="32"/>
      <c r="C276" s="31"/>
      <c r="D276" s="31"/>
    </row>
    <row r="277" spans="2:4" s="27" customFormat="1">
      <c r="B277" s="32"/>
      <c r="C277" s="31"/>
      <c r="D277" s="31"/>
    </row>
    <row r="278" spans="2:4" s="27" customFormat="1">
      <c r="B278" s="32"/>
      <c r="C278" s="31"/>
      <c r="D278" s="31"/>
    </row>
    <row r="279" spans="2:4" s="27" customFormat="1">
      <c r="B279" s="32"/>
      <c r="C279" s="31"/>
      <c r="D279" s="31"/>
    </row>
    <row r="280" spans="2:4" s="27" customFormat="1">
      <c r="B280" s="32"/>
      <c r="C280" s="31"/>
      <c r="D280" s="31"/>
    </row>
    <row r="281" spans="2:4" s="27" customFormat="1">
      <c r="B281" s="32"/>
      <c r="C281" s="31"/>
      <c r="D281" s="31"/>
    </row>
    <row r="282" spans="2:4" s="27" customFormat="1">
      <c r="B282" s="32"/>
      <c r="C282" s="31"/>
      <c r="D282" s="31"/>
    </row>
    <row r="283" spans="2:4" s="27" customFormat="1">
      <c r="B283" s="32"/>
      <c r="C283" s="31"/>
      <c r="D283" s="31"/>
    </row>
    <row r="284" spans="2:4" s="27" customFormat="1">
      <c r="B284" s="32"/>
      <c r="C284" s="31"/>
      <c r="D284" s="31"/>
    </row>
    <row r="285" spans="2:4" s="27" customFormat="1">
      <c r="B285" s="32"/>
      <c r="C285" s="31"/>
      <c r="D285" s="31"/>
    </row>
    <row r="286" spans="2:4" s="27" customFormat="1">
      <c r="B286" s="32"/>
      <c r="C286" s="31"/>
      <c r="D286" s="31"/>
    </row>
    <row r="287" spans="2:4" s="27" customFormat="1">
      <c r="B287" s="32"/>
      <c r="C287" s="31"/>
      <c r="D287" s="31"/>
    </row>
    <row r="288" spans="2:4" s="27" customFormat="1">
      <c r="B288" s="32"/>
      <c r="C288" s="31"/>
      <c r="D288" s="31"/>
    </row>
    <row r="289" spans="2:4" s="27" customFormat="1">
      <c r="B289" s="32"/>
      <c r="C289" s="31"/>
      <c r="D289" s="31"/>
    </row>
    <row r="290" spans="2:4" s="27" customFormat="1">
      <c r="B290" s="32"/>
      <c r="C290" s="31"/>
      <c r="D290" s="31"/>
    </row>
    <row r="291" spans="2:4" s="27" customFormat="1">
      <c r="B291" s="32"/>
      <c r="C291" s="31"/>
      <c r="D291" s="31"/>
    </row>
    <row r="292" spans="2:4" s="27" customFormat="1">
      <c r="B292" s="32"/>
      <c r="C292" s="31"/>
      <c r="D292" s="31"/>
    </row>
    <row r="293" spans="2:4" s="27" customFormat="1">
      <c r="B293" s="32"/>
      <c r="C293" s="31"/>
      <c r="D293" s="31"/>
    </row>
    <row r="294" spans="2:4" s="27" customFormat="1">
      <c r="B294" s="32"/>
      <c r="C294" s="31"/>
      <c r="D294" s="31"/>
    </row>
    <row r="295" spans="2:4" s="27" customFormat="1">
      <c r="B295" s="32"/>
      <c r="C295" s="31"/>
      <c r="D295" s="31"/>
    </row>
    <row r="296" spans="2:4" s="27" customFormat="1">
      <c r="B296" s="32"/>
      <c r="C296" s="31"/>
      <c r="D296" s="31"/>
    </row>
    <row r="297" spans="2:4" s="27" customFormat="1">
      <c r="B297" s="32"/>
      <c r="C297" s="31"/>
      <c r="D297" s="31"/>
    </row>
    <row r="298" spans="2:4" s="27" customFormat="1">
      <c r="B298" s="32"/>
      <c r="C298" s="31"/>
      <c r="D298" s="31"/>
    </row>
    <row r="299" spans="2:4" s="27" customFormat="1">
      <c r="B299" s="32"/>
      <c r="C299" s="31"/>
      <c r="D299" s="31"/>
    </row>
    <row r="300" spans="2:4" s="27" customFormat="1">
      <c r="B300" s="32"/>
      <c r="C300" s="31"/>
      <c r="D300" s="31"/>
    </row>
    <row r="301" spans="2:4" s="27" customFormat="1">
      <c r="B301" s="32"/>
      <c r="C301" s="31"/>
      <c r="D301" s="31"/>
    </row>
    <row r="302" spans="2:4" s="27" customFormat="1">
      <c r="B302" s="32"/>
      <c r="C302" s="31"/>
      <c r="D302" s="31"/>
    </row>
    <row r="303" spans="2:4" s="27" customFormat="1">
      <c r="B303" s="32"/>
      <c r="C303" s="31"/>
      <c r="D303" s="31"/>
    </row>
    <row r="304" spans="2:4" s="27" customFormat="1">
      <c r="B304" s="32"/>
      <c r="C304" s="31"/>
      <c r="D304" s="31"/>
    </row>
    <row r="305" spans="2:4" s="27" customFormat="1">
      <c r="B305" s="32"/>
      <c r="C305" s="31"/>
      <c r="D305" s="31"/>
    </row>
    <row r="306" spans="2:4" s="27" customFormat="1">
      <c r="B306" s="32"/>
      <c r="C306" s="31"/>
      <c r="D306" s="31"/>
    </row>
    <row r="307" spans="2:4" s="27" customFormat="1">
      <c r="B307" s="32"/>
      <c r="C307" s="31"/>
      <c r="D307" s="31"/>
    </row>
    <row r="308" spans="2:4" s="27" customFormat="1">
      <c r="B308" s="32"/>
      <c r="C308" s="31"/>
      <c r="D308" s="31"/>
    </row>
    <row r="309" spans="2:4" s="27" customFormat="1">
      <c r="B309" s="32"/>
      <c r="C309" s="31"/>
      <c r="D309" s="31"/>
    </row>
    <row r="310" spans="2:4" s="27" customFormat="1">
      <c r="B310" s="32"/>
      <c r="C310" s="31"/>
      <c r="D310" s="31"/>
    </row>
    <row r="311" spans="2:4" s="27" customFormat="1">
      <c r="B311" s="32"/>
      <c r="C311" s="31"/>
      <c r="D311" s="31"/>
    </row>
    <row r="312" spans="2:4" s="27" customFormat="1">
      <c r="B312" s="32"/>
      <c r="C312" s="31"/>
      <c r="D312" s="31"/>
    </row>
    <row r="313" spans="2:4" s="27" customFormat="1">
      <c r="B313" s="32"/>
      <c r="C313" s="31"/>
      <c r="D313" s="31"/>
    </row>
    <row r="314" spans="2:4" s="27" customFormat="1">
      <c r="B314" s="32"/>
      <c r="C314" s="31"/>
      <c r="D314" s="31"/>
    </row>
    <row r="315" spans="2:4" s="27" customFormat="1">
      <c r="B315" s="32"/>
      <c r="C315" s="31"/>
      <c r="D315" s="31"/>
    </row>
    <row r="316" spans="2:4" s="27" customFormat="1">
      <c r="B316" s="32"/>
      <c r="C316" s="31"/>
      <c r="D316" s="31"/>
    </row>
    <row r="317" spans="2:4" s="27" customFormat="1">
      <c r="B317" s="32"/>
      <c r="C317" s="31"/>
      <c r="D317" s="31"/>
    </row>
    <row r="318" spans="2:4" s="27" customFormat="1">
      <c r="B318" s="32"/>
      <c r="C318" s="31"/>
      <c r="D318" s="31"/>
    </row>
    <row r="319" spans="2:4" s="27" customFormat="1">
      <c r="B319" s="32"/>
      <c r="C319" s="31"/>
      <c r="D319" s="31"/>
    </row>
    <row r="320" spans="2:4" s="27" customFormat="1">
      <c r="B320" s="32"/>
      <c r="C320" s="31"/>
      <c r="D320" s="31"/>
    </row>
    <row r="321" spans="2:4" s="27" customFormat="1">
      <c r="B321" s="32"/>
      <c r="C321" s="31"/>
      <c r="D321" s="31"/>
    </row>
    <row r="322" spans="2:4" s="27" customFormat="1">
      <c r="B322" s="32"/>
      <c r="C322" s="31"/>
      <c r="D322" s="31"/>
    </row>
    <row r="323" spans="2:4" s="27" customFormat="1">
      <c r="B323" s="32"/>
      <c r="C323" s="31"/>
      <c r="D323" s="31"/>
    </row>
    <row r="324" spans="2:4" s="27" customFormat="1">
      <c r="B324" s="32"/>
      <c r="C324" s="31"/>
      <c r="D324" s="31"/>
    </row>
    <row r="325" spans="2:4" s="27" customFormat="1">
      <c r="B325" s="32"/>
      <c r="C325" s="31"/>
      <c r="D325" s="31"/>
    </row>
    <row r="326" spans="2:4" s="27" customFormat="1">
      <c r="B326" s="32"/>
      <c r="C326" s="31"/>
      <c r="D326" s="31"/>
    </row>
    <row r="327" spans="2:4" s="27" customFormat="1">
      <c r="B327" s="32"/>
      <c r="C327" s="31"/>
      <c r="D327" s="31"/>
    </row>
    <row r="328" spans="2:4" s="27" customFormat="1">
      <c r="B328" s="32"/>
      <c r="C328" s="31"/>
      <c r="D328" s="31"/>
    </row>
    <row r="329" spans="2:4" s="27" customFormat="1">
      <c r="B329" s="32"/>
      <c r="C329" s="31"/>
      <c r="D329" s="31"/>
    </row>
    <row r="330" spans="2:4" s="27" customFormat="1">
      <c r="B330" s="32"/>
      <c r="C330" s="31"/>
      <c r="D330" s="31"/>
    </row>
    <row r="331" spans="2:4" s="27" customFormat="1">
      <c r="B331" s="32"/>
      <c r="C331" s="31"/>
      <c r="D331" s="31"/>
    </row>
    <row r="332" spans="2:4" s="27" customFormat="1">
      <c r="B332" s="32"/>
      <c r="C332" s="31"/>
      <c r="D332" s="31"/>
    </row>
    <row r="333" spans="2:4" s="27" customFormat="1">
      <c r="B333" s="32"/>
      <c r="C333" s="31"/>
      <c r="D333" s="31"/>
    </row>
    <row r="334" spans="2:4" s="27" customFormat="1">
      <c r="B334" s="32"/>
      <c r="C334" s="31"/>
      <c r="D334" s="31"/>
    </row>
    <row r="335" spans="2:4" s="27" customFormat="1">
      <c r="B335" s="32"/>
      <c r="C335" s="31"/>
      <c r="D335" s="31"/>
    </row>
    <row r="336" spans="2:4" s="27" customFormat="1">
      <c r="B336" s="32"/>
      <c r="C336" s="31"/>
      <c r="D336" s="31"/>
    </row>
    <row r="337" spans="2:4" s="27" customFormat="1">
      <c r="B337" s="32"/>
      <c r="C337" s="31"/>
      <c r="D337" s="31"/>
    </row>
    <row r="338" spans="2:4" s="27" customFormat="1">
      <c r="B338" s="32"/>
      <c r="C338" s="31"/>
      <c r="D338" s="31"/>
    </row>
    <row r="339" spans="2:4" s="27" customFormat="1">
      <c r="B339" s="32"/>
      <c r="C339" s="31"/>
      <c r="D339" s="31"/>
    </row>
    <row r="340" spans="2:4" s="27" customFormat="1">
      <c r="B340" s="32"/>
      <c r="C340" s="31"/>
      <c r="D340" s="31"/>
    </row>
    <row r="341" spans="2:4" s="27" customFormat="1">
      <c r="B341" s="32"/>
      <c r="C341" s="31"/>
      <c r="D341" s="31"/>
    </row>
    <row r="342" spans="2:4" s="27" customFormat="1">
      <c r="B342" s="32"/>
      <c r="C342" s="31"/>
      <c r="D342" s="31"/>
    </row>
    <row r="343" spans="2:4" s="27" customFormat="1">
      <c r="B343" s="32"/>
      <c r="C343" s="31"/>
      <c r="D343" s="31"/>
    </row>
    <row r="344" spans="2:4" s="27" customFormat="1">
      <c r="B344" s="32"/>
      <c r="C344" s="31"/>
      <c r="D344" s="31"/>
    </row>
    <row r="345" spans="2:4" s="27" customFormat="1">
      <c r="B345" s="32"/>
      <c r="C345" s="31"/>
      <c r="D345" s="31"/>
    </row>
    <row r="346" spans="2:4" s="27" customFormat="1">
      <c r="B346" s="32"/>
      <c r="C346" s="31"/>
      <c r="D346" s="31"/>
    </row>
    <row r="347" spans="2:4" s="27" customFormat="1">
      <c r="B347" s="32"/>
      <c r="C347" s="31"/>
      <c r="D347" s="31"/>
    </row>
    <row r="348" spans="2:4" s="27" customFormat="1">
      <c r="B348" s="32"/>
      <c r="C348" s="31"/>
      <c r="D348" s="31"/>
    </row>
    <row r="349" spans="2:4" s="27" customFormat="1">
      <c r="B349" s="32"/>
      <c r="C349" s="31"/>
      <c r="D349" s="31"/>
    </row>
    <row r="350" spans="2:4" s="27" customFormat="1">
      <c r="B350" s="32"/>
      <c r="C350" s="31"/>
      <c r="D350" s="31"/>
    </row>
    <row r="351" spans="2:4" s="27" customFormat="1">
      <c r="B351" s="32"/>
      <c r="C351" s="31"/>
      <c r="D351" s="31"/>
    </row>
    <row r="352" spans="2:4" s="27" customFormat="1">
      <c r="B352" s="32"/>
      <c r="C352" s="31"/>
      <c r="D352" s="31"/>
    </row>
    <row r="353" spans="2:4" s="27" customFormat="1">
      <c r="B353" s="32"/>
      <c r="C353" s="31"/>
      <c r="D353" s="31"/>
    </row>
    <row r="354" spans="2:4" s="27" customFormat="1">
      <c r="B354" s="32"/>
      <c r="C354" s="31"/>
      <c r="D354" s="31"/>
    </row>
    <row r="355" spans="2:4" s="27" customFormat="1">
      <c r="B355" s="32"/>
      <c r="C355" s="31"/>
      <c r="D355" s="31"/>
    </row>
    <row r="356" spans="2:4" s="27" customFormat="1">
      <c r="B356" s="32"/>
      <c r="C356" s="31"/>
      <c r="D356" s="31"/>
    </row>
    <row r="357" spans="2:4" s="27" customFormat="1">
      <c r="B357" s="32"/>
      <c r="C357" s="31"/>
      <c r="D357" s="31"/>
    </row>
    <row r="358" spans="2:4" s="27" customFormat="1">
      <c r="B358" s="32"/>
      <c r="C358" s="31"/>
      <c r="D358" s="31"/>
    </row>
    <row r="359" spans="2:4" s="27" customFormat="1">
      <c r="B359" s="32"/>
      <c r="C359" s="31"/>
      <c r="D359" s="31"/>
    </row>
    <row r="360" spans="2:4" s="27" customFormat="1">
      <c r="B360" s="32"/>
      <c r="C360" s="31"/>
      <c r="D360" s="31"/>
    </row>
    <row r="361" spans="2:4" s="27" customFormat="1">
      <c r="B361" s="32"/>
      <c r="C361" s="31"/>
      <c r="D361" s="31"/>
    </row>
    <row r="362" spans="2:4" s="27" customFormat="1">
      <c r="B362" s="32"/>
      <c r="C362" s="31"/>
      <c r="D362" s="31"/>
    </row>
    <row r="363" spans="2:4" s="27" customFormat="1">
      <c r="B363" s="32"/>
      <c r="C363" s="31"/>
      <c r="D363" s="31"/>
    </row>
    <row r="364" spans="2:4" s="27" customFormat="1">
      <c r="B364" s="32"/>
      <c r="C364" s="31"/>
      <c r="D364" s="31"/>
    </row>
    <row r="365" spans="2:4" s="27" customFormat="1">
      <c r="B365" s="32"/>
      <c r="C365" s="31"/>
      <c r="D365" s="31"/>
    </row>
    <row r="366" spans="2:4" s="27" customFormat="1">
      <c r="B366" s="32"/>
      <c r="C366" s="31"/>
      <c r="D366" s="31"/>
    </row>
    <row r="367" spans="2:4" s="27" customFormat="1">
      <c r="B367" s="32"/>
      <c r="C367" s="31"/>
      <c r="D367" s="31"/>
    </row>
    <row r="368" spans="2:4" s="27" customFormat="1">
      <c r="B368" s="32"/>
      <c r="C368" s="31"/>
      <c r="D368" s="31"/>
    </row>
    <row r="369" spans="2:4" s="27" customFormat="1">
      <c r="B369" s="32"/>
      <c r="C369" s="31"/>
      <c r="D369" s="31"/>
    </row>
    <row r="370" spans="2:4" s="27" customFormat="1">
      <c r="B370" s="32"/>
      <c r="C370" s="31"/>
      <c r="D370" s="31"/>
    </row>
    <row r="371" spans="2:4" s="27" customFormat="1">
      <c r="B371" s="32"/>
      <c r="C371" s="31"/>
      <c r="D371" s="31"/>
    </row>
    <row r="372" spans="2:4" s="27" customFormat="1">
      <c r="B372" s="32"/>
      <c r="C372" s="31"/>
      <c r="D372" s="31"/>
    </row>
    <row r="373" spans="2:4" s="27" customFormat="1">
      <c r="B373" s="32"/>
      <c r="C373" s="31"/>
      <c r="D373" s="31"/>
    </row>
    <row r="374" spans="2:4" s="27" customFormat="1">
      <c r="B374" s="32"/>
      <c r="C374" s="31"/>
      <c r="D374" s="31"/>
    </row>
    <row r="375" spans="2:4" s="27" customFormat="1">
      <c r="B375" s="32"/>
      <c r="C375" s="31"/>
      <c r="D375" s="31"/>
    </row>
    <row r="376" spans="2:4" s="27" customFormat="1">
      <c r="B376" s="32"/>
      <c r="C376" s="31"/>
      <c r="D376" s="31"/>
    </row>
    <row r="377" spans="2:4" s="27" customFormat="1">
      <c r="B377" s="32"/>
      <c r="C377" s="31"/>
      <c r="D377" s="31"/>
    </row>
    <row r="378" spans="2:4" s="27" customFormat="1">
      <c r="B378" s="32"/>
      <c r="C378" s="31"/>
      <c r="D378" s="31"/>
    </row>
    <row r="379" spans="2:4" s="27" customFormat="1">
      <c r="B379" s="32"/>
      <c r="C379" s="31"/>
      <c r="D379" s="31"/>
    </row>
    <row r="380" spans="2:4" s="27" customFormat="1">
      <c r="B380" s="32"/>
      <c r="C380" s="31"/>
      <c r="D380" s="31"/>
    </row>
    <row r="381" spans="2:4" s="27" customFormat="1">
      <c r="B381" s="32"/>
      <c r="C381" s="31"/>
      <c r="D381" s="31"/>
    </row>
    <row r="382" spans="2:4" s="27" customFormat="1">
      <c r="B382" s="32"/>
      <c r="C382" s="31"/>
      <c r="D382" s="31"/>
    </row>
    <row r="383" spans="2:4" s="27" customFormat="1">
      <c r="B383" s="32"/>
      <c r="C383" s="31"/>
      <c r="D383" s="31"/>
    </row>
    <row r="384" spans="2:4" s="27" customFormat="1">
      <c r="B384" s="32"/>
      <c r="C384" s="31"/>
      <c r="D384" s="31"/>
    </row>
    <row r="385" spans="2:4" s="27" customFormat="1">
      <c r="B385" s="32"/>
      <c r="C385" s="31"/>
      <c r="D385" s="31"/>
    </row>
    <row r="386" spans="2:4" s="27" customFormat="1">
      <c r="B386" s="32"/>
      <c r="C386" s="31"/>
      <c r="D386" s="31"/>
    </row>
    <row r="387" spans="2:4" s="27" customFormat="1">
      <c r="B387" s="32"/>
      <c r="C387" s="31"/>
      <c r="D387" s="31"/>
    </row>
    <row r="388" spans="2:4" s="27" customFormat="1">
      <c r="B388" s="32"/>
      <c r="C388" s="31"/>
      <c r="D388" s="31"/>
    </row>
    <row r="389" spans="2:4" s="27" customFormat="1">
      <c r="B389" s="32"/>
      <c r="C389" s="31"/>
      <c r="D389" s="31"/>
    </row>
    <row r="390" spans="2:4" s="27" customFormat="1">
      <c r="B390" s="32"/>
      <c r="C390" s="31"/>
      <c r="D390" s="31"/>
    </row>
    <row r="391" spans="2:4" s="27" customFormat="1">
      <c r="B391" s="32"/>
      <c r="C391" s="31"/>
      <c r="D391" s="31"/>
    </row>
    <row r="392" spans="2:4" s="27" customFormat="1">
      <c r="B392" s="32"/>
      <c r="C392" s="31"/>
      <c r="D392" s="31"/>
    </row>
    <row r="393" spans="2:4" s="27" customFormat="1">
      <c r="B393" s="32"/>
      <c r="C393" s="31"/>
      <c r="D393" s="31"/>
    </row>
    <row r="394" spans="2:4" s="27" customFormat="1">
      <c r="B394" s="32"/>
      <c r="C394" s="31"/>
      <c r="D394" s="31"/>
    </row>
    <row r="395" spans="2:4" s="27" customFormat="1">
      <c r="B395" s="32"/>
      <c r="C395" s="31"/>
      <c r="D395" s="31"/>
    </row>
    <row r="396" spans="2:4" s="27" customFormat="1">
      <c r="B396" s="32"/>
      <c r="C396" s="31"/>
      <c r="D396" s="31"/>
    </row>
    <row r="397" spans="2:4" s="27" customFormat="1">
      <c r="B397" s="32"/>
      <c r="C397" s="31"/>
      <c r="D397" s="31"/>
    </row>
    <row r="398" spans="2:4" s="27" customFormat="1">
      <c r="B398" s="32"/>
      <c r="C398" s="31"/>
      <c r="D398" s="31"/>
    </row>
    <row r="399" spans="2:4" s="27" customFormat="1">
      <c r="B399" s="32"/>
      <c r="C399" s="31"/>
      <c r="D399" s="31"/>
    </row>
    <row r="400" spans="2:4" s="27" customFormat="1">
      <c r="B400" s="32"/>
      <c r="C400" s="31"/>
      <c r="D400" s="31"/>
    </row>
    <row r="401" spans="2:4" s="27" customFormat="1">
      <c r="B401" s="32"/>
      <c r="C401" s="31"/>
      <c r="D401" s="31"/>
    </row>
    <row r="402" spans="2:4" s="27" customFormat="1">
      <c r="B402" s="32"/>
      <c r="C402" s="31"/>
      <c r="D402" s="31"/>
    </row>
    <row r="403" spans="2:4" s="27" customFormat="1">
      <c r="B403" s="32"/>
      <c r="C403" s="31"/>
      <c r="D403" s="31"/>
    </row>
    <row r="404" spans="2:4" s="27" customFormat="1">
      <c r="B404" s="32"/>
      <c r="C404" s="31"/>
      <c r="D404" s="31"/>
    </row>
    <row r="405" spans="2:4" s="27" customFormat="1">
      <c r="B405" s="32"/>
      <c r="C405" s="31"/>
      <c r="D405" s="31"/>
    </row>
    <row r="406" spans="2:4" s="27" customFormat="1">
      <c r="B406" s="32"/>
      <c r="C406" s="31"/>
      <c r="D406" s="31"/>
    </row>
    <row r="407" spans="2:4" s="27" customFormat="1">
      <c r="B407" s="32"/>
      <c r="C407" s="31"/>
      <c r="D407" s="31"/>
    </row>
    <row r="408" spans="2:4" s="27" customFormat="1">
      <c r="B408" s="32"/>
      <c r="C408" s="31"/>
      <c r="D408" s="31"/>
    </row>
    <row r="409" spans="2:4" s="27" customFormat="1">
      <c r="B409" s="32"/>
      <c r="C409" s="31"/>
      <c r="D409" s="31"/>
    </row>
    <row r="410" spans="2:4" s="27" customFormat="1">
      <c r="B410" s="32"/>
      <c r="C410" s="31"/>
      <c r="D410" s="31"/>
    </row>
    <row r="411" spans="2:4" s="27" customFormat="1">
      <c r="B411" s="32"/>
      <c r="C411" s="31"/>
      <c r="D411" s="31"/>
    </row>
    <row r="412" spans="2:4" s="27" customFormat="1">
      <c r="B412" s="32"/>
      <c r="C412" s="31"/>
      <c r="D412" s="31"/>
    </row>
    <row r="413" spans="2:4" s="27" customFormat="1">
      <c r="B413" s="32"/>
      <c r="C413" s="31"/>
      <c r="D413" s="31"/>
    </row>
    <row r="414" spans="2:4" s="27" customFormat="1">
      <c r="B414" s="32"/>
      <c r="C414" s="31"/>
      <c r="D414" s="31"/>
    </row>
    <row r="415" spans="2:4" s="27" customFormat="1">
      <c r="B415" s="32"/>
      <c r="C415" s="31"/>
      <c r="D415" s="31"/>
    </row>
    <row r="416" spans="2:4" s="27" customFormat="1">
      <c r="B416" s="32"/>
      <c r="C416" s="31"/>
      <c r="D416" s="31"/>
    </row>
    <row r="417" spans="2:4" s="27" customFormat="1">
      <c r="B417" s="32"/>
      <c r="C417" s="31"/>
      <c r="D417" s="31"/>
    </row>
    <row r="418" spans="2:4" s="27" customFormat="1">
      <c r="B418" s="32"/>
      <c r="C418" s="31"/>
      <c r="D418" s="31"/>
    </row>
    <row r="419" spans="2:4" s="27" customFormat="1">
      <c r="B419" s="32"/>
      <c r="C419" s="31"/>
      <c r="D419" s="31"/>
    </row>
    <row r="420" spans="2:4" s="27" customFormat="1">
      <c r="B420" s="32"/>
      <c r="C420" s="31"/>
      <c r="D420" s="31"/>
    </row>
    <row r="421" spans="2:4" s="27" customFormat="1">
      <c r="B421" s="32"/>
      <c r="C421" s="31"/>
      <c r="D421" s="31"/>
    </row>
    <row r="422" spans="2:4" s="27" customFormat="1">
      <c r="B422" s="32"/>
      <c r="C422" s="31"/>
      <c r="D422" s="31"/>
    </row>
    <row r="423" spans="2:4" s="27" customFormat="1">
      <c r="B423" s="32"/>
      <c r="C423" s="31"/>
      <c r="D423" s="31"/>
    </row>
    <row r="424" spans="2:4" s="27" customFormat="1">
      <c r="B424" s="32"/>
      <c r="C424" s="31"/>
      <c r="D424" s="31"/>
    </row>
    <row r="425" spans="2:4" s="27" customFormat="1">
      <c r="B425" s="32"/>
      <c r="C425" s="31"/>
      <c r="D425" s="31"/>
    </row>
    <row r="426" spans="2:4" s="27" customFormat="1">
      <c r="B426" s="32"/>
      <c r="C426" s="31"/>
      <c r="D426" s="31"/>
    </row>
    <row r="427" spans="2:4" s="27" customFormat="1">
      <c r="B427" s="32"/>
      <c r="C427" s="31"/>
      <c r="D427" s="31"/>
    </row>
    <row r="428" spans="2:4" s="27" customFormat="1">
      <c r="B428" s="32"/>
      <c r="C428" s="31"/>
      <c r="D428" s="31"/>
    </row>
    <row r="429" spans="2:4" s="27" customFormat="1">
      <c r="B429" s="32"/>
      <c r="C429" s="31"/>
      <c r="D429" s="31"/>
    </row>
    <row r="430" spans="2:4" s="27" customFormat="1">
      <c r="B430" s="32"/>
      <c r="C430" s="31"/>
      <c r="D430" s="31"/>
    </row>
    <row r="431" spans="2:4" s="27" customFormat="1">
      <c r="B431" s="32"/>
      <c r="C431" s="31"/>
      <c r="D431" s="31"/>
    </row>
    <row r="432" spans="2:4" s="27" customFormat="1">
      <c r="B432" s="32"/>
      <c r="C432" s="31"/>
      <c r="D432" s="31"/>
    </row>
    <row r="433" spans="2:4" s="27" customFormat="1">
      <c r="B433" s="32"/>
      <c r="C433" s="31"/>
      <c r="D433" s="31"/>
    </row>
    <row r="434" spans="2:4" s="27" customFormat="1">
      <c r="B434" s="32"/>
      <c r="C434" s="31"/>
      <c r="D434" s="31"/>
    </row>
    <row r="435" spans="2:4" s="27" customFormat="1">
      <c r="B435" s="32"/>
      <c r="C435" s="31"/>
      <c r="D435" s="31"/>
    </row>
    <row r="436" spans="2:4" s="27" customFormat="1">
      <c r="B436" s="32"/>
      <c r="C436" s="31"/>
      <c r="D436" s="31"/>
    </row>
    <row r="437" spans="2:4" s="27" customFormat="1">
      <c r="B437" s="32"/>
      <c r="C437" s="31"/>
      <c r="D437" s="31"/>
    </row>
    <row r="438" spans="2:4" s="27" customFormat="1">
      <c r="B438" s="32"/>
      <c r="C438" s="31"/>
      <c r="D438" s="31"/>
    </row>
    <row r="439" spans="2:4" s="27" customFormat="1">
      <c r="B439" s="32"/>
      <c r="C439" s="31"/>
      <c r="D439" s="31"/>
    </row>
    <row r="440" spans="2:4" s="27" customFormat="1">
      <c r="B440" s="32"/>
      <c r="C440" s="31"/>
      <c r="D440" s="31"/>
    </row>
    <row r="441" spans="2:4" s="27" customFormat="1">
      <c r="B441" s="32"/>
      <c r="C441" s="31"/>
      <c r="D441" s="31"/>
    </row>
    <row r="442" spans="2:4" s="27" customFormat="1">
      <c r="B442" s="32"/>
      <c r="C442" s="31"/>
      <c r="D442" s="31"/>
    </row>
    <row r="443" spans="2:4" s="27" customFormat="1">
      <c r="B443" s="32"/>
      <c r="C443" s="31"/>
      <c r="D443" s="31"/>
    </row>
    <row r="444" spans="2:4" s="27" customFormat="1">
      <c r="B444" s="32"/>
      <c r="C444" s="31"/>
      <c r="D444" s="31"/>
    </row>
    <row r="445" spans="2:4" s="27" customFormat="1">
      <c r="B445" s="32"/>
      <c r="C445" s="31"/>
      <c r="D445" s="31"/>
    </row>
    <row r="446" spans="2:4" s="27" customFormat="1">
      <c r="B446" s="32"/>
      <c r="C446" s="31"/>
      <c r="D446" s="31"/>
    </row>
    <row r="447" spans="2:4" s="27" customFormat="1">
      <c r="B447" s="32"/>
      <c r="C447" s="31"/>
      <c r="D447" s="31"/>
    </row>
    <row r="448" spans="2:4" s="27" customFormat="1">
      <c r="B448" s="32"/>
      <c r="C448" s="31"/>
      <c r="D448" s="31"/>
    </row>
    <row r="449" spans="2:4" s="27" customFormat="1">
      <c r="B449" s="32"/>
      <c r="C449" s="31"/>
      <c r="D449" s="31"/>
    </row>
    <row r="450" spans="2:4" s="27" customFormat="1">
      <c r="B450" s="32"/>
      <c r="C450" s="31"/>
      <c r="D450" s="31"/>
    </row>
    <row r="451" spans="2:4" s="27" customFormat="1">
      <c r="B451" s="32"/>
      <c r="C451" s="31"/>
      <c r="D451" s="31"/>
    </row>
    <row r="452" spans="2:4" s="27" customFormat="1">
      <c r="B452" s="32"/>
      <c r="C452" s="31"/>
      <c r="D452" s="31"/>
    </row>
    <row r="453" spans="2:4" s="27" customFormat="1">
      <c r="B453" s="32"/>
      <c r="C453" s="31"/>
      <c r="D453" s="31"/>
    </row>
    <row r="454" spans="2:4" s="27" customFormat="1">
      <c r="B454" s="32"/>
      <c r="C454" s="31"/>
      <c r="D454" s="31"/>
    </row>
    <row r="455" spans="2:4" s="27" customFormat="1">
      <c r="B455" s="32"/>
      <c r="C455" s="31"/>
      <c r="D455" s="31"/>
    </row>
    <row r="456" spans="2:4" s="27" customFormat="1">
      <c r="B456" s="32"/>
      <c r="C456" s="31"/>
      <c r="D456" s="31"/>
    </row>
    <row r="457" spans="2:4" s="27" customFormat="1">
      <c r="B457" s="32"/>
      <c r="C457" s="31"/>
      <c r="D457" s="31"/>
    </row>
    <row r="458" spans="2:4" s="27" customFormat="1">
      <c r="B458" s="32"/>
      <c r="C458" s="31"/>
      <c r="D458" s="31"/>
    </row>
    <row r="459" spans="2:4" s="27" customFormat="1">
      <c r="B459" s="32"/>
      <c r="C459" s="31"/>
      <c r="D459" s="31"/>
    </row>
    <row r="460" spans="2:4" s="27" customFormat="1">
      <c r="B460" s="32"/>
      <c r="C460" s="31"/>
      <c r="D460" s="31"/>
    </row>
    <row r="461" spans="2:4" s="27" customFormat="1">
      <c r="B461" s="32"/>
      <c r="C461" s="31"/>
      <c r="D461" s="31"/>
    </row>
    <row r="462" spans="2:4" s="27" customFormat="1">
      <c r="B462" s="32"/>
      <c r="C462" s="31"/>
      <c r="D462" s="31"/>
    </row>
    <row r="463" spans="2:4" s="27" customFormat="1">
      <c r="B463" s="32"/>
      <c r="C463" s="31"/>
      <c r="D463" s="31"/>
    </row>
    <row r="464" spans="2:4" s="27" customFormat="1">
      <c r="B464" s="32"/>
      <c r="C464" s="31"/>
      <c r="D464" s="31"/>
    </row>
    <row r="465" spans="2:4" s="27" customFormat="1">
      <c r="B465" s="32"/>
      <c r="C465" s="31"/>
      <c r="D465" s="31"/>
    </row>
    <row r="466" spans="2:4" s="27" customFormat="1">
      <c r="B466" s="32"/>
      <c r="C466" s="31"/>
      <c r="D466" s="31"/>
    </row>
    <row r="467" spans="2:4" s="27" customFormat="1">
      <c r="B467" s="32"/>
      <c r="C467" s="31"/>
      <c r="D467" s="31"/>
    </row>
    <row r="468" spans="2:4" s="27" customFormat="1">
      <c r="B468" s="32"/>
      <c r="C468" s="31"/>
      <c r="D468" s="31"/>
    </row>
    <row r="469" spans="2:4" s="27" customFormat="1">
      <c r="B469" s="32"/>
      <c r="C469" s="31"/>
      <c r="D469" s="31"/>
    </row>
    <row r="470" spans="2:4" s="27" customFormat="1">
      <c r="B470" s="32"/>
      <c r="C470" s="31"/>
      <c r="D470" s="31"/>
    </row>
    <row r="471" spans="2:4" s="27" customFormat="1">
      <c r="B471" s="32"/>
      <c r="C471" s="31"/>
      <c r="D471" s="31"/>
    </row>
    <row r="472" spans="2:4" s="27" customFormat="1">
      <c r="B472" s="32"/>
      <c r="C472" s="31"/>
      <c r="D472" s="31"/>
    </row>
    <row r="473" spans="2:4" s="27" customFormat="1">
      <c r="B473" s="32"/>
      <c r="C473" s="31"/>
      <c r="D473" s="31"/>
    </row>
    <row r="474" spans="2:4" s="27" customFormat="1">
      <c r="B474" s="32"/>
      <c r="C474" s="31"/>
      <c r="D474" s="31"/>
    </row>
    <row r="475" spans="2:4" s="27" customFormat="1">
      <c r="B475" s="32"/>
      <c r="C475" s="31"/>
      <c r="D475" s="31"/>
    </row>
    <row r="476" spans="2:4" s="27" customFormat="1">
      <c r="B476" s="32"/>
      <c r="C476" s="31"/>
      <c r="D476" s="31"/>
    </row>
    <row r="477" spans="2:4" s="27" customFormat="1">
      <c r="B477" s="32"/>
      <c r="C477" s="31"/>
      <c r="D477" s="31"/>
    </row>
    <row r="478" spans="2:4" s="27" customFormat="1">
      <c r="B478" s="32"/>
      <c r="C478" s="31"/>
      <c r="D478" s="31"/>
    </row>
    <row r="479" spans="2:4" s="27" customFormat="1">
      <c r="B479" s="32"/>
      <c r="C479" s="31"/>
      <c r="D479" s="31"/>
    </row>
    <row r="480" spans="2:4" s="27" customFormat="1">
      <c r="B480" s="32"/>
      <c r="C480" s="31"/>
      <c r="D480" s="31"/>
    </row>
    <row r="481" spans="2:4" s="27" customFormat="1">
      <c r="B481" s="32"/>
      <c r="C481" s="31"/>
      <c r="D481" s="31"/>
    </row>
    <row r="482" spans="2:4" s="27" customFormat="1">
      <c r="B482" s="32"/>
      <c r="C482" s="31"/>
      <c r="D482" s="31"/>
    </row>
    <row r="483" spans="2:4" s="27" customFormat="1">
      <c r="B483" s="32"/>
      <c r="C483" s="31"/>
      <c r="D483" s="31"/>
    </row>
    <row r="484" spans="2:4" s="27" customFormat="1">
      <c r="B484" s="32"/>
      <c r="C484" s="31"/>
      <c r="D484" s="31"/>
    </row>
    <row r="485" spans="2:4" s="27" customFormat="1">
      <c r="B485" s="32"/>
      <c r="C485" s="31"/>
      <c r="D485" s="31"/>
    </row>
    <row r="486" spans="2:4" s="27" customFormat="1">
      <c r="B486" s="32"/>
      <c r="C486" s="31"/>
      <c r="D486" s="31"/>
    </row>
    <row r="487" spans="2:4" s="27" customFormat="1">
      <c r="B487" s="32"/>
      <c r="C487" s="31"/>
      <c r="D487" s="31"/>
    </row>
    <row r="488" spans="2:4" s="27" customFormat="1">
      <c r="B488" s="32"/>
      <c r="C488" s="31"/>
      <c r="D488" s="31"/>
    </row>
    <row r="489" spans="2:4" s="27" customFormat="1">
      <c r="B489" s="32"/>
      <c r="C489" s="31"/>
      <c r="D489" s="31"/>
    </row>
    <row r="490" spans="2:4" s="27" customFormat="1">
      <c r="B490" s="32"/>
      <c r="C490" s="31"/>
      <c r="D490" s="31"/>
    </row>
    <row r="491" spans="2:4" s="27" customFormat="1">
      <c r="B491" s="32"/>
      <c r="C491" s="31"/>
      <c r="D491" s="31"/>
    </row>
    <row r="492" spans="2:4" s="27" customFormat="1">
      <c r="B492" s="32"/>
      <c r="C492" s="31"/>
      <c r="D492" s="31"/>
    </row>
    <row r="493" spans="2:4" s="27" customFormat="1">
      <c r="B493" s="32"/>
      <c r="C493" s="31"/>
      <c r="D493" s="31"/>
    </row>
    <row r="494" spans="2:4" s="27" customFormat="1">
      <c r="B494" s="32"/>
      <c r="C494" s="31"/>
      <c r="D494" s="31"/>
    </row>
    <row r="495" spans="2:4" s="27" customFormat="1">
      <c r="B495" s="32"/>
      <c r="C495" s="31"/>
      <c r="D495" s="31"/>
    </row>
    <row r="496" spans="2:4" s="27" customFormat="1">
      <c r="B496" s="32"/>
      <c r="C496" s="31"/>
      <c r="D496" s="31"/>
    </row>
    <row r="497" spans="2:4" s="27" customFormat="1">
      <c r="B497" s="32"/>
      <c r="C497" s="31"/>
      <c r="D497" s="31"/>
    </row>
    <row r="498" spans="2:4" s="27" customFormat="1">
      <c r="B498" s="32"/>
      <c r="C498" s="31"/>
      <c r="D498" s="31"/>
    </row>
    <row r="499" spans="2:4" s="27" customFormat="1">
      <c r="B499" s="32"/>
      <c r="C499" s="31"/>
      <c r="D499" s="31"/>
    </row>
    <row r="500" spans="2:4" s="27" customFormat="1">
      <c r="B500" s="32"/>
      <c r="C500" s="31"/>
      <c r="D500" s="31"/>
    </row>
    <row r="501" spans="2:4" s="27" customFormat="1">
      <c r="B501" s="32"/>
      <c r="C501" s="31"/>
      <c r="D501" s="31"/>
    </row>
    <row r="502" spans="2:4" s="27" customFormat="1">
      <c r="B502" s="32"/>
      <c r="C502" s="31"/>
      <c r="D502" s="31"/>
    </row>
    <row r="503" spans="2:4" s="27" customFormat="1">
      <c r="B503" s="32"/>
      <c r="C503" s="31"/>
      <c r="D503" s="31"/>
    </row>
    <row r="504" spans="2:4" s="27" customFormat="1">
      <c r="B504" s="32"/>
      <c r="C504" s="31"/>
      <c r="D504" s="31"/>
    </row>
    <row r="505" spans="2:4" s="27" customFormat="1">
      <c r="B505" s="32"/>
      <c r="C505" s="31"/>
      <c r="D505" s="31"/>
    </row>
    <row r="506" spans="2:4" s="27" customFormat="1">
      <c r="B506" s="32"/>
      <c r="C506" s="31"/>
      <c r="D506" s="31"/>
    </row>
    <row r="507" spans="2:4" s="27" customFormat="1">
      <c r="B507" s="32"/>
      <c r="C507" s="31"/>
      <c r="D507" s="31"/>
    </row>
    <row r="508" spans="2:4" s="27" customFormat="1">
      <c r="B508" s="32"/>
      <c r="C508" s="31"/>
      <c r="D508" s="31"/>
    </row>
    <row r="509" spans="2:4" s="27" customFormat="1">
      <c r="B509" s="32"/>
      <c r="C509" s="31"/>
      <c r="D509" s="31"/>
    </row>
    <row r="510" spans="2:4" s="27" customFormat="1">
      <c r="B510" s="32"/>
      <c r="C510" s="31"/>
      <c r="D510" s="31"/>
    </row>
    <row r="511" spans="2:4" s="27" customFormat="1">
      <c r="B511" s="32"/>
      <c r="C511" s="31"/>
      <c r="D511" s="31"/>
    </row>
    <row r="512" spans="2:4" s="27" customFormat="1">
      <c r="B512" s="32"/>
      <c r="C512" s="31"/>
      <c r="D512" s="31"/>
    </row>
    <row r="513" spans="2:4" s="27" customFormat="1">
      <c r="B513" s="32"/>
      <c r="C513" s="31"/>
      <c r="D513" s="31"/>
    </row>
    <row r="514" spans="2:4" s="27" customFormat="1">
      <c r="B514" s="32"/>
      <c r="C514" s="31"/>
      <c r="D514" s="31"/>
    </row>
    <row r="515" spans="2:4" s="27" customFormat="1">
      <c r="B515" s="32"/>
      <c r="C515" s="31"/>
      <c r="D515" s="31"/>
    </row>
    <row r="516" spans="2:4" s="27" customFormat="1">
      <c r="B516" s="32"/>
      <c r="C516" s="31"/>
      <c r="D516" s="31"/>
    </row>
    <row r="517" spans="2:4" s="27" customFormat="1">
      <c r="B517" s="32"/>
      <c r="C517" s="31"/>
      <c r="D517" s="31"/>
    </row>
    <row r="518" spans="2:4" s="27" customFormat="1">
      <c r="B518" s="32"/>
      <c r="C518" s="31"/>
      <c r="D518" s="31"/>
    </row>
    <row r="519" spans="2:4" s="27" customFormat="1">
      <c r="B519" s="32"/>
      <c r="C519" s="31"/>
      <c r="D519" s="31"/>
    </row>
    <row r="520" spans="2:4" s="27" customFormat="1">
      <c r="B520" s="32"/>
      <c r="C520" s="31"/>
      <c r="D520" s="31"/>
    </row>
    <row r="521" spans="2:4" s="27" customFormat="1">
      <c r="B521" s="32"/>
      <c r="C521" s="31"/>
      <c r="D521" s="31"/>
    </row>
    <row r="522" spans="2:4" s="27" customFormat="1">
      <c r="B522" s="32"/>
      <c r="C522" s="31"/>
      <c r="D522" s="31"/>
    </row>
    <row r="523" spans="2:4" s="27" customFormat="1">
      <c r="B523" s="32"/>
      <c r="C523" s="31"/>
      <c r="D523" s="31"/>
    </row>
    <row r="524" spans="2:4" s="27" customFormat="1">
      <c r="B524" s="32"/>
      <c r="C524" s="31"/>
      <c r="D524" s="31"/>
    </row>
    <row r="525" spans="2:4" s="27" customFormat="1">
      <c r="B525" s="32"/>
      <c r="C525" s="31"/>
      <c r="D525" s="31"/>
    </row>
    <row r="526" spans="2:4" s="27" customFormat="1">
      <c r="B526" s="32"/>
      <c r="C526" s="31"/>
      <c r="D526" s="31"/>
    </row>
    <row r="527" spans="2:4" s="27" customFormat="1">
      <c r="B527" s="32"/>
      <c r="C527" s="31"/>
      <c r="D527" s="31"/>
    </row>
    <row r="528" spans="2:4" s="27" customFormat="1">
      <c r="B528" s="32"/>
      <c r="C528" s="31"/>
      <c r="D528" s="31"/>
    </row>
    <row r="529" spans="2:4" s="27" customFormat="1">
      <c r="B529" s="32"/>
      <c r="C529" s="31"/>
      <c r="D529" s="31"/>
    </row>
    <row r="530" spans="2:4" s="27" customFormat="1">
      <c r="B530" s="32"/>
      <c r="C530" s="31"/>
      <c r="D530" s="31"/>
    </row>
    <row r="531" spans="2:4" s="27" customFormat="1">
      <c r="B531" s="32"/>
      <c r="C531" s="31"/>
      <c r="D531" s="31"/>
    </row>
    <row r="532" spans="2:4" s="27" customFormat="1">
      <c r="B532" s="32"/>
      <c r="C532" s="31"/>
      <c r="D532" s="31"/>
    </row>
    <row r="533" spans="2:4" s="27" customFormat="1">
      <c r="B533" s="32"/>
      <c r="C533" s="31"/>
      <c r="D533" s="31"/>
    </row>
    <row r="534" spans="2:4" s="27" customFormat="1">
      <c r="B534" s="32"/>
      <c r="C534" s="31"/>
      <c r="D534" s="31"/>
    </row>
    <row r="535" spans="2:4" s="27" customFormat="1">
      <c r="B535" s="32"/>
      <c r="C535" s="31"/>
      <c r="D535" s="31"/>
    </row>
    <row r="536" spans="2:4" s="27" customFormat="1">
      <c r="B536" s="32"/>
      <c r="C536" s="31"/>
      <c r="D536" s="31"/>
    </row>
    <row r="537" spans="2:4" s="27" customFormat="1">
      <c r="B537" s="32"/>
      <c r="C537" s="31"/>
      <c r="D537" s="31"/>
    </row>
    <row r="538" spans="2:4" s="27" customFormat="1">
      <c r="B538" s="32"/>
      <c r="C538" s="31"/>
      <c r="D538" s="31"/>
    </row>
    <row r="539" spans="2:4" s="27" customFormat="1">
      <c r="B539" s="32"/>
      <c r="C539" s="31"/>
      <c r="D539" s="31"/>
    </row>
    <row r="540" spans="2:4" s="27" customFormat="1">
      <c r="B540" s="32"/>
      <c r="C540" s="31"/>
      <c r="D540" s="31"/>
    </row>
    <row r="541" spans="2:4" s="27" customFormat="1">
      <c r="B541" s="32"/>
      <c r="C541" s="31"/>
      <c r="D541" s="31"/>
    </row>
    <row r="542" spans="2:4" s="27" customFormat="1">
      <c r="B542" s="32"/>
      <c r="C542" s="31"/>
      <c r="D542" s="31"/>
    </row>
    <row r="543" spans="2:4" s="27" customFormat="1">
      <c r="B543" s="32"/>
      <c r="C543" s="31"/>
      <c r="D543" s="31"/>
    </row>
    <row r="544" spans="2:4" s="27" customFormat="1">
      <c r="B544" s="32"/>
      <c r="C544" s="31"/>
      <c r="D544" s="31"/>
    </row>
    <row r="545" spans="2:4" s="27" customFormat="1">
      <c r="B545" s="32"/>
      <c r="C545" s="31"/>
      <c r="D545" s="31"/>
    </row>
    <row r="546" spans="2:4" s="27" customFormat="1">
      <c r="B546" s="32"/>
      <c r="C546" s="31"/>
      <c r="D546" s="31"/>
    </row>
    <row r="547" spans="2:4" s="27" customFormat="1">
      <c r="B547" s="32"/>
      <c r="C547" s="31"/>
      <c r="D547" s="31"/>
    </row>
    <row r="548" spans="2:4" s="27" customFormat="1">
      <c r="B548" s="32"/>
      <c r="C548" s="31"/>
      <c r="D548" s="31"/>
    </row>
    <row r="549" spans="2:4" s="27" customFormat="1">
      <c r="B549" s="32"/>
      <c r="C549" s="31"/>
      <c r="D549" s="31"/>
    </row>
    <row r="550" spans="2:4" s="27" customFormat="1">
      <c r="B550" s="32"/>
      <c r="C550" s="31"/>
      <c r="D550" s="31"/>
    </row>
    <row r="551" spans="2:4" s="27" customFormat="1">
      <c r="B551" s="32"/>
      <c r="C551" s="31"/>
      <c r="D551" s="31"/>
    </row>
    <row r="552" spans="2:4" s="27" customFormat="1">
      <c r="B552" s="32"/>
      <c r="C552" s="31"/>
      <c r="D552" s="31"/>
    </row>
    <row r="553" spans="2:4" s="27" customFormat="1">
      <c r="B553" s="32"/>
      <c r="C553" s="31"/>
      <c r="D553" s="31"/>
    </row>
    <row r="554" spans="2:4" s="27" customFormat="1">
      <c r="B554" s="32"/>
      <c r="C554" s="31"/>
      <c r="D554" s="31"/>
    </row>
    <row r="555" spans="2:4" s="27" customFormat="1">
      <c r="B555" s="32"/>
      <c r="C555" s="31"/>
      <c r="D555" s="31"/>
    </row>
    <row r="556" spans="2:4" s="27" customFormat="1">
      <c r="B556" s="32"/>
      <c r="C556" s="31"/>
      <c r="D556" s="31"/>
    </row>
    <row r="557" spans="2:4" s="27" customFormat="1">
      <c r="B557" s="32"/>
      <c r="C557" s="31"/>
      <c r="D557" s="31"/>
    </row>
    <row r="558" spans="2:4" s="27" customFormat="1">
      <c r="B558" s="32"/>
      <c r="C558" s="31"/>
      <c r="D558" s="31"/>
    </row>
    <row r="559" spans="2:4" s="27" customFormat="1">
      <c r="B559" s="32"/>
      <c r="C559" s="31"/>
      <c r="D559" s="31"/>
    </row>
    <row r="560" spans="2:4" s="27" customFormat="1">
      <c r="B560" s="32"/>
      <c r="C560" s="31"/>
      <c r="D560" s="31"/>
    </row>
    <row r="561" spans="2:4" s="27" customFormat="1">
      <c r="B561" s="32"/>
      <c r="C561" s="31"/>
      <c r="D561" s="31"/>
    </row>
    <row r="562" spans="2:4" s="27" customFormat="1">
      <c r="B562" s="32"/>
      <c r="C562" s="31"/>
      <c r="D562" s="31"/>
    </row>
    <row r="563" spans="2:4" s="27" customFormat="1">
      <c r="B563" s="32"/>
      <c r="C563" s="31"/>
      <c r="D563" s="31"/>
    </row>
    <row r="564" spans="2:4" s="27" customFormat="1">
      <c r="B564" s="32"/>
      <c r="C564" s="31"/>
      <c r="D564" s="31"/>
    </row>
    <row r="565" spans="2:4" s="27" customFormat="1">
      <c r="B565" s="32"/>
      <c r="C565" s="31"/>
      <c r="D565" s="31"/>
    </row>
    <row r="566" spans="2:4" s="27" customFormat="1">
      <c r="B566" s="32"/>
      <c r="C566" s="31"/>
      <c r="D566" s="31"/>
    </row>
    <row r="567" spans="2:4" s="27" customFormat="1">
      <c r="B567" s="32"/>
      <c r="C567" s="31"/>
      <c r="D567" s="31"/>
    </row>
    <row r="568" spans="2:4" s="27" customFormat="1">
      <c r="B568" s="32"/>
      <c r="C568" s="31"/>
      <c r="D568" s="31"/>
    </row>
    <row r="569" spans="2:4" s="27" customFormat="1">
      <c r="B569" s="32"/>
      <c r="C569" s="31"/>
      <c r="D569" s="31"/>
    </row>
    <row r="570" spans="2:4" s="27" customFormat="1">
      <c r="B570" s="32"/>
      <c r="C570" s="31"/>
      <c r="D570" s="31"/>
    </row>
    <row r="571" spans="2:4" s="27" customFormat="1">
      <c r="B571" s="32"/>
      <c r="C571" s="31"/>
      <c r="D571" s="31"/>
    </row>
    <row r="572" spans="2:4" s="27" customFormat="1">
      <c r="B572" s="32"/>
      <c r="C572" s="31"/>
      <c r="D572" s="31"/>
    </row>
    <row r="573" spans="2:4" s="27" customFormat="1">
      <c r="B573" s="32"/>
      <c r="C573" s="31"/>
      <c r="D573" s="31"/>
    </row>
    <row r="574" spans="2:4" s="27" customFormat="1">
      <c r="B574" s="32"/>
      <c r="C574" s="31"/>
      <c r="D574" s="31"/>
    </row>
    <row r="575" spans="2:4" s="27" customFormat="1">
      <c r="B575" s="32"/>
      <c r="C575" s="31"/>
      <c r="D575" s="31"/>
    </row>
    <row r="576" spans="2:4" s="27" customFormat="1">
      <c r="B576" s="32"/>
      <c r="C576" s="31"/>
      <c r="D576" s="31"/>
    </row>
    <row r="577" spans="2:4" s="27" customFormat="1">
      <c r="B577" s="32"/>
      <c r="C577" s="31"/>
      <c r="D577" s="31"/>
    </row>
    <row r="578" spans="2:4" s="27" customFormat="1">
      <c r="B578" s="32"/>
      <c r="C578" s="31"/>
      <c r="D578" s="31"/>
    </row>
    <row r="579" spans="2:4" s="27" customFormat="1">
      <c r="B579" s="32"/>
      <c r="C579" s="31"/>
      <c r="D579" s="31"/>
    </row>
    <row r="580" spans="2:4" s="27" customFormat="1">
      <c r="B580" s="32"/>
      <c r="C580" s="31"/>
      <c r="D580" s="31"/>
    </row>
    <row r="581" spans="2:4" s="27" customFormat="1">
      <c r="B581" s="32"/>
      <c r="C581" s="31"/>
      <c r="D581" s="31"/>
    </row>
    <row r="582" spans="2:4" s="27" customFormat="1">
      <c r="B582" s="32"/>
      <c r="C582" s="31"/>
      <c r="D582" s="31"/>
    </row>
    <row r="583" spans="2:4" s="27" customFormat="1">
      <c r="B583" s="32"/>
      <c r="C583" s="31"/>
      <c r="D583" s="31"/>
    </row>
    <row r="584" spans="2:4" s="27" customFormat="1">
      <c r="B584" s="32"/>
      <c r="C584" s="31"/>
      <c r="D584" s="31"/>
    </row>
    <row r="585" spans="2:4" s="27" customFormat="1">
      <c r="B585" s="32"/>
      <c r="C585" s="31"/>
      <c r="D585" s="31"/>
    </row>
    <row r="586" spans="2:4" s="27" customFormat="1">
      <c r="B586" s="32"/>
      <c r="C586" s="31"/>
      <c r="D586" s="31"/>
    </row>
    <row r="587" spans="2:4" s="27" customFormat="1">
      <c r="B587" s="32"/>
      <c r="C587" s="31"/>
      <c r="D587" s="31"/>
    </row>
    <row r="588" spans="2:4" s="27" customFormat="1">
      <c r="B588" s="32"/>
      <c r="C588" s="31"/>
      <c r="D588" s="31"/>
    </row>
    <row r="589" spans="2:4" s="27" customFormat="1">
      <c r="B589" s="32"/>
      <c r="C589" s="31"/>
      <c r="D589" s="31"/>
    </row>
    <row r="590" spans="2:4" s="27" customFormat="1">
      <c r="B590" s="32"/>
      <c r="C590" s="31"/>
      <c r="D590" s="31"/>
    </row>
    <row r="591" spans="2:4" s="27" customFormat="1">
      <c r="B591" s="32"/>
      <c r="C591" s="31"/>
      <c r="D591" s="31"/>
    </row>
    <row r="592" spans="2:4" s="27" customFormat="1">
      <c r="B592" s="32"/>
      <c r="C592" s="31"/>
      <c r="D592" s="31"/>
    </row>
    <row r="593" spans="2:4" s="27" customFormat="1">
      <c r="B593" s="32"/>
      <c r="C593" s="31"/>
      <c r="D593" s="31"/>
    </row>
    <row r="594" spans="2:4" s="27" customFormat="1">
      <c r="B594" s="32"/>
      <c r="C594" s="31"/>
      <c r="D594" s="31"/>
    </row>
    <row r="595" spans="2:4" s="27" customFormat="1">
      <c r="B595" s="32"/>
      <c r="C595" s="31"/>
      <c r="D595" s="31"/>
    </row>
    <row r="596" spans="2:4" s="27" customFormat="1">
      <c r="B596" s="32"/>
      <c r="C596" s="31"/>
      <c r="D596" s="31"/>
    </row>
    <row r="597" spans="2:4" s="27" customFormat="1">
      <c r="B597" s="32"/>
      <c r="C597" s="31"/>
      <c r="D597" s="31"/>
    </row>
    <row r="598" spans="2:4" s="27" customFormat="1">
      <c r="B598" s="32"/>
      <c r="C598" s="31"/>
      <c r="D598" s="31"/>
    </row>
    <row r="599" spans="2:4" s="27" customFormat="1">
      <c r="B599" s="32"/>
      <c r="C599" s="31"/>
      <c r="D599" s="31"/>
    </row>
    <row r="600" spans="2:4" s="27" customFormat="1">
      <c r="B600" s="32"/>
      <c r="C600" s="31"/>
      <c r="D600" s="31"/>
    </row>
    <row r="601" spans="2:4" s="27" customFormat="1">
      <c r="B601" s="32"/>
      <c r="C601" s="31"/>
      <c r="D601" s="31"/>
    </row>
    <row r="602" spans="2:4" s="27" customFormat="1">
      <c r="B602" s="32"/>
      <c r="C602" s="31"/>
      <c r="D602" s="31"/>
    </row>
    <row r="603" spans="2:4" s="27" customFormat="1">
      <c r="B603" s="32"/>
      <c r="C603" s="31"/>
      <c r="D603" s="31"/>
    </row>
    <row r="604" spans="2:4" s="27" customFormat="1">
      <c r="B604" s="32"/>
      <c r="C604" s="31"/>
      <c r="D604" s="31"/>
    </row>
    <row r="605" spans="2:4" s="27" customFormat="1">
      <c r="B605" s="32"/>
      <c r="C605" s="31"/>
      <c r="D605" s="31"/>
    </row>
    <row r="606" spans="2:4" s="27" customFormat="1">
      <c r="B606" s="32"/>
      <c r="C606" s="31"/>
      <c r="D606" s="31"/>
    </row>
    <row r="607" spans="2:4" s="27" customFormat="1">
      <c r="B607" s="32"/>
      <c r="C607" s="31"/>
      <c r="D607" s="31"/>
    </row>
    <row r="608" spans="2:4" s="27" customFormat="1">
      <c r="B608" s="32"/>
      <c r="C608" s="31"/>
      <c r="D608" s="31"/>
    </row>
    <row r="609" spans="2:4" s="27" customFormat="1">
      <c r="B609" s="32"/>
      <c r="C609" s="31"/>
      <c r="D609" s="31"/>
    </row>
    <row r="610" spans="2:4" s="27" customFormat="1">
      <c r="B610" s="32"/>
      <c r="C610" s="31"/>
      <c r="D610" s="31"/>
    </row>
    <row r="611" spans="2:4" s="27" customFormat="1">
      <c r="B611" s="32"/>
      <c r="C611" s="31"/>
      <c r="D611" s="31"/>
    </row>
    <row r="612" spans="2:4" s="27" customFormat="1">
      <c r="B612" s="32"/>
      <c r="C612" s="31"/>
      <c r="D612" s="31"/>
    </row>
    <row r="613" spans="2:4" s="27" customFormat="1">
      <c r="B613" s="32"/>
      <c r="C613" s="31"/>
      <c r="D613" s="31"/>
    </row>
    <row r="614" spans="2:4" s="27" customFormat="1">
      <c r="B614" s="32"/>
      <c r="C614" s="31"/>
      <c r="D614" s="31"/>
    </row>
    <row r="615" spans="2:4" s="27" customFormat="1">
      <c r="B615" s="32"/>
      <c r="C615" s="31"/>
      <c r="D615" s="31"/>
    </row>
    <row r="616" spans="2:4" s="27" customFormat="1">
      <c r="B616" s="32"/>
      <c r="C616" s="31"/>
      <c r="D616" s="31"/>
    </row>
    <row r="617" spans="2:4" s="27" customFormat="1">
      <c r="B617" s="32"/>
      <c r="C617" s="31"/>
      <c r="D617" s="31"/>
    </row>
    <row r="618" spans="2:4" s="27" customFormat="1">
      <c r="B618" s="32"/>
      <c r="C618" s="31"/>
      <c r="D618" s="31"/>
    </row>
    <row r="619" spans="2:4" s="27" customFormat="1">
      <c r="B619" s="32"/>
      <c r="C619" s="31"/>
      <c r="D619" s="31"/>
    </row>
    <row r="620" spans="2:4" s="27" customFormat="1">
      <c r="B620" s="32"/>
      <c r="C620" s="31"/>
      <c r="D620" s="31"/>
    </row>
    <row r="621" spans="2:4" s="27" customFormat="1">
      <c r="B621" s="32"/>
      <c r="C621" s="31"/>
      <c r="D621" s="31"/>
    </row>
    <row r="622" spans="2:4" s="27" customFormat="1">
      <c r="B622" s="32"/>
      <c r="C622" s="31"/>
      <c r="D622" s="31"/>
    </row>
    <row r="623" spans="2:4" s="27" customFormat="1">
      <c r="B623" s="32"/>
      <c r="C623" s="31"/>
      <c r="D623" s="31"/>
    </row>
    <row r="624" spans="2:4" s="27" customFormat="1">
      <c r="B624" s="32"/>
      <c r="C624" s="31"/>
      <c r="D624" s="31"/>
    </row>
    <row r="625" spans="2:4" s="27" customFormat="1">
      <c r="B625" s="32"/>
      <c r="C625" s="31"/>
      <c r="D625" s="31"/>
    </row>
    <row r="626" spans="2:4" s="27" customFormat="1">
      <c r="B626" s="32"/>
      <c r="C626" s="31"/>
      <c r="D626" s="31"/>
    </row>
    <row r="627" spans="2:4" s="27" customFormat="1">
      <c r="B627" s="32"/>
      <c r="C627" s="31"/>
      <c r="D627" s="31"/>
    </row>
    <row r="628" spans="2:4" s="27" customFormat="1">
      <c r="B628" s="32"/>
      <c r="C628" s="31"/>
      <c r="D628" s="31"/>
    </row>
    <row r="629" spans="2:4" s="27" customFormat="1">
      <c r="B629" s="32"/>
      <c r="C629" s="31"/>
      <c r="D629" s="31"/>
    </row>
    <row r="630" spans="2:4" s="27" customFormat="1">
      <c r="B630" s="32"/>
      <c r="C630" s="31"/>
      <c r="D630" s="31"/>
    </row>
    <row r="631" spans="2:4" s="27" customFormat="1">
      <c r="B631" s="32"/>
      <c r="C631" s="31"/>
      <c r="D631" s="31"/>
    </row>
    <row r="632" spans="2:4" s="27" customFormat="1">
      <c r="B632" s="32"/>
      <c r="C632" s="31"/>
      <c r="D632" s="31"/>
    </row>
    <row r="633" spans="2:4" s="27" customFormat="1">
      <c r="B633" s="32"/>
      <c r="C633" s="31"/>
      <c r="D633" s="31"/>
    </row>
    <row r="634" spans="2:4" s="27" customFormat="1">
      <c r="B634" s="32"/>
      <c r="C634" s="31"/>
      <c r="D634" s="31"/>
    </row>
    <row r="635" spans="2:4" s="27" customFormat="1">
      <c r="B635" s="32"/>
      <c r="C635" s="31"/>
      <c r="D635" s="31"/>
    </row>
    <row r="636" spans="2:4" s="27" customFormat="1">
      <c r="B636" s="32"/>
      <c r="C636" s="31"/>
      <c r="D636" s="31"/>
    </row>
    <row r="637" spans="2:4" s="27" customFormat="1">
      <c r="B637" s="32"/>
      <c r="C637" s="31"/>
      <c r="D637" s="31"/>
    </row>
    <row r="638" spans="2:4" s="27" customFormat="1">
      <c r="B638" s="32"/>
      <c r="C638" s="31"/>
      <c r="D638" s="31"/>
    </row>
    <row r="639" spans="2:4" s="27" customFormat="1">
      <c r="B639" s="32"/>
      <c r="C639" s="31"/>
      <c r="D639" s="31"/>
    </row>
    <row r="640" spans="2:4" s="27" customFormat="1">
      <c r="B640" s="32"/>
      <c r="C640" s="31"/>
      <c r="D640" s="31"/>
    </row>
    <row r="641" spans="2:4" s="27" customFormat="1">
      <c r="B641" s="32"/>
      <c r="C641" s="31"/>
      <c r="D641" s="31"/>
    </row>
    <row r="642" spans="2:4" s="27" customFormat="1">
      <c r="B642" s="32"/>
      <c r="C642" s="31"/>
      <c r="D642" s="31"/>
    </row>
    <row r="643" spans="2:4" s="27" customFormat="1">
      <c r="B643" s="32"/>
      <c r="C643" s="31"/>
      <c r="D643" s="31"/>
    </row>
    <row r="644" spans="2:4" s="27" customFormat="1">
      <c r="B644" s="32"/>
      <c r="C644" s="31"/>
      <c r="D644" s="31"/>
    </row>
    <row r="645" spans="2:4" s="27" customFormat="1">
      <c r="B645" s="32"/>
      <c r="C645" s="31"/>
      <c r="D645" s="31"/>
    </row>
    <row r="646" spans="2:4" s="27" customFormat="1">
      <c r="B646" s="32"/>
      <c r="C646" s="31"/>
      <c r="D646" s="31"/>
    </row>
    <row r="647" spans="2:4" s="27" customFormat="1">
      <c r="B647" s="32"/>
      <c r="C647" s="31"/>
      <c r="D647" s="31"/>
    </row>
    <row r="648" spans="2:4" s="27" customFormat="1">
      <c r="B648" s="32"/>
      <c r="C648" s="31"/>
      <c r="D648" s="31"/>
    </row>
    <row r="649" spans="2:4" s="27" customFormat="1">
      <c r="B649" s="32"/>
      <c r="C649" s="31"/>
      <c r="D649" s="31"/>
    </row>
    <row r="650" spans="2:4" s="27" customFormat="1">
      <c r="B650" s="32"/>
      <c r="C650" s="31"/>
      <c r="D650" s="31"/>
    </row>
    <row r="651" spans="2:4" s="27" customFormat="1">
      <c r="B651" s="32"/>
      <c r="C651" s="31"/>
      <c r="D651" s="31"/>
    </row>
    <row r="652" spans="2:4" s="27" customFormat="1">
      <c r="B652" s="32"/>
      <c r="C652" s="31"/>
      <c r="D652" s="31"/>
    </row>
    <row r="653" spans="2:4" s="27" customFormat="1">
      <c r="B653" s="32"/>
      <c r="C653" s="31"/>
      <c r="D653" s="31"/>
    </row>
    <row r="654" spans="2:4" s="27" customFormat="1">
      <c r="B654" s="32"/>
      <c r="C654" s="31"/>
      <c r="D654" s="31"/>
    </row>
    <row r="655" spans="2:4" s="27" customFormat="1">
      <c r="B655" s="32"/>
      <c r="C655" s="31"/>
      <c r="D655" s="31"/>
    </row>
    <row r="656" spans="2:4" s="27" customFormat="1">
      <c r="B656" s="32"/>
      <c r="C656" s="31"/>
      <c r="D656" s="31"/>
    </row>
    <row r="657" spans="2:4" s="27" customFormat="1">
      <c r="B657" s="32"/>
      <c r="C657" s="31"/>
      <c r="D657" s="31"/>
    </row>
    <row r="658" spans="2:4" s="27" customFormat="1">
      <c r="B658" s="32"/>
      <c r="C658" s="31"/>
      <c r="D658" s="31"/>
    </row>
    <row r="659" spans="2:4" s="27" customFormat="1">
      <c r="B659" s="32"/>
      <c r="C659" s="31"/>
      <c r="D659" s="31"/>
    </row>
    <row r="660" spans="2:4" s="27" customFormat="1">
      <c r="B660" s="32"/>
      <c r="C660" s="31"/>
      <c r="D660" s="31"/>
    </row>
    <row r="661" spans="2:4" s="27" customFormat="1">
      <c r="B661" s="32"/>
      <c r="C661" s="31"/>
      <c r="D661" s="31"/>
    </row>
    <row r="662" spans="2:4" s="27" customFormat="1">
      <c r="B662" s="32"/>
      <c r="C662" s="31"/>
      <c r="D662" s="31"/>
    </row>
    <row r="663" spans="2:4" s="27" customFormat="1">
      <c r="B663" s="32"/>
      <c r="C663" s="31"/>
      <c r="D663" s="31"/>
    </row>
    <row r="664" spans="2:4" s="27" customFormat="1">
      <c r="B664" s="32"/>
      <c r="C664" s="31"/>
      <c r="D664" s="31"/>
    </row>
    <row r="665" spans="2:4" s="27" customFormat="1">
      <c r="B665" s="32"/>
      <c r="C665" s="31"/>
      <c r="D665" s="31"/>
    </row>
    <row r="666" spans="2:4" s="27" customFormat="1">
      <c r="B666" s="32"/>
      <c r="C666" s="31"/>
      <c r="D666" s="31"/>
    </row>
    <row r="667" spans="2:4" s="27" customFormat="1">
      <c r="B667" s="32"/>
      <c r="C667" s="31"/>
      <c r="D667" s="31"/>
    </row>
    <row r="668" spans="2:4" s="27" customFormat="1">
      <c r="B668" s="32"/>
      <c r="C668" s="31"/>
      <c r="D668" s="31"/>
    </row>
    <row r="669" spans="2:4" s="27" customFormat="1">
      <c r="B669" s="32"/>
      <c r="C669" s="31"/>
      <c r="D669" s="31"/>
    </row>
    <row r="670" spans="2:4" s="27" customFormat="1">
      <c r="B670" s="32"/>
      <c r="C670" s="31"/>
      <c r="D670" s="31"/>
    </row>
    <row r="671" spans="2:4" s="27" customFormat="1">
      <c r="B671" s="32"/>
      <c r="C671" s="31"/>
      <c r="D671" s="31"/>
    </row>
    <row r="672" spans="2:4" s="27" customFormat="1">
      <c r="B672" s="32"/>
      <c r="C672" s="31"/>
      <c r="D672" s="31"/>
    </row>
    <row r="673" spans="2:4" s="27" customFormat="1">
      <c r="B673" s="32"/>
      <c r="C673" s="31"/>
      <c r="D673" s="31"/>
    </row>
    <row r="674" spans="2:4" s="27" customFormat="1">
      <c r="B674" s="32"/>
      <c r="C674" s="31"/>
      <c r="D674" s="31"/>
    </row>
    <row r="675" spans="2:4" s="27" customFormat="1">
      <c r="B675" s="32"/>
      <c r="C675" s="31"/>
      <c r="D675" s="31"/>
    </row>
    <row r="676" spans="2:4" s="27" customFormat="1">
      <c r="B676" s="32"/>
      <c r="C676" s="31"/>
      <c r="D676" s="31"/>
    </row>
    <row r="677" spans="2:4" s="27" customFormat="1">
      <c r="B677" s="32"/>
      <c r="C677" s="31"/>
      <c r="D677" s="31"/>
    </row>
    <row r="678" spans="2:4" s="27" customFormat="1">
      <c r="B678" s="32"/>
      <c r="C678" s="31"/>
      <c r="D678" s="31"/>
    </row>
    <row r="679" spans="2:4" s="27" customFormat="1">
      <c r="B679" s="32"/>
      <c r="C679" s="31"/>
      <c r="D679" s="31"/>
    </row>
    <row r="680" spans="2:4" s="27" customFormat="1">
      <c r="B680" s="32"/>
      <c r="C680" s="31"/>
      <c r="D680" s="31"/>
    </row>
    <row r="681" spans="2:4" s="27" customFormat="1">
      <c r="B681" s="32"/>
      <c r="C681" s="31"/>
      <c r="D681" s="31"/>
    </row>
    <row r="682" spans="2:4" s="27" customFormat="1">
      <c r="B682" s="32"/>
      <c r="C682" s="31"/>
      <c r="D682" s="31"/>
    </row>
    <row r="683" spans="2:4" s="27" customFormat="1">
      <c r="B683" s="32"/>
      <c r="C683" s="31"/>
      <c r="D683" s="31"/>
    </row>
    <row r="684" spans="2:4" s="27" customFormat="1">
      <c r="B684" s="32"/>
      <c r="C684" s="31"/>
      <c r="D684" s="31"/>
    </row>
    <row r="685" spans="2:4" s="27" customFormat="1">
      <c r="B685" s="32"/>
      <c r="C685" s="31"/>
      <c r="D685" s="31"/>
    </row>
    <row r="686" spans="2:4" s="27" customFormat="1">
      <c r="B686" s="32"/>
      <c r="C686" s="31"/>
      <c r="D686" s="31"/>
    </row>
    <row r="687" spans="2:4" s="27" customFormat="1">
      <c r="B687" s="32"/>
      <c r="C687" s="31"/>
      <c r="D687" s="31"/>
    </row>
    <row r="688" spans="2:4" s="27" customFormat="1">
      <c r="B688" s="32"/>
      <c r="C688" s="31"/>
      <c r="D688" s="31"/>
    </row>
    <row r="689" spans="2:4" s="27" customFormat="1">
      <c r="B689" s="32"/>
      <c r="C689" s="31"/>
      <c r="D689" s="31"/>
    </row>
    <row r="690" spans="2:4" s="27" customFormat="1">
      <c r="B690" s="32"/>
      <c r="C690" s="31"/>
      <c r="D690" s="31"/>
    </row>
    <row r="691" spans="2:4" s="27" customFormat="1">
      <c r="B691" s="32"/>
      <c r="C691" s="31"/>
      <c r="D691" s="31"/>
    </row>
    <row r="692" spans="2:4" s="27" customFormat="1">
      <c r="B692" s="32"/>
      <c r="C692" s="31"/>
      <c r="D692" s="31"/>
    </row>
    <row r="693" spans="2:4" s="27" customFormat="1">
      <c r="B693" s="32"/>
      <c r="C693" s="31"/>
      <c r="D693" s="31"/>
    </row>
    <row r="694" spans="2:4" s="27" customFormat="1">
      <c r="B694" s="32"/>
      <c r="C694" s="31"/>
      <c r="D694" s="31"/>
    </row>
    <row r="695" spans="2:4" s="27" customFormat="1">
      <c r="B695" s="32"/>
      <c r="C695" s="31"/>
      <c r="D695" s="31"/>
    </row>
    <row r="696" spans="2:4" s="27" customFormat="1">
      <c r="B696" s="32"/>
      <c r="C696" s="31"/>
      <c r="D696" s="31"/>
    </row>
    <row r="697" spans="2:4" s="27" customFormat="1">
      <c r="B697" s="32"/>
      <c r="C697" s="31"/>
      <c r="D697" s="31"/>
    </row>
    <row r="698" spans="2:4" s="27" customFormat="1">
      <c r="B698" s="32"/>
      <c r="C698" s="31"/>
      <c r="D698" s="31"/>
    </row>
    <row r="699" spans="2:4" s="27" customFormat="1">
      <c r="B699" s="32"/>
      <c r="C699" s="31"/>
      <c r="D699" s="31"/>
    </row>
    <row r="700" spans="2:4" s="27" customFormat="1">
      <c r="B700" s="32"/>
      <c r="C700" s="31"/>
      <c r="D700" s="31"/>
    </row>
    <row r="701" spans="2:4" s="27" customFormat="1">
      <c r="B701" s="32"/>
      <c r="C701" s="31"/>
      <c r="D701" s="31"/>
    </row>
    <row r="702" spans="2:4" s="27" customFormat="1">
      <c r="B702" s="32"/>
      <c r="C702" s="31"/>
      <c r="D702" s="31"/>
    </row>
    <row r="703" spans="2:4" s="27" customFormat="1">
      <c r="B703" s="32"/>
      <c r="C703" s="31"/>
      <c r="D703" s="31"/>
    </row>
    <row r="704" spans="2:4" s="27" customFormat="1">
      <c r="B704" s="32"/>
      <c r="C704" s="31"/>
      <c r="D704" s="31"/>
    </row>
    <row r="705" spans="2:4" s="27" customFormat="1">
      <c r="B705" s="32"/>
      <c r="C705" s="31"/>
      <c r="D705" s="31"/>
    </row>
    <row r="706" spans="2:4" s="27" customFormat="1">
      <c r="B706" s="32"/>
      <c r="C706" s="31"/>
      <c r="D706" s="31"/>
    </row>
    <row r="707" spans="2:4" s="27" customFormat="1">
      <c r="B707" s="32"/>
      <c r="C707" s="31"/>
      <c r="D707" s="31"/>
    </row>
    <row r="708" spans="2:4" s="27" customFormat="1">
      <c r="B708" s="32"/>
      <c r="C708" s="31"/>
      <c r="D708" s="31"/>
    </row>
    <row r="709" spans="2:4" s="27" customFormat="1">
      <c r="B709" s="32"/>
      <c r="C709" s="31"/>
      <c r="D709" s="31"/>
    </row>
    <row r="710" spans="2:4" s="27" customFormat="1">
      <c r="B710" s="32"/>
      <c r="C710" s="31"/>
      <c r="D710" s="31"/>
    </row>
    <row r="711" spans="2:4" s="27" customFormat="1">
      <c r="B711" s="32"/>
      <c r="C711" s="31"/>
      <c r="D711" s="31"/>
    </row>
    <row r="712" spans="2:4" s="27" customFormat="1">
      <c r="B712" s="32"/>
      <c r="C712" s="31"/>
      <c r="D712" s="31"/>
    </row>
    <row r="713" spans="2:4" s="27" customFormat="1">
      <c r="B713" s="32"/>
      <c r="C713" s="31"/>
      <c r="D713" s="31"/>
    </row>
    <row r="714" spans="2:4" s="27" customFormat="1">
      <c r="B714" s="32"/>
      <c r="C714" s="31"/>
      <c r="D714" s="31"/>
    </row>
    <row r="715" spans="2:4" s="27" customFormat="1">
      <c r="B715" s="32"/>
      <c r="C715" s="31"/>
      <c r="D715" s="31"/>
    </row>
    <row r="716" spans="2:4" s="27" customFormat="1">
      <c r="B716" s="32"/>
      <c r="C716" s="31"/>
      <c r="D716" s="31"/>
    </row>
    <row r="717" spans="2:4" s="27" customFormat="1">
      <c r="B717" s="32"/>
      <c r="C717" s="31"/>
      <c r="D717" s="31"/>
    </row>
    <row r="718" spans="2:4" s="27" customFormat="1">
      <c r="B718" s="32"/>
      <c r="C718" s="31"/>
      <c r="D718" s="31"/>
    </row>
    <row r="719" spans="2:4" s="27" customFormat="1">
      <c r="B719" s="32"/>
      <c r="C719" s="31"/>
      <c r="D719" s="31"/>
    </row>
    <row r="720" spans="2:4" s="27" customFormat="1">
      <c r="B720" s="32"/>
      <c r="C720" s="31"/>
      <c r="D720" s="31"/>
    </row>
    <row r="721" spans="2:4" s="27" customFormat="1">
      <c r="B721" s="32"/>
      <c r="C721" s="31"/>
      <c r="D721" s="31"/>
    </row>
    <row r="722" spans="2:4" s="27" customFormat="1">
      <c r="B722" s="32"/>
      <c r="C722" s="31"/>
      <c r="D722" s="31"/>
    </row>
    <row r="723" spans="2:4" s="27" customFormat="1">
      <c r="B723" s="32"/>
      <c r="C723" s="31"/>
      <c r="D723" s="31"/>
    </row>
    <row r="724" spans="2:4" s="27" customFormat="1">
      <c r="B724" s="32"/>
      <c r="C724" s="31"/>
      <c r="D724" s="31"/>
    </row>
    <row r="725" spans="2:4" s="27" customFormat="1">
      <c r="B725" s="32"/>
      <c r="C725" s="31"/>
      <c r="D725" s="31"/>
    </row>
    <row r="726" spans="2:4" s="27" customFormat="1">
      <c r="B726" s="32"/>
      <c r="C726" s="31"/>
      <c r="D726" s="31"/>
    </row>
    <row r="727" spans="2:4" s="27" customFormat="1">
      <c r="B727" s="32"/>
      <c r="C727" s="31"/>
      <c r="D727" s="31"/>
    </row>
    <row r="728" spans="2:4" s="27" customFormat="1">
      <c r="B728" s="32"/>
      <c r="C728" s="31"/>
      <c r="D728" s="31"/>
    </row>
    <row r="729" spans="2:4" s="27" customFormat="1">
      <c r="B729" s="32"/>
      <c r="C729" s="31"/>
      <c r="D729" s="31"/>
    </row>
    <row r="730" spans="2:4" s="27" customFormat="1">
      <c r="B730" s="32"/>
      <c r="C730" s="31"/>
      <c r="D730" s="31"/>
    </row>
    <row r="731" spans="2:4" s="27" customFormat="1">
      <c r="B731" s="32"/>
      <c r="C731" s="31"/>
      <c r="D731" s="31"/>
    </row>
    <row r="732" spans="2:4" s="27" customFormat="1">
      <c r="B732" s="32"/>
      <c r="C732" s="31"/>
      <c r="D732" s="31"/>
    </row>
    <row r="733" spans="2:4" s="27" customFormat="1">
      <c r="B733" s="32"/>
      <c r="C733" s="31"/>
      <c r="D733" s="31"/>
    </row>
    <row r="734" spans="2:4" s="27" customFormat="1">
      <c r="B734" s="32"/>
      <c r="C734" s="31"/>
      <c r="D734" s="31"/>
    </row>
    <row r="735" spans="2:4" s="27" customFormat="1">
      <c r="B735" s="32"/>
      <c r="C735" s="31"/>
      <c r="D735" s="31"/>
    </row>
    <row r="736" spans="2:4" s="27" customFormat="1">
      <c r="B736" s="32"/>
      <c r="C736" s="31"/>
      <c r="D736" s="31"/>
    </row>
    <row r="737" spans="2:4" s="27" customFormat="1">
      <c r="B737" s="32"/>
      <c r="C737" s="31"/>
      <c r="D737" s="31"/>
    </row>
    <row r="738" spans="2:4" s="27" customFormat="1">
      <c r="B738" s="32"/>
      <c r="C738" s="31"/>
      <c r="D738" s="31"/>
    </row>
    <row r="739" spans="2:4" s="27" customFormat="1">
      <c r="B739" s="32"/>
      <c r="C739" s="31"/>
      <c r="D739" s="31"/>
    </row>
    <row r="740" spans="2:4" s="27" customFormat="1">
      <c r="B740" s="32"/>
      <c r="C740" s="31"/>
      <c r="D740" s="31"/>
    </row>
    <row r="741" spans="2:4" s="27" customFormat="1">
      <c r="B741" s="32"/>
      <c r="C741" s="31"/>
      <c r="D741" s="31"/>
    </row>
    <row r="742" spans="2:4" s="27" customFormat="1">
      <c r="B742" s="32"/>
      <c r="C742" s="31"/>
      <c r="D742" s="31"/>
    </row>
    <row r="743" spans="2:4" s="27" customFormat="1">
      <c r="B743" s="32"/>
      <c r="C743" s="31"/>
      <c r="D743" s="31"/>
    </row>
    <row r="744" spans="2:4" s="27" customFormat="1">
      <c r="B744" s="32"/>
      <c r="C744" s="31"/>
      <c r="D744" s="31"/>
    </row>
    <row r="745" spans="2:4" s="27" customFormat="1">
      <c r="B745" s="32"/>
      <c r="C745" s="31"/>
      <c r="D745" s="31"/>
    </row>
    <row r="746" spans="2:4" s="27" customFormat="1">
      <c r="B746" s="32"/>
      <c r="C746" s="31"/>
      <c r="D746" s="31"/>
    </row>
    <row r="747" spans="2:4" s="27" customFormat="1">
      <c r="B747" s="32"/>
      <c r="C747" s="31"/>
      <c r="D747" s="31"/>
    </row>
    <row r="748" spans="2:4" s="27" customFormat="1">
      <c r="B748" s="32"/>
      <c r="C748" s="31"/>
      <c r="D748" s="31"/>
    </row>
    <row r="749" spans="2:4" s="27" customFormat="1">
      <c r="B749" s="32"/>
      <c r="C749" s="31"/>
      <c r="D749" s="31"/>
    </row>
    <row r="750" spans="2:4" s="27" customFormat="1">
      <c r="B750" s="32"/>
      <c r="C750" s="31"/>
      <c r="D750" s="31"/>
    </row>
    <row r="751" spans="2:4" s="27" customFormat="1">
      <c r="B751" s="32"/>
      <c r="C751" s="31"/>
      <c r="D751" s="31"/>
    </row>
    <row r="752" spans="2:4" s="27" customFormat="1">
      <c r="B752" s="32"/>
      <c r="C752" s="31"/>
      <c r="D752" s="31"/>
    </row>
    <row r="753" spans="2:4" s="27" customFormat="1">
      <c r="B753" s="32"/>
      <c r="C753" s="31"/>
      <c r="D753" s="31"/>
    </row>
    <row r="754" spans="2:4" s="27" customFormat="1">
      <c r="B754" s="32"/>
      <c r="C754" s="31"/>
      <c r="D754" s="31"/>
    </row>
    <row r="755" spans="2:4" s="27" customFormat="1">
      <c r="B755" s="32"/>
      <c r="C755" s="31"/>
      <c r="D755" s="31"/>
    </row>
    <row r="756" spans="2:4" s="27" customFormat="1">
      <c r="B756" s="32"/>
      <c r="C756" s="31"/>
      <c r="D756" s="31"/>
    </row>
    <row r="757" spans="2:4" s="27" customFormat="1">
      <c r="B757" s="32"/>
      <c r="C757" s="31"/>
      <c r="D757" s="31"/>
    </row>
    <row r="758" spans="2:4" s="27" customFormat="1">
      <c r="B758" s="32"/>
      <c r="C758" s="31"/>
      <c r="D758" s="31"/>
    </row>
    <row r="759" spans="2:4" s="27" customFormat="1">
      <c r="B759" s="32"/>
      <c r="C759" s="31"/>
      <c r="D759" s="31"/>
    </row>
    <row r="760" spans="2:4" s="27" customFormat="1">
      <c r="B760" s="32"/>
      <c r="C760" s="31"/>
      <c r="D760" s="31"/>
    </row>
    <row r="761" spans="2:4" s="27" customFormat="1">
      <c r="B761" s="32"/>
      <c r="C761" s="31"/>
      <c r="D761" s="31"/>
    </row>
    <row r="762" spans="2:4" s="27" customFormat="1">
      <c r="B762" s="32"/>
      <c r="C762" s="31"/>
      <c r="D762" s="31"/>
    </row>
    <row r="763" spans="2:4" s="27" customFormat="1">
      <c r="B763" s="32"/>
      <c r="C763" s="31"/>
      <c r="D763" s="31"/>
    </row>
    <row r="764" spans="2:4" s="27" customFormat="1">
      <c r="B764" s="32"/>
      <c r="C764" s="31"/>
      <c r="D764" s="31"/>
    </row>
    <row r="765" spans="2:4" s="27" customFormat="1">
      <c r="B765" s="32"/>
      <c r="C765" s="31"/>
      <c r="D765" s="31"/>
    </row>
    <row r="766" spans="2:4" s="27" customFormat="1">
      <c r="B766" s="32"/>
      <c r="C766" s="31"/>
      <c r="D766" s="31"/>
    </row>
    <row r="767" spans="2:4" s="27" customFormat="1">
      <c r="B767" s="32"/>
      <c r="C767" s="31"/>
      <c r="D767" s="31"/>
    </row>
    <row r="768" spans="2:4" s="27" customFormat="1">
      <c r="B768" s="32"/>
      <c r="C768" s="31"/>
      <c r="D768" s="31"/>
    </row>
    <row r="769" spans="2:4" s="27" customFormat="1">
      <c r="B769" s="32"/>
      <c r="C769" s="31"/>
      <c r="D769" s="31"/>
    </row>
    <row r="770" spans="2:4" s="27" customFormat="1">
      <c r="B770" s="32"/>
      <c r="C770" s="31"/>
      <c r="D770" s="31"/>
    </row>
    <row r="771" spans="2:4" s="27" customFormat="1">
      <c r="B771" s="32"/>
      <c r="C771" s="31"/>
      <c r="D771" s="31"/>
    </row>
    <row r="772" spans="2:4" s="27" customFormat="1">
      <c r="B772" s="32"/>
      <c r="C772" s="31"/>
      <c r="D772" s="31"/>
    </row>
    <row r="773" spans="2:4" s="27" customFormat="1">
      <c r="B773" s="32"/>
      <c r="C773" s="31"/>
      <c r="D773" s="31"/>
    </row>
    <row r="774" spans="2:4" s="27" customFormat="1">
      <c r="B774" s="32"/>
      <c r="C774" s="31"/>
      <c r="D774" s="31"/>
    </row>
    <row r="775" spans="2:4" s="27" customFormat="1">
      <c r="B775" s="32"/>
      <c r="C775" s="31"/>
      <c r="D775" s="31"/>
    </row>
    <row r="776" spans="2:4" s="27" customFormat="1">
      <c r="B776" s="32"/>
      <c r="C776" s="31"/>
      <c r="D776" s="31"/>
    </row>
    <row r="777" spans="2:4" s="27" customFormat="1">
      <c r="B777" s="32"/>
      <c r="C777" s="31"/>
      <c r="D777" s="31"/>
    </row>
    <row r="778" spans="2:4" s="27" customFormat="1">
      <c r="B778" s="32"/>
      <c r="C778" s="31"/>
      <c r="D778" s="31"/>
    </row>
    <row r="779" spans="2:4" s="27" customFormat="1">
      <c r="B779" s="32"/>
      <c r="C779" s="31"/>
      <c r="D779" s="31"/>
    </row>
    <row r="780" spans="2:4" s="27" customFormat="1">
      <c r="B780" s="32"/>
      <c r="C780" s="31"/>
      <c r="D780" s="31"/>
    </row>
    <row r="781" spans="2:4" s="27" customFormat="1">
      <c r="B781" s="32"/>
      <c r="C781" s="31"/>
      <c r="D781" s="31"/>
    </row>
    <row r="782" spans="2:4" s="27" customFormat="1">
      <c r="B782" s="32"/>
      <c r="C782" s="31"/>
      <c r="D782" s="31"/>
    </row>
    <row r="783" spans="2:4" s="27" customFormat="1">
      <c r="B783" s="32"/>
      <c r="C783" s="31"/>
      <c r="D783" s="31"/>
    </row>
    <row r="784" spans="2:4" s="27" customFormat="1">
      <c r="B784" s="32"/>
      <c r="C784" s="31"/>
      <c r="D784" s="31"/>
    </row>
    <row r="785" spans="2:4" s="27" customFormat="1">
      <c r="B785" s="32"/>
      <c r="C785" s="31"/>
      <c r="D785" s="31"/>
    </row>
    <row r="786" spans="2:4" s="27" customFormat="1">
      <c r="B786" s="32"/>
      <c r="C786" s="31"/>
      <c r="D786" s="31"/>
    </row>
    <row r="787" spans="2:4" s="27" customFormat="1">
      <c r="B787" s="32"/>
      <c r="C787" s="31"/>
      <c r="D787" s="31"/>
    </row>
    <row r="788" spans="2:4" s="27" customFormat="1">
      <c r="B788" s="32"/>
      <c r="C788" s="31"/>
      <c r="D788" s="31"/>
    </row>
    <row r="789" spans="2:4" s="27" customFormat="1">
      <c r="B789" s="32"/>
      <c r="C789" s="31"/>
      <c r="D789" s="31"/>
    </row>
    <row r="790" spans="2:4" s="27" customFormat="1">
      <c r="B790" s="32"/>
      <c r="C790" s="31"/>
      <c r="D790" s="31"/>
    </row>
    <row r="791" spans="2:4" s="27" customFormat="1">
      <c r="B791" s="32"/>
      <c r="C791" s="31"/>
      <c r="D791" s="31"/>
    </row>
    <row r="792" spans="2:4" s="27" customFormat="1">
      <c r="B792" s="32"/>
      <c r="C792" s="31"/>
      <c r="D792" s="31"/>
    </row>
    <row r="793" spans="2:4" s="27" customFormat="1">
      <c r="B793" s="32"/>
      <c r="C793" s="31"/>
      <c r="D793" s="31"/>
    </row>
    <row r="794" spans="2:4" s="27" customFormat="1">
      <c r="B794" s="32"/>
      <c r="C794" s="31"/>
      <c r="D794" s="31"/>
    </row>
    <row r="795" spans="2:4" s="27" customFormat="1">
      <c r="B795" s="32"/>
      <c r="C795" s="31"/>
      <c r="D795" s="31"/>
    </row>
    <row r="796" spans="2:4" s="27" customFormat="1">
      <c r="B796" s="32"/>
      <c r="C796" s="31"/>
      <c r="D796" s="31"/>
    </row>
    <row r="797" spans="2:4" s="27" customFormat="1">
      <c r="B797" s="32"/>
      <c r="C797" s="31"/>
      <c r="D797" s="31"/>
    </row>
    <row r="798" spans="2:4" s="27" customFormat="1">
      <c r="B798" s="32"/>
      <c r="C798" s="31"/>
      <c r="D798" s="31"/>
    </row>
    <row r="799" spans="2:4" s="27" customFormat="1">
      <c r="B799" s="32"/>
      <c r="C799" s="31"/>
      <c r="D799" s="31"/>
    </row>
    <row r="800" spans="2:4" s="27" customFormat="1">
      <c r="B800" s="32"/>
      <c r="C800" s="31"/>
      <c r="D800" s="31"/>
    </row>
    <row r="801" spans="2:4" s="27" customFormat="1">
      <c r="B801" s="32"/>
      <c r="C801" s="31"/>
      <c r="D801" s="31"/>
    </row>
    <row r="802" spans="2:4" s="27" customFormat="1">
      <c r="B802" s="32"/>
      <c r="C802" s="31"/>
      <c r="D802" s="31"/>
    </row>
    <row r="803" spans="2:4" s="27" customFormat="1">
      <c r="B803" s="32"/>
      <c r="C803" s="31"/>
      <c r="D803" s="31"/>
    </row>
    <row r="804" spans="2:4" s="27" customFormat="1">
      <c r="B804" s="32"/>
      <c r="C804" s="31"/>
      <c r="D804" s="31"/>
    </row>
    <row r="805" spans="2:4" s="27" customFormat="1">
      <c r="B805" s="32"/>
      <c r="C805" s="31"/>
      <c r="D805" s="31"/>
    </row>
    <row r="806" spans="2:4" s="27" customFormat="1">
      <c r="B806" s="32"/>
      <c r="C806" s="31"/>
      <c r="D806" s="31"/>
    </row>
    <row r="807" spans="2:4" s="27" customFormat="1">
      <c r="B807" s="32"/>
      <c r="C807" s="31"/>
      <c r="D807" s="31"/>
    </row>
    <row r="808" spans="2:4" s="27" customFormat="1">
      <c r="B808" s="32"/>
      <c r="C808" s="31"/>
      <c r="D808" s="31"/>
    </row>
    <row r="809" spans="2:4" s="27" customFormat="1">
      <c r="B809" s="32"/>
      <c r="C809" s="31"/>
      <c r="D809" s="31"/>
    </row>
    <row r="810" spans="2:4" s="27" customFormat="1">
      <c r="B810" s="32"/>
      <c r="C810" s="31"/>
      <c r="D810" s="31"/>
    </row>
    <row r="811" spans="2:4" s="27" customFormat="1">
      <c r="B811" s="32"/>
      <c r="C811" s="31"/>
      <c r="D811" s="31"/>
    </row>
    <row r="812" spans="2:4" s="27" customFormat="1">
      <c r="B812" s="32"/>
      <c r="C812" s="31"/>
      <c r="D812" s="31"/>
    </row>
    <row r="813" spans="2:4" s="27" customFormat="1">
      <c r="B813" s="32"/>
      <c r="C813" s="31"/>
      <c r="D813" s="31"/>
    </row>
    <row r="814" spans="2:4" s="27" customFormat="1">
      <c r="B814" s="32"/>
      <c r="C814" s="31"/>
      <c r="D814" s="31"/>
    </row>
    <row r="815" spans="2:4" s="27" customFormat="1">
      <c r="B815" s="32"/>
      <c r="C815" s="31"/>
      <c r="D815" s="31"/>
    </row>
    <row r="816" spans="2:4" s="27" customFormat="1">
      <c r="B816" s="32"/>
      <c r="C816" s="31"/>
      <c r="D816" s="31"/>
    </row>
    <row r="817" spans="2:4" s="27" customFormat="1">
      <c r="B817" s="32"/>
      <c r="C817" s="31"/>
      <c r="D817" s="31"/>
    </row>
    <row r="818" spans="2:4" s="27" customFormat="1">
      <c r="B818" s="32"/>
      <c r="C818" s="31"/>
      <c r="D818" s="31"/>
    </row>
    <row r="819" spans="2:4" s="27" customFormat="1">
      <c r="B819" s="32"/>
      <c r="C819" s="31"/>
      <c r="D819" s="31"/>
    </row>
    <row r="820" spans="2:4" s="27" customFormat="1">
      <c r="B820" s="32"/>
      <c r="C820" s="31"/>
      <c r="D820" s="31"/>
    </row>
    <row r="821" spans="2:4" s="27" customFormat="1">
      <c r="B821" s="32"/>
      <c r="C821" s="31"/>
      <c r="D821" s="31"/>
    </row>
    <row r="822" spans="2:4" s="27" customFormat="1">
      <c r="B822" s="32"/>
      <c r="C822" s="31"/>
      <c r="D822" s="31"/>
    </row>
    <row r="823" spans="2:4" s="27" customFormat="1">
      <c r="B823" s="32"/>
      <c r="C823" s="31"/>
      <c r="D823" s="31"/>
    </row>
    <row r="824" spans="2:4" s="27" customFormat="1">
      <c r="B824" s="32"/>
      <c r="C824" s="31"/>
      <c r="D824" s="31"/>
    </row>
    <row r="825" spans="2:4" s="27" customFormat="1">
      <c r="B825" s="32"/>
      <c r="C825" s="31"/>
      <c r="D825" s="31"/>
    </row>
    <row r="826" spans="2:4" s="27" customFormat="1">
      <c r="B826" s="32"/>
      <c r="C826" s="31"/>
      <c r="D826" s="31"/>
    </row>
    <row r="827" spans="2:4" s="27" customFormat="1">
      <c r="B827" s="32"/>
      <c r="C827" s="31"/>
      <c r="D827" s="31"/>
    </row>
    <row r="828" spans="2:4" s="27" customFormat="1">
      <c r="B828" s="32"/>
      <c r="C828" s="31"/>
      <c r="D828" s="31"/>
    </row>
    <row r="829" spans="2:4" s="27" customFormat="1">
      <c r="B829" s="32"/>
      <c r="C829" s="31"/>
      <c r="D829" s="31"/>
    </row>
    <row r="830" spans="2:4" s="27" customFormat="1">
      <c r="B830" s="32"/>
      <c r="C830" s="31"/>
      <c r="D830" s="31"/>
    </row>
    <row r="831" spans="2:4" s="27" customFormat="1">
      <c r="B831" s="32"/>
      <c r="C831" s="31"/>
      <c r="D831" s="31"/>
    </row>
    <row r="832" spans="2:4" s="27" customFormat="1">
      <c r="B832" s="32"/>
      <c r="C832" s="31"/>
      <c r="D832" s="31"/>
    </row>
    <row r="833" spans="2:4" s="27" customFormat="1">
      <c r="B833" s="32"/>
      <c r="C833" s="31"/>
      <c r="D833" s="31"/>
    </row>
    <row r="834" spans="2:4" s="27" customFormat="1">
      <c r="B834" s="32"/>
      <c r="C834" s="31"/>
      <c r="D834" s="31"/>
    </row>
    <row r="835" spans="2:4" s="27" customFormat="1">
      <c r="B835" s="32"/>
      <c r="C835" s="31"/>
      <c r="D835" s="31"/>
    </row>
    <row r="836" spans="2:4" s="27" customFormat="1">
      <c r="B836" s="32"/>
      <c r="C836" s="31"/>
      <c r="D836" s="31"/>
    </row>
    <row r="837" spans="2:4" s="27" customFormat="1">
      <c r="B837" s="32"/>
      <c r="C837" s="31"/>
      <c r="D837" s="31"/>
    </row>
    <row r="838" spans="2:4" s="27" customFormat="1">
      <c r="B838" s="32"/>
      <c r="C838" s="31"/>
      <c r="D838" s="31"/>
    </row>
    <row r="839" spans="2:4" s="27" customFormat="1">
      <c r="B839" s="32"/>
      <c r="C839" s="31"/>
      <c r="D839" s="31"/>
    </row>
    <row r="840" spans="2:4" s="27" customFormat="1">
      <c r="B840" s="32"/>
      <c r="C840" s="31"/>
      <c r="D840" s="31"/>
    </row>
    <row r="841" spans="2:4" s="27" customFormat="1">
      <c r="B841" s="32"/>
      <c r="C841" s="31"/>
      <c r="D841" s="31"/>
    </row>
    <row r="842" spans="2:4" s="27" customFormat="1">
      <c r="B842" s="32"/>
      <c r="C842" s="31"/>
      <c r="D842" s="31"/>
    </row>
    <row r="843" spans="2:4" s="27" customFormat="1">
      <c r="B843" s="32"/>
      <c r="C843" s="31"/>
      <c r="D843" s="31"/>
    </row>
    <row r="844" spans="2:4" s="27" customFormat="1">
      <c r="B844" s="32"/>
      <c r="C844" s="31"/>
      <c r="D844" s="31"/>
    </row>
    <row r="845" spans="2:4" s="27" customFormat="1">
      <c r="B845" s="32"/>
      <c r="C845" s="31"/>
      <c r="D845" s="31"/>
    </row>
    <row r="846" spans="2:4" s="27" customFormat="1">
      <c r="B846" s="32"/>
      <c r="C846" s="31"/>
      <c r="D846" s="31"/>
    </row>
    <row r="847" spans="2:4" s="27" customFormat="1">
      <c r="B847" s="32"/>
      <c r="C847" s="31"/>
      <c r="D847" s="31"/>
    </row>
    <row r="848" spans="2:4" s="27" customFormat="1">
      <c r="B848" s="32"/>
      <c r="C848" s="31"/>
      <c r="D848" s="31"/>
    </row>
    <row r="849" spans="2:4" s="27" customFormat="1">
      <c r="B849" s="32"/>
      <c r="C849" s="31"/>
      <c r="D849" s="31"/>
    </row>
    <row r="850" spans="2:4" s="27" customFormat="1">
      <c r="B850" s="32"/>
      <c r="C850" s="31"/>
      <c r="D850" s="31"/>
    </row>
    <row r="851" spans="2:4" s="27" customFormat="1">
      <c r="B851" s="32"/>
      <c r="C851" s="31"/>
      <c r="D851" s="31"/>
    </row>
    <row r="852" spans="2:4" s="27" customFormat="1">
      <c r="B852" s="32"/>
      <c r="C852" s="31"/>
      <c r="D852" s="31"/>
    </row>
    <row r="853" spans="2:4" s="27" customFormat="1">
      <c r="B853" s="32"/>
      <c r="C853" s="31"/>
      <c r="D853" s="31"/>
    </row>
    <row r="854" spans="2:4" s="27" customFormat="1">
      <c r="B854" s="32"/>
      <c r="C854" s="31"/>
      <c r="D854" s="31"/>
    </row>
    <row r="855" spans="2:4" s="27" customFormat="1">
      <c r="B855" s="32"/>
      <c r="C855" s="31"/>
      <c r="D855" s="31"/>
    </row>
    <row r="856" spans="2:4" s="27" customFormat="1">
      <c r="B856" s="32"/>
      <c r="C856" s="31"/>
      <c r="D856" s="31"/>
    </row>
    <row r="857" spans="2:4" s="27" customFormat="1">
      <c r="B857" s="32"/>
      <c r="C857" s="31"/>
      <c r="D857" s="31"/>
    </row>
    <row r="858" spans="2:4" s="27" customFormat="1">
      <c r="B858" s="32"/>
      <c r="C858" s="31"/>
      <c r="D858" s="31"/>
    </row>
    <row r="859" spans="2:4" s="27" customFormat="1">
      <c r="B859" s="32"/>
      <c r="C859" s="31"/>
      <c r="D859" s="31"/>
    </row>
    <row r="860" spans="2:4" s="27" customFormat="1">
      <c r="B860" s="32"/>
      <c r="C860" s="31"/>
      <c r="D860" s="31"/>
    </row>
    <row r="861" spans="2:4" s="27" customFormat="1">
      <c r="B861" s="32"/>
      <c r="C861" s="31"/>
      <c r="D861" s="31"/>
    </row>
    <row r="862" spans="2:4" s="27" customFormat="1">
      <c r="B862" s="32"/>
      <c r="C862" s="31"/>
      <c r="D862" s="31"/>
    </row>
    <row r="863" spans="2:4" s="27" customFormat="1">
      <c r="B863" s="32"/>
      <c r="C863" s="31"/>
      <c r="D863" s="31"/>
    </row>
    <row r="864" spans="2:4" s="27" customFormat="1">
      <c r="B864" s="32"/>
      <c r="C864" s="31"/>
      <c r="D864" s="31"/>
    </row>
    <row r="865" spans="2:4" s="27" customFormat="1">
      <c r="B865" s="32"/>
      <c r="C865" s="31"/>
      <c r="D865" s="31"/>
    </row>
    <row r="866" spans="2:4" s="27" customFormat="1">
      <c r="B866" s="32"/>
      <c r="C866" s="31"/>
      <c r="D866" s="31"/>
    </row>
    <row r="867" spans="2:4" s="27" customFormat="1">
      <c r="B867" s="32"/>
      <c r="C867" s="31"/>
      <c r="D867" s="31"/>
    </row>
    <row r="868" spans="2:4" s="27" customFormat="1">
      <c r="B868" s="32"/>
      <c r="C868" s="31"/>
      <c r="D868" s="31"/>
    </row>
    <row r="869" spans="2:4" s="27" customFormat="1">
      <c r="B869" s="32"/>
      <c r="C869" s="31"/>
      <c r="D869" s="31"/>
    </row>
    <row r="870" spans="2:4" s="27" customFormat="1">
      <c r="B870" s="32"/>
      <c r="C870" s="31"/>
      <c r="D870" s="31"/>
    </row>
    <row r="871" spans="2:4" s="27" customFormat="1">
      <c r="B871" s="32"/>
      <c r="C871" s="31"/>
      <c r="D871" s="31"/>
    </row>
    <row r="872" spans="2:4" s="27" customFormat="1">
      <c r="B872" s="32"/>
      <c r="C872" s="31"/>
      <c r="D872" s="31"/>
    </row>
    <row r="873" spans="2:4" s="27" customFormat="1">
      <c r="B873" s="32"/>
      <c r="C873" s="31"/>
      <c r="D873" s="31"/>
    </row>
    <row r="874" spans="2:4" s="27" customFormat="1">
      <c r="B874" s="32"/>
      <c r="C874" s="31"/>
      <c r="D874" s="31"/>
    </row>
    <row r="875" spans="2:4" s="27" customFormat="1">
      <c r="B875" s="32"/>
      <c r="C875" s="31"/>
      <c r="D875" s="31"/>
    </row>
    <row r="876" spans="2:4" s="27" customFormat="1">
      <c r="B876" s="32"/>
      <c r="C876" s="31"/>
      <c r="D876" s="31"/>
    </row>
    <row r="877" spans="2:4" s="27" customFormat="1">
      <c r="B877" s="32"/>
      <c r="C877" s="31"/>
      <c r="D877" s="31"/>
    </row>
    <row r="878" spans="2:4" s="27" customFormat="1">
      <c r="B878" s="32"/>
      <c r="C878" s="31"/>
      <c r="D878" s="31"/>
    </row>
    <row r="879" spans="2:4" s="27" customFormat="1">
      <c r="B879" s="32"/>
      <c r="C879" s="31"/>
      <c r="D879" s="31"/>
    </row>
    <row r="880" spans="2:4" s="27" customFormat="1">
      <c r="B880" s="32"/>
      <c r="C880" s="31"/>
      <c r="D880" s="31"/>
    </row>
    <row r="881" spans="2:4" s="27" customFormat="1">
      <c r="B881" s="32"/>
      <c r="C881" s="31"/>
      <c r="D881" s="31"/>
    </row>
    <row r="882" spans="2:4" s="27" customFormat="1">
      <c r="B882" s="32"/>
      <c r="C882" s="31"/>
      <c r="D882" s="31"/>
    </row>
    <row r="883" spans="2:4" s="27" customFormat="1">
      <c r="B883" s="32"/>
      <c r="C883" s="31"/>
      <c r="D883" s="31"/>
    </row>
    <row r="884" spans="2:4" s="27" customFormat="1">
      <c r="B884" s="32"/>
      <c r="C884" s="31"/>
      <c r="D884" s="31"/>
    </row>
    <row r="885" spans="2:4" s="27" customFormat="1">
      <c r="B885" s="32"/>
      <c r="C885" s="31"/>
      <c r="D885" s="31"/>
    </row>
    <row r="886" spans="2:4" s="27" customFormat="1">
      <c r="B886" s="32"/>
      <c r="C886" s="31"/>
      <c r="D886" s="31"/>
    </row>
    <row r="887" spans="2:4" s="27" customFormat="1">
      <c r="B887" s="32"/>
      <c r="C887" s="31"/>
      <c r="D887" s="31"/>
    </row>
    <row r="888" spans="2:4" s="27" customFormat="1">
      <c r="B888" s="32"/>
      <c r="C888" s="31"/>
      <c r="D888" s="31"/>
    </row>
    <row r="889" spans="2:4" s="27" customFormat="1">
      <c r="B889" s="32"/>
      <c r="C889" s="31"/>
      <c r="D889" s="31"/>
    </row>
    <row r="890" spans="2:4" s="27" customFormat="1">
      <c r="B890" s="32"/>
      <c r="C890" s="31"/>
      <c r="D890" s="31"/>
    </row>
    <row r="891" spans="2:4" s="27" customFormat="1">
      <c r="B891" s="32"/>
      <c r="C891" s="31"/>
      <c r="D891" s="31"/>
    </row>
    <row r="892" spans="2:4" s="27" customFormat="1">
      <c r="B892" s="32"/>
      <c r="C892" s="31"/>
      <c r="D892" s="31"/>
    </row>
    <row r="893" spans="2:4" s="27" customFormat="1">
      <c r="B893" s="32"/>
      <c r="C893" s="31"/>
      <c r="D893" s="31"/>
    </row>
    <row r="894" spans="2:4" s="27" customFormat="1">
      <c r="B894" s="32"/>
      <c r="C894" s="31"/>
      <c r="D894" s="31"/>
    </row>
    <row r="895" spans="2:4" s="27" customFormat="1">
      <c r="B895" s="32"/>
      <c r="C895" s="31"/>
      <c r="D895" s="31"/>
    </row>
    <row r="896" spans="2:4" s="27" customFormat="1">
      <c r="B896" s="32"/>
      <c r="C896" s="31"/>
      <c r="D896" s="31"/>
    </row>
    <row r="897" spans="2:4" s="27" customFormat="1">
      <c r="B897" s="32"/>
      <c r="C897" s="31"/>
      <c r="D897" s="31"/>
    </row>
    <row r="898" spans="2:4" s="27" customFormat="1">
      <c r="B898" s="32"/>
      <c r="C898" s="31"/>
      <c r="D898" s="31"/>
    </row>
    <row r="899" spans="2:4" s="27" customFormat="1">
      <c r="B899" s="32"/>
      <c r="C899" s="31"/>
      <c r="D899" s="31"/>
    </row>
    <row r="900" spans="2:4" s="27" customFormat="1">
      <c r="B900" s="32"/>
      <c r="C900" s="31"/>
      <c r="D900" s="31"/>
    </row>
    <row r="901" spans="2:4" s="27" customFormat="1">
      <c r="B901" s="32"/>
      <c r="C901" s="31"/>
      <c r="D901" s="31"/>
    </row>
    <row r="902" spans="2:4" s="27" customFormat="1">
      <c r="B902" s="32"/>
      <c r="C902" s="31"/>
      <c r="D902" s="31"/>
    </row>
    <row r="903" spans="2:4" s="27" customFormat="1">
      <c r="B903" s="32"/>
      <c r="C903" s="31"/>
      <c r="D903" s="31"/>
    </row>
    <row r="904" spans="2:4" s="27" customFormat="1">
      <c r="B904" s="32"/>
      <c r="C904" s="31"/>
      <c r="D904" s="31"/>
    </row>
    <row r="905" spans="2:4" s="27" customFormat="1">
      <c r="B905" s="32"/>
      <c r="C905" s="31"/>
      <c r="D905" s="31"/>
    </row>
    <row r="906" spans="2:4" s="27" customFormat="1">
      <c r="B906" s="32"/>
      <c r="C906" s="31"/>
      <c r="D906" s="31"/>
    </row>
    <row r="907" spans="2:4" s="27" customFormat="1">
      <c r="B907" s="32"/>
      <c r="C907" s="31"/>
      <c r="D907" s="31"/>
    </row>
    <row r="908" spans="2:4" s="27" customFormat="1">
      <c r="B908" s="32"/>
      <c r="C908" s="31"/>
      <c r="D908" s="31"/>
    </row>
    <row r="909" spans="2:4" s="27" customFormat="1">
      <c r="B909" s="32"/>
      <c r="C909" s="31"/>
      <c r="D909" s="31"/>
    </row>
    <row r="910" spans="2:4" s="27" customFormat="1">
      <c r="B910" s="32"/>
      <c r="C910" s="31"/>
      <c r="D910" s="31"/>
    </row>
    <row r="911" spans="2:4" s="27" customFormat="1">
      <c r="B911" s="32"/>
      <c r="C911" s="31"/>
      <c r="D911" s="31"/>
    </row>
    <row r="912" spans="2:4" s="27" customFormat="1">
      <c r="B912" s="32"/>
      <c r="C912" s="31"/>
      <c r="D912" s="31"/>
    </row>
    <row r="913" spans="2:4" s="27" customFormat="1">
      <c r="B913" s="32"/>
      <c r="C913" s="31"/>
      <c r="D913" s="31"/>
    </row>
    <row r="914" spans="2:4" s="27" customFormat="1">
      <c r="B914" s="32"/>
      <c r="C914" s="31"/>
      <c r="D914" s="31"/>
    </row>
    <row r="915" spans="2:4" s="27" customFormat="1">
      <c r="B915" s="32"/>
      <c r="C915" s="31"/>
      <c r="D915" s="31"/>
    </row>
    <row r="916" spans="2:4" s="27" customFormat="1">
      <c r="B916" s="32"/>
      <c r="C916" s="31"/>
      <c r="D916" s="31"/>
    </row>
    <row r="917" spans="2:4" s="27" customFormat="1">
      <c r="B917" s="32"/>
      <c r="C917" s="31"/>
      <c r="D917" s="31"/>
    </row>
    <row r="918" spans="2:4" s="27" customFormat="1">
      <c r="B918" s="32"/>
      <c r="C918" s="31"/>
      <c r="D918" s="31"/>
    </row>
    <row r="919" spans="2:4" s="27" customFormat="1">
      <c r="B919" s="32"/>
      <c r="C919" s="31"/>
      <c r="D919" s="31"/>
    </row>
    <row r="920" spans="2:4" s="27" customFormat="1">
      <c r="B920" s="32"/>
      <c r="C920" s="31"/>
      <c r="D920" s="31"/>
    </row>
    <row r="921" spans="2:4" s="27" customFormat="1">
      <c r="B921" s="32"/>
      <c r="C921" s="31"/>
      <c r="D921" s="31"/>
    </row>
    <row r="922" spans="2:4" s="27" customFormat="1">
      <c r="B922" s="32"/>
      <c r="C922" s="31"/>
      <c r="D922" s="31"/>
    </row>
    <row r="923" spans="2:4" s="27" customFormat="1">
      <c r="B923" s="32"/>
      <c r="C923" s="31"/>
      <c r="D923" s="31"/>
    </row>
    <row r="924" spans="2:4" s="27" customFormat="1">
      <c r="B924" s="32"/>
      <c r="C924" s="31"/>
      <c r="D924" s="31"/>
    </row>
    <row r="925" spans="2:4" s="27" customFormat="1">
      <c r="B925" s="32"/>
      <c r="C925" s="31"/>
      <c r="D925" s="31"/>
    </row>
    <row r="926" spans="2:4" s="27" customFormat="1">
      <c r="B926" s="32"/>
      <c r="C926" s="31"/>
      <c r="D926" s="31"/>
    </row>
    <row r="927" spans="2:4" s="27" customFormat="1">
      <c r="B927" s="32"/>
      <c r="C927" s="31"/>
      <c r="D927" s="31"/>
    </row>
    <row r="928" spans="2:4" s="27" customFormat="1">
      <c r="B928" s="32"/>
      <c r="C928" s="31"/>
      <c r="D928" s="31"/>
    </row>
    <row r="929" spans="2:4" s="27" customFormat="1">
      <c r="B929" s="32"/>
      <c r="C929" s="31"/>
      <c r="D929" s="31"/>
    </row>
    <row r="930" spans="2:4" s="27" customFormat="1">
      <c r="B930" s="32"/>
      <c r="C930" s="31"/>
      <c r="D930" s="31"/>
    </row>
    <row r="931" spans="2:4" s="27" customFormat="1">
      <c r="B931" s="32"/>
      <c r="C931" s="31"/>
      <c r="D931" s="31"/>
    </row>
    <row r="932" spans="2:4" s="27" customFormat="1">
      <c r="B932" s="32"/>
      <c r="C932" s="31"/>
      <c r="D932" s="31"/>
    </row>
    <row r="933" spans="2:4" s="27" customFormat="1">
      <c r="B933" s="32"/>
      <c r="C933" s="31"/>
      <c r="D933" s="31"/>
    </row>
    <row r="934" spans="2:4" s="27" customFormat="1">
      <c r="B934" s="32"/>
      <c r="C934" s="31"/>
      <c r="D934" s="31"/>
    </row>
    <row r="935" spans="2:4" s="27" customFormat="1">
      <c r="B935" s="32"/>
      <c r="C935" s="31"/>
      <c r="D935" s="31"/>
    </row>
    <row r="936" spans="2:4" s="27" customFormat="1">
      <c r="B936" s="32"/>
      <c r="C936" s="31"/>
      <c r="D936" s="31"/>
    </row>
    <row r="937" spans="2:4" s="27" customFormat="1">
      <c r="B937" s="32"/>
      <c r="C937" s="31"/>
      <c r="D937" s="31"/>
    </row>
    <row r="938" spans="2:4" s="27" customFormat="1">
      <c r="B938" s="32"/>
      <c r="C938" s="31"/>
      <c r="D938" s="31"/>
    </row>
    <row r="939" spans="2:4" s="27" customFormat="1">
      <c r="B939" s="32"/>
      <c r="C939" s="31"/>
      <c r="D939" s="31"/>
    </row>
    <row r="940" spans="2:4" s="27" customFormat="1">
      <c r="B940" s="32"/>
      <c r="C940" s="31"/>
      <c r="D940" s="31"/>
    </row>
    <row r="941" spans="2:4" s="27" customFormat="1">
      <c r="B941" s="32"/>
      <c r="C941" s="31"/>
      <c r="D941" s="31"/>
    </row>
    <row r="942" spans="2:4" s="27" customFormat="1">
      <c r="B942" s="32"/>
      <c r="C942" s="31"/>
      <c r="D942" s="31"/>
    </row>
    <row r="943" spans="2:4" s="27" customFormat="1">
      <c r="B943" s="32"/>
      <c r="C943" s="31"/>
      <c r="D943" s="31"/>
    </row>
    <row r="944" spans="2:4" s="27" customFormat="1">
      <c r="B944" s="32"/>
      <c r="C944" s="31"/>
      <c r="D944" s="31"/>
    </row>
    <row r="945" spans="2:4" s="27" customFormat="1">
      <c r="B945" s="32"/>
      <c r="C945" s="31"/>
      <c r="D945" s="31"/>
    </row>
    <row r="946" spans="2:4" s="27" customFormat="1">
      <c r="B946" s="32"/>
      <c r="C946" s="31"/>
      <c r="D946" s="31"/>
    </row>
    <row r="947" spans="2:4" s="27" customFormat="1">
      <c r="B947" s="32"/>
      <c r="C947" s="31"/>
      <c r="D947" s="31"/>
    </row>
    <row r="948" spans="2:4" s="27" customFormat="1">
      <c r="B948" s="32"/>
      <c r="C948" s="31"/>
      <c r="D948" s="31"/>
    </row>
    <row r="949" spans="2:4" s="27" customFormat="1">
      <c r="B949" s="32"/>
      <c r="C949" s="31"/>
      <c r="D949" s="31"/>
    </row>
    <row r="950" spans="2:4" s="27" customFormat="1">
      <c r="B950" s="32"/>
      <c r="C950" s="31"/>
      <c r="D950" s="31"/>
    </row>
    <row r="951" spans="2:4" s="27" customFormat="1">
      <c r="B951" s="32"/>
      <c r="C951" s="31"/>
      <c r="D951" s="31"/>
    </row>
    <row r="952" spans="2:4" s="27" customFormat="1">
      <c r="B952" s="32"/>
      <c r="C952" s="31"/>
      <c r="D952" s="31"/>
    </row>
    <row r="953" spans="2:4" s="27" customFormat="1">
      <c r="B953" s="32"/>
      <c r="C953" s="31"/>
      <c r="D953" s="31"/>
    </row>
    <row r="954" spans="2:4" s="27" customFormat="1">
      <c r="B954" s="32"/>
      <c r="C954" s="31"/>
      <c r="D954" s="31"/>
    </row>
    <row r="955" spans="2:4" s="27" customFormat="1">
      <c r="B955" s="32"/>
      <c r="C955" s="31"/>
      <c r="D955" s="31"/>
    </row>
    <row r="956" spans="2:4" s="27" customFormat="1">
      <c r="B956" s="32"/>
      <c r="C956" s="31"/>
      <c r="D956" s="31"/>
    </row>
    <row r="957" spans="2:4" s="27" customFormat="1">
      <c r="B957" s="32"/>
      <c r="C957" s="31"/>
      <c r="D957" s="31"/>
    </row>
    <row r="958" spans="2:4" s="27" customFormat="1">
      <c r="B958" s="32"/>
      <c r="C958" s="31"/>
      <c r="D958" s="31"/>
    </row>
    <row r="959" spans="2:4" s="27" customFormat="1">
      <c r="B959" s="32"/>
      <c r="C959" s="31"/>
      <c r="D959" s="31"/>
    </row>
    <row r="960" spans="2:4" s="27" customFormat="1">
      <c r="B960" s="32"/>
      <c r="C960" s="31"/>
      <c r="D960" s="31"/>
    </row>
    <row r="961" spans="2:4" s="27" customFormat="1">
      <c r="B961" s="32"/>
      <c r="C961" s="31"/>
      <c r="D961" s="31"/>
    </row>
    <row r="962" spans="2:4" s="27" customFormat="1">
      <c r="B962" s="32"/>
      <c r="C962" s="31"/>
      <c r="D962" s="31"/>
    </row>
    <row r="963" spans="2:4" s="27" customFormat="1">
      <c r="B963" s="32"/>
      <c r="C963" s="31"/>
      <c r="D963" s="31"/>
    </row>
    <row r="964" spans="2:4" s="27" customFormat="1">
      <c r="B964" s="32"/>
      <c r="C964" s="31"/>
      <c r="D964" s="31"/>
    </row>
    <row r="965" spans="2:4" s="27" customFormat="1">
      <c r="B965" s="32"/>
      <c r="C965" s="31"/>
      <c r="D965" s="31"/>
    </row>
    <row r="966" spans="2:4" s="27" customFormat="1">
      <c r="B966" s="32"/>
      <c r="C966" s="31"/>
      <c r="D966" s="31"/>
    </row>
    <row r="967" spans="2:4" s="27" customFormat="1">
      <c r="B967" s="32"/>
      <c r="C967" s="31"/>
      <c r="D967" s="31"/>
    </row>
    <row r="968" spans="2:4" s="27" customFormat="1">
      <c r="B968" s="32"/>
      <c r="C968" s="31"/>
      <c r="D968" s="31"/>
    </row>
    <row r="969" spans="2:4" s="27" customFormat="1">
      <c r="B969" s="32"/>
      <c r="C969" s="31"/>
      <c r="D969" s="31"/>
    </row>
    <row r="970" spans="2:4" s="27" customFormat="1">
      <c r="B970" s="32"/>
      <c r="C970" s="31"/>
      <c r="D970" s="31"/>
    </row>
    <row r="971" spans="2:4" s="27" customFormat="1">
      <c r="B971" s="32"/>
      <c r="C971" s="31"/>
      <c r="D971" s="31"/>
    </row>
    <row r="972" spans="2:4" s="27" customFormat="1">
      <c r="B972" s="32"/>
      <c r="C972" s="31"/>
      <c r="D972" s="31"/>
    </row>
    <row r="973" spans="2:4" s="27" customFormat="1">
      <c r="B973" s="32"/>
      <c r="C973" s="31"/>
      <c r="D973" s="31"/>
    </row>
    <row r="974" spans="2:4" s="27" customFormat="1">
      <c r="B974" s="32"/>
      <c r="C974" s="31"/>
      <c r="D974" s="31"/>
    </row>
    <row r="975" spans="2:4" s="27" customFormat="1">
      <c r="B975" s="32"/>
      <c r="C975" s="31"/>
      <c r="D975" s="31"/>
    </row>
    <row r="976" spans="2:4" s="27" customFormat="1">
      <c r="B976" s="32"/>
      <c r="C976" s="31"/>
      <c r="D976" s="31"/>
    </row>
    <row r="977" spans="2:4" s="27" customFormat="1">
      <c r="B977" s="32"/>
      <c r="C977" s="31"/>
      <c r="D977" s="31"/>
    </row>
    <row r="978" spans="2:4" s="27" customFormat="1">
      <c r="B978" s="32"/>
      <c r="C978" s="31"/>
      <c r="D978" s="31"/>
    </row>
    <row r="979" spans="2:4" s="27" customFormat="1">
      <c r="B979" s="32"/>
      <c r="C979" s="31"/>
      <c r="D979" s="31"/>
    </row>
    <row r="980" spans="2:4" s="27" customFormat="1">
      <c r="B980" s="32"/>
      <c r="C980" s="31"/>
      <c r="D980" s="31"/>
    </row>
    <row r="981" spans="2:4" s="27" customFormat="1">
      <c r="B981" s="32"/>
      <c r="C981" s="31"/>
      <c r="D981" s="31"/>
    </row>
    <row r="982" spans="2:4" s="27" customFormat="1">
      <c r="B982" s="32"/>
      <c r="C982" s="31"/>
      <c r="D982" s="31"/>
    </row>
    <row r="983" spans="2:4" s="27" customFormat="1">
      <c r="B983" s="32"/>
      <c r="C983" s="31"/>
      <c r="D983" s="31"/>
    </row>
    <row r="984" spans="2:4" s="27" customFormat="1">
      <c r="B984" s="32"/>
      <c r="C984" s="31"/>
      <c r="D984" s="31"/>
    </row>
    <row r="985" spans="2:4" s="27" customFormat="1">
      <c r="B985" s="32"/>
      <c r="C985" s="31"/>
      <c r="D985" s="31"/>
    </row>
    <row r="986" spans="2:4" s="27" customFormat="1">
      <c r="B986" s="32"/>
      <c r="C986" s="31"/>
      <c r="D986" s="31"/>
    </row>
    <row r="987" spans="2:4" s="27" customFormat="1">
      <c r="B987" s="32"/>
      <c r="C987" s="31"/>
      <c r="D987" s="31"/>
    </row>
    <row r="988" spans="2:4" s="27" customFormat="1">
      <c r="B988" s="32"/>
      <c r="C988" s="31"/>
      <c r="D988" s="31"/>
    </row>
    <row r="989" spans="2:4" s="27" customFormat="1">
      <c r="B989" s="32"/>
      <c r="C989" s="31"/>
      <c r="D989" s="31"/>
    </row>
    <row r="990" spans="2:4" s="27" customFormat="1">
      <c r="B990" s="32"/>
      <c r="C990" s="31"/>
      <c r="D990" s="31"/>
    </row>
    <row r="991" spans="2:4" s="27" customFormat="1">
      <c r="B991" s="32"/>
      <c r="C991" s="31"/>
      <c r="D991" s="31"/>
    </row>
    <row r="992" spans="2:4" s="27" customFormat="1">
      <c r="B992" s="32"/>
      <c r="C992" s="31"/>
      <c r="D992" s="31"/>
    </row>
    <row r="993" spans="2:4" s="27" customFormat="1">
      <c r="B993" s="32"/>
      <c r="C993" s="31"/>
      <c r="D993" s="31"/>
    </row>
    <row r="994" spans="2:4" s="27" customFormat="1">
      <c r="B994" s="32"/>
      <c r="C994" s="31"/>
      <c r="D994" s="31"/>
    </row>
    <row r="995" spans="2:4" s="27" customFormat="1">
      <c r="B995" s="32"/>
      <c r="C995" s="31"/>
      <c r="D995" s="31"/>
    </row>
    <row r="996" spans="2:4" s="27" customFormat="1">
      <c r="B996" s="32"/>
      <c r="C996" s="31"/>
      <c r="D996" s="31"/>
    </row>
    <row r="997" spans="2:4" s="27" customFormat="1">
      <c r="B997" s="32"/>
      <c r="C997" s="31"/>
      <c r="D997" s="31"/>
    </row>
    <row r="998" spans="2:4" s="27" customFormat="1">
      <c r="B998" s="32"/>
      <c r="C998" s="31"/>
      <c r="D998" s="31"/>
    </row>
    <row r="999" spans="2:4" s="27" customFormat="1">
      <c r="B999" s="32"/>
      <c r="C999" s="31"/>
      <c r="D999" s="31"/>
    </row>
    <row r="1000" spans="2:4" s="27" customFormat="1">
      <c r="B1000" s="32"/>
      <c r="C1000" s="31"/>
      <c r="D1000" s="31"/>
    </row>
    <row r="1001" spans="2:4" s="27" customFormat="1">
      <c r="B1001" s="32"/>
      <c r="C1001" s="31"/>
      <c r="D1001" s="31"/>
    </row>
    <row r="1002" spans="2:4" s="27" customFormat="1">
      <c r="B1002" s="32"/>
      <c r="C1002" s="31"/>
      <c r="D1002" s="31"/>
    </row>
    <row r="1003" spans="2:4" s="27" customFormat="1">
      <c r="B1003" s="32"/>
      <c r="C1003" s="31"/>
      <c r="D1003" s="31"/>
    </row>
    <row r="1004" spans="2:4" s="27" customFormat="1">
      <c r="B1004" s="32"/>
      <c r="C1004" s="31"/>
      <c r="D1004" s="31"/>
    </row>
    <row r="1005" spans="2:4" s="27" customFormat="1">
      <c r="B1005" s="32"/>
      <c r="C1005" s="31"/>
      <c r="D1005" s="31"/>
    </row>
    <row r="1006" spans="2:4" s="27" customFormat="1">
      <c r="B1006" s="32"/>
      <c r="C1006" s="31"/>
      <c r="D1006" s="31"/>
    </row>
    <row r="1007" spans="2:4" s="27" customFormat="1">
      <c r="B1007" s="32"/>
      <c r="C1007" s="31"/>
      <c r="D1007" s="31"/>
    </row>
    <row r="1008" spans="2:4" s="27" customFormat="1">
      <c r="B1008" s="32"/>
      <c r="C1008" s="31"/>
      <c r="D1008" s="31"/>
    </row>
    <row r="1009" spans="2:4" s="27" customFormat="1">
      <c r="B1009" s="32"/>
      <c r="C1009" s="31"/>
      <c r="D1009" s="31"/>
    </row>
    <row r="1010" spans="2:4" s="27" customFormat="1">
      <c r="B1010" s="32"/>
      <c r="C1010" s="31"/>
      <c r="D1010" s="31"/>
    </row>
    <row r="1011" spans="2:4" s="27" customFormat="1">
      <c r="B1011" s="32"/>
      <c r="C1011" s="31"/>
      <c r="D1011" s="31"/>
    </row>
    <row r="1012" spans="2:4" s="27" customFormat="1">
      <c r="B1012" s="32"/>
      <c r="C1012" s="31"/>
      <c r="D1012" s="31"/>
    </row>
    <row r="1013" spans="2:4" s="27" customFormat="1">
      <c r="B1013" s="32"/>
      <c r="C1013" s="31"/>
      <c r="D1013" s="31"/>
    </row>
    <row r="1014" spans="2:4" s="27" customFormat="1">
      <c r="B1014" s="32"/>
      <c r="C1014" s="31"/>
      <c r="D1014" s="31"/>
    </row>
    <row r="1015" spans="2:4" s="27" customFormat="1">
      <c r="B1015" s="32"/>
      <c r="C1015" s="31"/>
      <c r="D1015" s="31"/>
    </row>
    <row r="1016" spans="2:4" s="27" customFormat="1">
      <c r="B1016" s="32"/>
      <c r="C1016" s="31"/>
      <c r="D1016" s="31"/>
    </row>
    <row r="1017" spans="2:4" s="27" customFormat="1">
      <c r="B1017" s="32"/>
      <c r="C1017" s="31"/>
      <c r="D1017" s="31"/>
    </row>
    <row r="1018" spans="2:4" s="27" customFormat="1">
      <c r="B1018" s="32"/>
      <c r="C1018" s="31"/>
      <c r="D1018" s="31"/>
    </row>
    <row r="1019" spans="2:4" s="27" customFormat="1">
      <c r="B1019" s="32"/>
      <c r="C1019" s="31"/>
      <c r="D1019" s="31"/>
    </row>
    <row r="1020" spans="2:4" s="27" customFormat="1">
      <c r="B1020" s="32"/>
      <c r="C1020" s="31"/>
      <c r="D1020" s="31"/>
    </row>
    <row r="1021" spans="2:4" s="27" customFormat="1">
      <c r="B1021" s="32"/>
      <c r="C1021" s="31"/>
      <c r="D1021" s="31"/>
    </row>
    <row r="1022" spans="2:4" s="27" customFormat="1">
      <c r="B1022" s="32"/>
      <c r="C1022" s="31"/>
      <c r="D1022" s="31"/>
    </row>
    <row r="1023" spans="2:4" s="27" customFormat="1">
      <c r="B1023" s="32"/>
      <c r="C1023" s="31"/>
      <c r="D1023" s="31"/>
    </row>
    <row r="1024" spans="2:4" s="27" customFormat="1">
      <c r="B1024" s="32"/>
      <c r="C1024" s="31"/>
      <c r="D1024" s="31"/>
    </row>
    <row r="1025" spans="2:4" s="27" customFormat="1">
      <c r="B1025" s="32"/>
      <c r="C1025" s="31"/>
      <c r="D1025" s="31"/>
    </row>
    <row r="1026" spans="2:4" s="27" customFormat="1">
      <c r="B1026" s="32"/>
      <c r="C1026" s="31"/>
      <c r="D1026" s="31"/>
    </row>
    <row r="1027" spans="2:4" s="27" customFormat="1">
      <c r="B1027" s="32"/>
      <c r="C1027" s="31"/>
      <c r="D1027" s="31"/>
    </row>
    <row r="1028" spans="2:4" s="27" customFormat="1">
      <c r="B1028" s="32"/>
      <c r="C1028" s="31"/>
      <c r="D1028" s="31"/>
    </row>
    <row r="1029" spans="2:4" s="27" customFormat="1">
      <c r="B1029" s="32"/>
      <c r="C1029" s="31"/>
      <c r="D1029" s="31"/>
    </row>
    <row r="1030" spans="2:4" s="27" customFormat="1">
      <c r="B1030" s="32"/>
      <c r="C1030" s="31"/>
      <c r="D1030" s="31"/>
    </row>
    <row r="1031" spans="2:4" s="27" customFormat="1">
      <c r="B1031" s="32"/>
      <c r="C1031" s="31"/>
      <c r="D1031" s="31"/>
    </row>
    <row r="1032" spans="2:4" s="27" customFormat="1">
      <c r="B1032" s="32"/>
      <c r="C1032" s="31"/>
      <c r="D1032" s="31"/>
    </row>
    <row r="1033" spans="2:4" s="27" customFormat="1">
      <c r="B1033" s="32"/>
      <c r="C1033" s="31"/>
      <c r="D1033" s="31"/>
    </row>
    <row r="1034" spans="2:4" s="27" customFormat="1">
      <c r="B1034" s="32"/>
      <c r="C1034" s="31"/>
      <c r="D1034" s="31"/>
    </row>
    <row r="1035" spans="2:4" s="27" customFormat="1">
      <c r="B1035" s="32"/>
      <c r="C1035" s="31"/>
      <c r="D1035" s="31"/>
    </row>
    <row r="1036" spans="2:4" s="27" customFormat="1">
      <c r="B1036" s="32"/>
      <c r="C1036" s="31"/>
      <c r="D1036" s="31"/>
    </row>
    <row r="1037" spans="2:4" s="27" customFormat="1">
      <c r="B1037" s="32"/>
      <c r="C1037" s="31"/>
      <c r="D1037" s="31"/>
    </row>
    <row r="1038" spans="2:4" s="27" customFormat="1">
      <c r="B1038" s="32"/>
      <c r="C1038" s="31"/>
      <c r="D1038" s="31"/>
    </row>
    <row r="1039" spans="2:4" s="27" customFormat="1">
      <c r="B1039" s="32"/>
      <c r="C1039" s="31"/>
      <c r="D1039" s="31"/>
    </row>
    <row r="1040" spans="2:4" s="27" customFormat="1">
      <c r="B1040" s="32"/>
      <c r="C1040" s="31"/>
      <c r="D1040" s="31"/>
    </row>
    <row r="1041" spans="2:4" s="27" customFormat="1">
      <c r="B1041" s="32"/>
      <c r="C1041" s="31"/>
      <c r="D1041" s="31"/>
    </row>
    <row r="1042" spans="2:4" s="27" customFormat="1">
      <c r="B1042" s="32"/>
      <c r="C1042" s="31"/>
      <c r="D1042" s="31"/>
    </row>
    <row r="1043" spans="2:4" s="27" customFormat="1">
      <c r="B1043" s="32"/>
      <c r="C1043" s="31"/>
      <c r="D1043" s="31"/>
    </row>
    <row r="1044" spans="2:4" s="27" customFormat="1">
      <c r="B1044" s="32"/>
      <c r="C1044" s="31"/>
      <c r="D1044" s="31"/>
    </row>
    <row r="1045" spans="2:4" s="27" customFormat="1">
      <c r="B1045" s="32"/>
      <c r="C1045" s="31"/>
      <c r="D1045" s="31"/>
    </row>
    <row r="1046" spans="2:4" s="27" customFormat="1">
      <c r="B1046" s="32"/>
      <c r="C1046" s="31"/>
      <c r="D1046" s="31"/>
    </row>
    <row r="1047" spans="2:4" s="27" customFormat="1">
      <c r="B1047" s="32"/>
      <c r="C1047" s="31"/>
      <c r="D1047" s="31"/>
    </row>
    <row r="1048" spans="2:4" s="27" customFormat="1">
      <c r="B1048" s="32"/>
      <c r="C1048" s="31"/>
      <c r="D1048" s="31"/>
    </row>
    <row r="1049" spans="2:4" s="27" customFormat="1">
      <c r="B1049" s="32"/>
      <c r="C1049" s="31"/>
      <c r="D1049" s="31"/>
    </row>
    <row r="1050" spans="2:4" s="27" customFormat="1">
      <c r="B1050" s="32"/>
      <c r="C1050" s="31"/>
      <c r="D1050" s="31"/>
    </row>
    <row r="1051" spans="2:4" s="27" customFormat="1">
      <c r="B1051" s="32"/>
      <c r="C1051" s="31"/>
      <c r="D1051" s="31"/>
    </row>
    <row r="1052" spans="2:4" s="27" customFormat="1">
      <c r="B1052" s="32"/>
      <c r="C1052" s="31"/>
      <c r="D1052" s="31"/>
    </row>
    <row r="1053" spans="2:4" s="27" customFormat="1">
      <c r="B1053" s="32"/>
      <c r="C1053" s="31"/>
      <c r="D1053" s="31"/>
    </row>
    <row r="1054" spans="2:4" s="27" customFormat="1">
      <c r="B1054" s="32"/>
      <c r="C1054" s="31"/>
      <c r="D1054" s="31"/>
    </row>
    <row r="1055" spans="2:4" s="27" customFormat="1">
      <c r="B1055" s="32"/>
      <c r="C1055" s="31"/>
      <c r="D1055" s="31"/>
    </row>
    <row r="1056" spans="2:4" s="27" customFormat="1">
      <c r="B1056" s="32"/>
      <c r="C1056" s="31"/>
      <c r="D1056" s="31"/>
    </row>
    <row r="1057" spans="2:4" s="27" customFormat="1">
      <c r="B1057" s="32"/>
      <c r="C1057" s="31"/>
      <c r="D1057" s="31"/>
    </row>
    <row r="1058" spans="2:4" s="27" customFormat="1">
      <c r="B1058" s="32"/>
      <c r="C1058" s="31"/>
      <c r="D1058" s="31"/>
    </row>
    <row r="1059" spans="2:4" s="27" customFormat="1">
      <c r="B1059" s="32"/>
      <c r="C1059" s="31"/>
      <c r="D1059" s="31"/>
    </row>
    <row r="1060" spans="2:4" s="27" customFormat="1">
      <c r="B1060" s="32"/>
      <c r="C1060" s="31"/>
      <c r="D1060" s="31"/>
    </row>
    <row r="1061" spans="2:4" s="27" customFormat="1">
      <c r="B1061" s="32"/>
      <c r="C1061" s="31"/>
      <c r="D1061" s="31"/>
    </row>
    <row r="1062" spans="2:4" s="27" customFormat="1">
      <c r="B1062" s="32"/>
      <c r="C1062" s="31"/>
      <c r="D1062" s="31"/>
    </row>
    <row r="1063" spans="2:4" s="27" customFormat="1">
      <c r="B1063" s="32"/>
      <c r="C1063" s="31"/>
      <c r="D1063" s="31"/>
    </row>
    <row r="1064" spans="2:4" s="27" customFormat="1">
      <c r="B1064" s="32"/>
      <c r="C1064" s="31"/>
      <c r="D1064" s="31"/>
    </row>
    <row r="1065" spans="2:4" s="27" customFormat="1">
      <c r="B1065" s="32"/>
      <c r="C1065" s="31"/>
      <c r="D1065" s="31"/>
    </row>
    <row r="1066" spans="2:4" s="27" customFormat="1">
      <c r="B1066" s="32"/>
      <c r="C1066" s="31"/>
      <c r="D1066" s="31"/>
    </row>
    <row r="1067" spans="2:4" s="27" customFormat="1">
      <c r="B1067" s="32"/>
      <c r="C1067" s="31"/>
      <c r="D1067" s="31"/>
    </row>
    <row r="1068" spans="2:4" s="27" customFormat="1">
      <c r="B1068" s="32"/>
      <c r="C1068" s="31"/>
      <c r="D1068" s="31"/>
    </row>
    <row r="1069" spans="2:4" s="27" customFormat="1">
      <c r="B1069" s="32"/>
      <c r="C1069" s="31"/>
      <c r="D1069" s="31"/>
    </row>
    <row r="1070" spans="2:4" s="27" customFormat="1">
      <c r="B1070" s="32"/>
      <c r="C1070" s="31"/>
      <c r="D1070" s="31"/>
    </row>
    <row r="1071" spans="2:4" s="27" customFormat="1">
      <c r="B1071" s="32"/>
      <c r="C1071" s="31"/>
      <c r="D1071" s="31"/>
    </row>
    <row r="1072" spans="2:4" s="27" customFormat="1">
      <c r="B1072" s="32"/>
      <c r="C1072" s="31"/>
      <c r="D1072" s="31"/>
    </row>
    <row r="1073" spans="2:4" s="27" customFormat="1">
      <c r="B1073" s="32"/>
      <c r="C1073" s="31"/>
      <c r="D1073" s="31"/>
    </row>
    <row r="1074" spans="2:4" s="27" customFormat="1">
      <c r="B1074" s="32"/>
      <c r="C1074" s="31"/>
      <c r="D1074" s="31"/>
    </row>
    <row r="1075" spans="2:4" s="27" customFormat="1">
      <c r="B1075" s="32"/>
      <c r="C1075" s="31"/>
      <c r="D1075" s="31"/>
    </row>
    <row r="1076" spans="2:4" s="27" customFormat="1">
      <c r="B1076" s="32"/>
      <c r="C1076" s="31"/>
      <c r="D1076" s="31"/>
    </row>
    <row r="1077" spans="2:4" s="27" customFormat="1">
      <c r="B1077" s="32"/>
      <c r="C1077" s="31"/>
      <c r="D1077" s="31"/>
    </row>
    <row r="1078" spans="2:4" s="27" customFormat="1">
      <c r="B1078" s="32"/>
      <c r="C1078" s="31"/>
      <c r="D1078" s="31"/>
    </row>
    <row r="1079" spans="2:4" s="27" customFormat="1">
      <c r="B1079" s="32"/>
      <c r="C1079" s="31"/>
      <c r="D1079" s="31"/>
    </row>
    <row r="1080" spans="2:4" s="27" customFormat="1">
      <c r="B1080" s="32"/>
      <c r="C1080" s="31"/>
      <c r="D1080" s="31"/>
    </row>
    <row r="1081" spans="2:4" s="27" customFormat="1">
      <c r="B1081" s="32"/>
      <c r="C1081" s="31"/>
      <c r="D1081" s="31"/>
    </row>
    <row r="1082" spans="2:4" s="27" customFormat="1">
      <c r="B1082" s="32"/>
      <c r="C1082" s="31"/>
      <c r="D1082" s="31"/>
    </row>
    <row r="1083" spans="2:4" s="27" customFormat="1">
      <c r="B1083" s="32"/>
      <c r="C1083" s="31"/>
      <c r="D1083" s="31"/>
    </row>
    <row r="1084" spans="2:4" s="27" customFormat="1">
      <c r="B1084" s="32"/>
      <c r="C1084" s="31"/>
      <c r="D1084" s="31"/>
    </row>
    <row r="1085" spans="2:4" s="27" customFormat="1">
      <c r="B1085" s="32"/>
      <c r="C1085" s="31"/>
      <c r="D1085" s="31"/>
    </row>
    <row r="1086" spans="2:4" s="27" customFormat="1">
      <c r="B1086" s="32"/>
      <c r="C1086" s="31"/>
      <c r="D1086" s="31"/>
    </row>
    <row r="1087" spans="2:4" s="27" customFormat="1">
      <c r="B1087" s="32"/>
      <c r="C1087" s="31"/>
      <c r="D1087" s="31"/>
    </row>
    <row r="1088" spans="2:4" s="27" customFormat="1">
      <c r="B1088" s="32"/>
      <c r="C1088" s="31"/>
      <c r="D1088" s="31"/>
    </row>
    <row r="1089" spans="2:4" s="27" customFormat="1">
      <c r="B1089" s="32"/>
      <c r="C1089" s="31"/>
      <c r="D1089" s="31"/>
    </row>
    <row r="1090" spans="2:4" s="27" customFormat="1">
      <c r="B1090" s="32"/>
      <c r="C1090" s="31"/>
      <c r="D1090" s="31"/>
    </row>
    <row r="1091" spans="2:4" s="27" customFormat="1">
      <c r="B1091" s="32"/>
      <c r="C1091" s="31"/>
      <c r="D1091" s="31"/>
    </row>
    <row r="1092" spans="2:4" s="27" customFormat="1">
      <c r="B1092" s="32"/>
      <c r="C1092" s="31"/>
      <c r="D1092" s="31"/>
    </row>
    <row r="1093" spans="2:4" s="27" customFormat="1">
      <c r="B1093" s="32"/>
      <c r="C1093" s="31"/>
      <c r="D1093" s="31"/>
    </row>
    <row r="1094" spans="2:4" s="27" customFormat="1">
      <c r="B1094" s="32"/>
      <c r="C1094" s="31"/>
      <c r="D1094" s="31"/>
    </row>
    <row r="1095" spans="2:4" s="27" customFormat="1">
      <c r="B1095" s="32"/>
      <c r="C1095" s="31"/>
      <c r="D1095" s="31"/>
    </row>
    <row r="1096" spans="2:4" s="27" customFormat="1">
      <c r="B1096" s="32"/>
      <c r="C1096" s="31"/>
      <c r="D1096" s="31"/>
    </row>
    <row r="1097" spans="2:4" s="27" customFormat="1">
      <c r="B1097" s="32"/>
      <c r="C1097" s="31"/>
      <c r="D1097" s="31"/>
    </row>
    <row r="1098" spans="2:4" s="27" customFormat="1">
      <c r="B1098" s="32"/>
      <c r="C1098" s="31"/>
      <c r="D1098" s="31"/>
    </row>
    <row r="1099" spans="2:4" s="27" customFormat="1">
      <c r="B1099" s="32"/>
      <c r="C1099" s="31"/>
      <c r="D1099" s="31"/>
    </row>
    <row r="1100" spans="2:4" s="27" customFormat="1">
      <c r="B1100" s="32"/>
      <c r="C1100" s="31"/>
      <c r="D1100" s="31"/>
    </row>
    <row r="1101" spans="2:4" s="27" customFormat="1">
      <c r="B1101" s="32"/>
      <c r="C1101" s="31"/>
      <c r="D1101" s="31"/>
    </row>
    <row r="1102" spans="2:4" s="27" customFormat="1">
      <c r="B1102" s="32"/>
      <c r="C1102" s="31"/>
      <c r="D1102" s="31"/>
    </row>
    <row r="1103" spans="2:4" s="27" customFormat="1">
      <c r="B1103" s="32"/>
      <c r="C1103" s="31"/>
      <c r="D1103" s="31"/>
    </row>
    <row r="1104" spans="2:4" s="27" customFormat="1">
      <c r="B1104" s="32"/>
      <c r="C1104" s="31"/>
      <c r="D1104" s="31"/>
    </row>
    <row r="1105" spans="2:4" s="27" customFormat="1">
      <c r="B1105" s="32"/>
      <c r="C1105" s="31"/>
      <c r="D1105" s="31"/>
    </row>
    <row r="1106" spans="2:4" s="27" customFormat="1">
      <c r="B1106" s="32"/>
      <c r="C1106" s="31"/>
      <c r="D1106" s="31"/>
    </row>
    <row r="1107" spans="2:4" s="27" customFormat="1">
      <c r="B1107" s="32"/>
      <c r="C1107" s="31"/>
      <c r="D1107" s="31"/>
    </row>
    <row r="1108" spans="2:4" s="27" customFormat="1">
      <c r="B1108" s="32"/>
      <c r="C1108" s="31"/>
      <c r="D1108" s="31"/>
    </row>
    <row r="1109" spans="2:4" s="27" customFormat="1">
      <c r="B1109" s="32"/>
      <c r="C1109" s="31"/>
      <c r="D1109" s="31"/>
    </row>
    <row r="1110" spans="2:4" s="27" customFormat="1">
      <c r="B1110" s="32"/>
      <c r="C1110" s="31"/>
      <c r="D1110" s="31"/>
    </row>
    <row r="1111" spans="2:4" s="27" customFormat="1">
      <c r="B1111" s="32"/>
      <c r="C1111" s="31"/>
      <c r="D1111" s="31"/>
    </row>
    <row r="1112" spans="2:4" s="27" customFormat="1">
      <c r="B1112" s="32"/>
      <c r="C1112" s="31"/>
      <c r="D1112" s="31"/>
    </row>
    <row r="1113" spans="2:4" s="27" customFormat="1">
      <c r="B1113" s="32"/>
      <c r="C1113" s="31"/>
      <c r="D1113" s="31"/>
    </row>
    <row r="1114" spans="2:4" s="27" customFormat="1">
      <c r="B1114" s="32"/>
      <c r="C1114" s="31"/>
      <c r="D1114" s="31"/>
    </row>
    <row r="1115" spans="2:4" s="27" customFormat="1">
      <c r="B1115" s="32"/>
      <c r="C1115" s="31"/>
      <c r="D1115" s="31"/>
    </row>
    <row r="1116" spans="2:4" s="27" customFormat="1">
      <c r="B1116" s="32"/>
      <c r="C1116" s="31"/>
      <c r="D1116" s="31"/>
    </row>
    <row r="1117" spans="2:4" s="27" customFormat="1">
      <c r="B1117" s="32"/>
      <c r="C1117" s="31"/>
      <c r="D1117" s="31"/>
    </row>
    <row r="1118" spans="2:4" s="27" customFormat="1">
      <c r="B1118" s="32"/>
      <c r="C1118" s="31"/>
      <c r="D1118" s="31"/>
    </row>
    <row r="1119" spans="2:4" s="27" customFormat="1">
      <c r="B1119" s="32"/>
      <c r="C1119" s="31"/>
      <c r="D1119" s="31"/>
    </row>
    <row r="1120" spans="2:4" s="27" customFormat="1">
      <c r="B1120" s="32"/>
      <c r="C1120" s="31"/>
      <c r="D1120" s="31"/>
    </row>
    <row r="1121" spans="2:4" s="27" customFormat="1">
      <c r="B1121" s="32"/>
      <c r="C1121" s="31"/>
      <c r="D1121" s="31"/>
    </row>
    <row r="1122" spans="2:4" s="27" customFormat="1">
      <c r="B1122" s="32"/>
      <c r="C1122" s="31"/>
      <c r="D1122" s="31"/>
    </row>
    <row r="1123" spans="2:4" s="27" customFormat="1">
      <c r="B1123" s="32"/>
      <c r="C1123" s="31"/>
      <c r="D1123" s="31"/>
    </row>
    <row r="1124" spans="2:4" s="27" customFormat="1">
      <c r="B1124" s="32"/>
      <c r="C1124" s="31"/>
      <c r="D1124" s="31"/>
    </row>
    <row r="1125" spans="2:4" s="27" customFormat="1">
      <c r="B1125" s="32"/>
      <c r="C1125" s="31"/>
      <c r="D1125" s="31"/>
    </row>
    <row r="1126" spans="2:4" s="27" customFormat="1">
      <c r="B1126" s="32"/>
      <c r="C1126" s="31"/>
      <c r="D1126" s="31"/>
    </row>
    <row r="1127" spans="2:4" s="27" customFormat="1">
      <c r="B1127" s="32"/>
      <c r="C1127" s="31"/>
      <c r="D1127" s="31"/>
    </row>
    <row r="1128" spans="2:4" s="27" customFormat="1">
      <c r="B1128" s="32"/>
      <c r="C1128" s="31"/>
      <c r="D1128" s="31"/>
    </row>
    <row r="1129" spans="2:4" s="27" customFormat="1">
      <c r="B1129" s="32"/>
      <c r="C1129" s="31"/>
      <c r="D1129" s="31"/>
    </row>
    <row r="1130" spans="2:4" s="27" customFormat="1">
      <c r="B1130" s="32"/>
      <c r="C1130" s="31"/>
      <c r="D1130" s="31"/>
    </row>
    <row r="1131" spans="2:4" s="27" customFormat="1">
      <c r="B1131" s="32"/>
      <c r="C1131" s="31"/>
      <c r="D1131" s="31"/>
    </row>
    <row r="1132" spans="2:4" s="27" customFormat="1">
      <c r="B1132" s="32"/>
      <c r="C1132" s="31"/>
      <c r="D1132" s="31"/>
    </row>
    <row r="1133" spans="2:4" s="27" customFormat="1">
      <c r="B1133" s="32"/>
      <c r="C1133" s="31"/>
      <c r="D1133" s="31"/>
    </row>
    <row r="1134" spans="2:4" s="27" customFormat="1">
      <c r="B1134" s="32"/>
      <c r="C1134" s="31"/>
      <c r="D1134" s="31"/>
    </row>
    <row r="1135" spans="2:4" s="27" customFormat="1">
      <c r="B1135" s="32"/>
      <c r="C1135" s="31"/>
      <c r="D1135" s="31"/>
    </row>
    <row r="1136" spans="2:4" s="27" customFormat="1">
      <c r="B1136" s="32"/>
      <c r="C1136" s="31"/>
      <c r="D1136" s="31"/>
    </row>
    <row r="1137" spans="2:4" s="27" customFormat="1">
      <c r="B1137" s="32"/>
      <c r="C1137" s="31"/>
      <c r="D1137" s="31"/>
    </row>
    <row r="1138" spans="2:4" s="27" customFormat="1">
      <c r="B1138" s="32"/>
      <c r="C1138" s="31"/>
      <c r="D1138" s="31"/>
    </row>
    <row r="1139" spans="2:4" s="27" customFormat="1">
      <c r="B1139" s="32"/>
      <c r="C1139" s="31"/>
      <c r="D1139" s="31"/>
    </row>
    <row r="1140" spans="2:4" s="27" customFormat="1">
      <c r="B1140" s="32"/>
      <c r="C1140" s="31"/>
      <c r="D1140" s="31"/>
    </row>
    <row r="1141" spans="2:4" s="27" customFormat="1">
      <c r="B1141" s="32"/>
      <c r="C1141" s="31"/>
      <c r="D1141" s="31"/>
    </row>
    <row r="1142" spans="2:4" s="27" customFormat="1">
      <c r="B1142" s="32"/>
      <c r="C1142" s="31"/>
      <c r="D1142" s="31"/>
    </row>
    <row r="1143" spans="2:4" s="27" customFormat="1">
      <c r="B1143" s="32"/>
      <c r="C1143" s="31"/>
      <c r="D1143" s="31"/>
    </row>
    <row r="1144" spans="2:4" s="27" customFormat="1">
      <c r="B1144" s="32"/>
      <c r="C1144" s="31"/>
      <c r="D1144" s="31"/>
    </row>
    <row r="1145" spans="2:4" s="27" customFormat="1">
      <c r="B1145" s="32"/>
      <c r="C1145" s="31"/>
      <c r="D1145" s="31"/>
    </row>
    <row r="1146" spans="2:4" s="27" customFormat="1">
      <c r="B1146" s="32"/>
      <c r="C1146" s="31"/>
      <c r="D1146" s="31"/>
    </row>
    <row r="1147" spans="2:4" s="27" customFormat="1">
      <c r="B1147" s="32"/>
      <c r="C1147" s="31"/>
      <c r="D1147" s="31"/>
    </row>
    <row r="1148" spans="2:4" s="27" customFormat="1">
      <c r="B1148" s="32"/>
      <c r="C1148" s="31"/>
      <c r="D1148" s="31"/>
    </row>
    <row r="1149" spans="2:4" s="27" customFormat="1">
      <c r="B1149" s="32"/>
      <c r="C1149" s="31"/>
      <c r="D1149" s="31"/>
    </row>
    <row r="1150" spans="2:4" s="27" customFormat="1">
      <c r="B1150" s="32"/>
      <c r="C1150" s="31"/>
      <c r="D1150" s="31"/>
    </row>
    <row r="1151" spans="2:4" s="27" customFormat="1">
      <c r="B1151" s="32"/>
      <c r="C1151" s="31"/>
      <c r="D1151" s="31"/>
    </row>
    <row r="1152" spans="2:4" s="27" customFormat="1">
      <c r="B1152" s="32"/>
      <c r="C1152" s="31"/>
      <c r="D1152" s="31"/>
    </row>
    <row r="1153" spans="2:4" s="27" customFormat="1">
      <c r="B1153" s="32"/>
      <c r="C1153" s="31"/>
      <c r="D1153" s="31"/>
    </row>
    <row r="1154" spans="2:4" s="27" customFormat="1">
      <c r="B1154" s="32"/>
      <c r="C1154" s="31"/>
      <c r="D1154" s="31"/>
    </row>
    <row r="1155" spans="2:4" s="27" customFormat="1">
      <c r="B1155" s="32"/>
      <c r="C1155" s="31"/>
      <c r="D1155" s="31"/>
    </row>
    <row r="1156" spans="2:4" s="27" customFormat="1">
      <c r="B1156" s="32"/>
      <c r="C1156" s="31"/>
      <c r="D1156" s="31"/>
    </row>
    <row r="1157" spans="2:4" s="27" customFormat="1">
      <c r="B1157" s="32"/>
      <c r="C1157" s="31"/>
      <c r="D1157" s="31"/>
    </row>
    <row r="1158" spans="2:4" s="27" customFormat="1">
      <c r="B1158" s="32"/>
      <c r="C1158" s="31"/>
      <c r="D1158" s="31"/>
    </row>
    <row r="1159" spans="2:4" s="27" customFormat="1">
      <c r="B1159" s="32"/>
      <c r="C1159" s="31"/>
      <c r="D1159" s="31"/>
    </row>
    <row r="1160" spans="2:4" s="27" customFormat="1">
      <c r="B1160" s="32"/>
      <c r="C1160" s="31"/>
      <c r="D1160" s="31"/>
    </row>
    <row r="1161" spans="2:4" s="27" customFormat="1">
      <c r="B1161" s="32"/>
      <c r="C1161" s="31"/>
      <c r="D1161" s="31"/>
    </row>
    <row r="1162" spans="2:4" s="27" customFormat="1">
      <c r="B1162" s="32"/>
      <c r="C1162" s="31"/>
      <c r="D1162" s="31"/>
    </row>
    <row r="1163" spans="2:4" s="27" customFormat="1">
      <c r="B1163" s="32"/>
      <c r="C1163" s="31"/>
      <c r="D1163" s="31"/>
    </row>
    <row r="1164" spans="2:4" s="27" customFormat="1">
      <c r="B1164" s="32"/>
      <c r="C1164" s="31"/>
      <c r="D1164" s="31"/>
    </row>
    <row r="1165" spans="2:4" s="27" customFormat="1">
      <c r="B1165" s="32"/>
      <c r="C1165" s="31"/>
      <c r="D1165" s="31"/>
    </row>
    <row r="1166" spans="2:4" s="27" customFormat="1">
      <c r="B1166" s="32"/>
      <c r="C1166" s="31"/>
      <c r="D1166" s="31"/>
    </row>
    <row r="1167" spans="2:4" s="27" customFormat="1">
      <c r="B1167" s="32"/>
      <c r="C1167" s="31"/>
      <c r="D1167" s="31"/>
    </row>
    <row r="1168" spans="2:4" s="27" customFormat="1">
      <c r="B1168" s="32"/>
      <c r="C1168" s="31"/>
      <c r="D1168" s="31"/>
    </row>
    <row r="1169" spans="2:4" s="27" customFormat="1">
      <c r="B1169" s="32"/>
      <c r="C1169" s="31"/>
      <c r="D1169" s="31"/>
    </row>
    <row r="1170" spans="2:4" s="27" customFormat="1">
      <c r="B1170" s="32"/>
      <c r="C1170" s="31"/>
      <c r="D1170" s="31"/>
    </row>
    <row r="1171" spans="2:4" s="27" customFormat="1">
      <c r="B1171" s="32"/>
      <c r="C1171" s="31"/>
      <c r="D1171" s="31"/>
    </row>
    <row r="1172" spans="2:4" s="27" customFormat="1">
      <c r="B1172" s="32"/>
      <c r="C1172" s="31"/>
      <c r="D1172" s="31"/>
    </row>
    <row r="1173" spans="2:4" s="27" customFormat="1">
      <c r="B1173" s="32"/>
      <c r="C1173" s="31"/>
      <c r="D1173" s="31"/>
    </row>
    <row r="1174" spans="2:4" s="27" customFormat="1">
      <c r="B1174" s="32"/>
      <c r="C1174" s="31"/>
      <c r="D1174" s="31"/>
    </row>
    <row r="1175" spans="2:4" s="27" customFormat="1">
      <c r="B1175" s="32"/>
      <c r="C1175" s="31"/>
      <c r="D1175" s="31"/>
    </row>
    <row r="1176" spans="2:4" s="27" customFormat="1">
      <c r="B1176" s="32"/>
      <c r="C1176" s="31"/>
      <c r="D1176" s="31"/>
    </row>
    <row r="1177" spans="2:4" s="27" customFormat="1">
      <c r="B1177" s="32"/>
      <c r="C1177" s="31"/>
      <c r="D1177" s="31"/>
    </row>
    <row r="1178" spans="2:4" s="27" customFormat="1">
      <c r="B1178" s="32"/>
      <c r="C1178" s="31"/>
      <c r="D1178" s="31"/>
    </row>
    <row r="1179" spans="2:4" s="27" customFormat="1">
      <c r="B1179" s="32"/>
      <c r="C1179" s="31"/>
      <c r="D1179" s="31"/>
    </row>
    <row r="1180" spans="2:4" s="27" customFormat="1">
      <c r="B1180" s="32"/>
      <c r="C1180" s="31"/>
      <c r="D1180" s="31"/>
    </row>
    <row r="1181" spans="2:4" s="27" customFormat="1">
      <c r="B1181" s="32"/>
      <c r="C1181" s="31"/>
      <c r="D1181" s="31"/>
    </row>
    <row r="1182" spans="2:4" s="27" customFormat="1">
      <c r="B1182" s="32"/>
      <c r="C1182" s="31"/>
      <c r="D1182" s="31"/>
    </row>
    <row r="1183" spans="2:4" s="27" customFormat="1">
      <c r="B1183" s="32"/>
      <c r="C1183" s="31"/>
      <c r="D1183" s="31"/>
    </row>
    <row r="1184" spans="2:4" s="27" customFormat="1">
      <c r="B1184" s="32"/>
      <c r="C1184" s="31"/>
      <c r="D1184" s="31"/>
    </row>
    <row r="1185" spans="2:4" s="27" customFormat="1">
      <c r="B1185" s="32"/>
      <c r="C1185" s="31"/>
      <c r="D1185" s="31"/>
    </row>
    <row r="1186" spans="2:4" s="27" customFormat="1">
      <c r="B1186" s="32"/>
      <c r="C1186" s="31"/>
      <c r="D1186" s="31"/>
    </row>
    <row r="1187" spans="2:4" s="27" customFormat="1">
      <c r="B1187" s="32"/>
      <c r="C1187" s="31"/>
      <c r="D1187" s="31"/>
    </row>
    <row r="1188" spans="2:4" s="27" customFormat="1">
      <c r="B1188" s="32"/>
      <c r="C1188" s="31"/>
      <c r="D1188" s="31"/>
    </row>
    <row r="1189" spans="2:4" s="27" customFormat="1">
      <c r="B1189" s="32"/>
      <c r="C1189" s="31"/>
      <c r="D1189" s="31"/>
    </row>
    <row r="1190" spans="2:4" s="27" customFormat="1">
      <c r="B1190" s="32"/>
      <c r="C1190" s="31"/>
      <c r="D1190" s="31"/>
    </row>
    <row r="1191" spans="2:4" s="27" customFormat="1">
      <c r="B1191" s="32"/>
      <c r="C1191" s="31"/>
      <c r="D1191" s="31"/>
    </row>
    <row r="1192" spans="2:4" s="27" customFormat="1">
      <c r="B1192" s="32"/>
      <c r="C1192" s="31"/>
      <c r="D1192" s="31"/>
    </row>
    <row r="1193" spans="2:4" s="27" customFormat="1">
      <c r="B1193" s="32"/>
      <c r="C1193" s="31"/>
      <c r="D1193" s="31"/>
    </row>
    <row r="1194" spans="2:4" s="27" customFormat="1">
      <c r="B1194" s="32"/>
      <c r="C1194" s="31"/>
      <c r="D1194" s="31"/>
    </row>
    <row r="1195" spans="2:4" s="27" customFormat="1">
      <c r="B1195" s="32"/>
      <c r="C1195" s="31"/>
      <c r="D1195" s="31"/>
    </row>
    <row r="1196" spans="2:4" s="27" customFormat="1">
      <c r="B1196" s="32"/>
      <c r="C1196" s="31"/>
      <c r="D1196" s="31"/>
    </row>
    <row r="1197" spans="2:4" s="27" customFormat="1">
      <c r="B1197" s="32"/>
      <c r="C1197" s="31"/>
      <c r="D1197" s="31"/>
    </row>
    <row r="1198" spans="2:4" s="27" customFormat="1">
      <c r="B1198" s="32"/>
      <c r="C1198" s="31"/>
      <c r="D1198" s="31"/>
    </row>
    <row r="1199" spans="2:4" s="27" customFormat="1">
      <c r="B1199" s="32"/>
      <c r="C1199" s="31"/>
      <c r="D1199" s="31"/>
    </row>
    <row r="1200" spans="2:4" s="27" customFormat="1">
      <c r="B1200" s="32"/>
      <c r="C1200" s="31"/>
      <c r="D1200" s="31"/>
    </row>
    <row r="1201" spans="2:4" s="27" customFormat="1">
      <c r="B1201" s="32"/>
      <c r="C1201" s="31"/>
      <c r="D1201" s="31"/>
    </row>
    <row r="1202" spans="2:4" s="27" customFormat="1">
      <c r="B1202" s="32"/>
      <c r="C1202" s="31"/>
      <c r="D1202" s="31"/>
    </row>
    <row r="1203" spans="2:4" s="27" customFormat="1">
      <c r="B1203" s="32"/>
      <c r="C1203" s="31"/>
      <c r="D1203" s="31"/>
    </row>
    <row r="1204" spans="2:4" s="27" customFormat="1">
      <c r="B1204" s="32"/>
      <c r="C1204" s="31"/>
      <c r="D1204" s="31"/>
    </row>
    <row r="1205" spans="2:4" s="27" customFormat="1">
      <c r="B1205" s="32"/>
      <c r="C1205" s="31"/>
      <c r="D1205" s="31"/>
    </row>
    <row r="1206" spans="2:4" s="27" customFormat="1">
      <c r="B1206" s="32"/>
      <c r="C1206" s="31"/>
      <c r="D1206" s="31"/>
    </row>
    <row r="1207" spans="2:4" s="27" customFormat="1">
      <c r="B1207" s="32"/>
      <c r="C1207" s="31"/>
      <c r="D1207" s="31"/>
    </row>
    <row r="1208" spans="2:4" s="27" customFormat="1">
      <c r="B1208" s="32"/>
      <c r="C1208" s="31"/>
      <c r="D1208" s="31"/>
    </row>
    <row r="1209" spans="2:4" s="27" customFormat="1">
      <c r="B1209" s="32"/>
      <c r="C1209" s="31"/>
      <c r="D1209" s="31"/>
    </row>
    <row r="1210" spans="2:4" s="27" customFormat="1">
      <c r="B1210" s="32"/>
      <c r="C1210" s="31"/>
      <c r="D1210" s="31"/>
    </row>
    <row r="1211" spans="2:4" s="27" customFormat="1">
      <c r="B1211" s="32"/>
      <c r="C1211" s="31"/>
      <c r="D1211" s="31"/>
    </row>
    <row r="1212" spans="2:4" s="27" customFormat="1">
      <c r="B1212" s="32"/>
      <c r="C1212" s="31"/>
      <c r="D1212" s="31"/>
    </row>
    <row r="1213" spans="2:4" s="27" customFormat="1">
      <c r="B1213" s="32"/>
      <c r="C1213" s="31"/>
      <c r="D1213" s="31"/>
    </row>
    <row r="1214" spans="2:4" s="27" customFormat="1">
      <c r="B1214" s="32"/>
      <c r="C1214" s="31"/>
      <c r="D1214" s="31"/>
    </row>
    <row r="1215" spans="2:4" s="27" customFormat="1">
      <c r="B1215" s="32"/>
      <c r="C1215" s="31"/>
      <c r="D1215" s="31"/>
    </row>
    <row r="1216" spans="2:4" s="27" customFormat="1">
      <c r="B1216" s="32"/>
      <c r="C1216" s="31"/>
      <c r="D1216" s="31"/>
    </row>
    <row r="1217" spans="2:4" s="27" customFormat="1">
      <c r="B1217" s="32"/>
      <c r="C1217" s="31"/>
      <c r="D1217" s="31"/>
    </row>
    <row r="1218" spans="2:4" s="27" customFormat="1">
      <c r="B1218" s="32"/>
      <c r="C1218" s="31"/>
      <c r="D1218" s="31"/>
    </row>
    <row r="1219" spans="2:4" s="27" customFormat="1">
      <c r="B1219" s="32"/>
      <c r="C1219" s="31"/>
      <c r="D1219" s="31"/>
    </row>
    <row r="1220" spans="2:4" s="27" customFormat="1">
      <c r="B1220" s="32"/>
      <c r="C1220" s="31"/>
      <c r="D1220" s="31"/>
    </row>
    <row r="1221" spans="2:4" s="27" customFormat="1">
      <c r="B1221" s="32"/>
      <c r="C1221" s="31"/>
      <c r="D1221" s="31"/>
    </row>
    <row r="1222" spans="2:4" s="27" customFormat="1">
      <c r="B1222" s="32"/>
      <c r="C1222" s="31"/>
      <c r="D1222" s="31"/>
    </row>
    <row r="1223" spans="2:4" s="27" customFormat="1">
      <c r="B1223" s="32"/>
      <c r="C1223" s="31"/>
      <c r="D1223" s="31"/>
    </row>
    <row r="1224" spans="2:4" s="27" customFormat="1">
      <c r="B1224" s="32"/>
      <c r="C1224" s="31"/>
      <c r="D1224" s="31"/>
    </row>
    <row r="1225" spans="2:4" s="27" customFormat="1">
      <c r="B1225" s="32"/>
      <c r="C1225" s="31"/>
      <c r="D1225" s="31"/>
    </row>
    <row r="1226" spans="2:4" s="27" customFormat="1">
      <c r="B1226" s="32"/>
      <c r="C1226" s="31"/>
      <c r="D1226" s="31"/>
    </row>
    <row r="1227" spans="2:4" s="27" customFormat="1">
      <c r="B1227" s="32"/>
      <c r="C1227" s="31"/>
      <c r="D1227" s="31"/>
    </row>
    <row r="1228" spans="2:4" s="27" customFormat="1">
      <c r="B1228" s="32"/>
      <c r="C1228" s="31"/>
      <c r="D1228" s="31"/>
    </row>
    <row r="1229" spans="2:4" s="27" customFormat="1">
      <c r="B1229" s="32"/>
      <c r="C1229" s="31"/>
      <c r="D1229" s="31"/>
    </row>
    <row r="1230" spans="2:4" s="27" customFormat="1">
      <c r="B1230" s="32"/>
      <c r="C1230" s="31"/>
      <c r="D1230" s="31"/>
    </row>
    <row r="1231" spans="2:4" s="27" customFormat="1">
      <c r="B1231" s="32"/>
      <c r="C1231" s="31"/>
      <c r="D1231" s="31"/>
    </row>
    <row r="1232" spans="2:4" s="27" customFormat="1">
      <c r="B1232" s="32"/>
      <c r="C1232" s="31"/>
      <c r="D1232" s="31"/>
    </row>
    <row r="1233" spans="2:4" s="27" customFormat="1">
      <c r="B1233" s="32"/>
      <c r="C1233" s="31"/>
      <c r="D1233" s="31"/>
    </row>
    <row r="1234" spans="2:4" s="27" customFormat="1">
      <c r="B1234" s="32"/>
      <c r="C1234" s="31"/>
      <c r="D1234" s="31"/>
    </row>
    <row r="1235" spans="2:4" s="27" customFormat="1">
      <c r="B1235" s="32"/>
      <c r="C1235" s="31"/>
      <c r="D1235" s="31"/>
    </row>
    <row r="1236" spans="2:4" s="27" customFormat="1">
      <c r="B1236" s="32"/>
      <c r="C1236" s="31"/>
      <c r="D1236" s="31"/>
    </row>
    <row r="1237" spans="2:4" s="27" customFormat="1">
      <c r="B1237" s="32"/>
      <c r="C1237" s="31"/>
      <c r="D1237" s="31"/>
    </row>
    <row r="1238" spans="2:4" s="27" customFormat="1">
      <c r="B1238" s="32"/>
      <c r="C1238" s="31"/>
      <c r="D1238" s="31"/>
    </row>
    <row r="1239" spans="2:4" s="27" customFormat="1">
      <c r="B1239" s="32"/>
      <c r="C1239" s="31"/>
      <c r="D1239" s="31"/>
    </row>
    <row r="1240" spans="2:4" s="27" customFormat="1">
      <c r="B1240" s="32"/>
      <c r="C1240" s="31"/>
      <c r="D1240" s="31"/>
    </row>
    <row r="1241" spans="2:4" s="27" customFormat="1">
      <c r="B1241" s="32"/>
      <c r="C1241" s="31"/>
      <c r="D1241" s="31"/>
    </row>
    <row r="1242" spans="2:4" s="27" customFormat="1">
      <c r="B1242" s="32"/>
      <c r="C1242" s="31"/>
      <c r="D1242" s="31"/>
    </row>
    <row r="1243" spans="2:4" s="27" customFormat="1">
      <c r="B1243" s="32"/>
      <c r="C1243" s="31"/>
      <c r="D1243" s="31"/>
    </row>
    <row r="1244" spans="2:4" s="27" customFormat="1">
      <c r="B1244" s="32"/>
      <c r="C1244" s="31"/>
      <c r="D1244" s="31"/>
    </row>
    <row r="1245" spans="2:4" s="27" customFormat="1">
      <c r="B1245" s="32"/>
      <c r="C1245" s="31"/>
      <c r="D1245" s="31"/>
    </row>
    <row r="1246" spans="2:4" s="27" customFormat="1">
      <c r="B1246" s="32"/>
      <c r="C1246" s="31"/>
      <c r="D1246" s="31"/>
    </row>
    <row r="1247" spans="2:4" s="27" customFormat="1">
      <c r="B1247" s="32"/>
      <c r="C1247" s="31"/>
      <c r="D1247" s="31"/>
    </row>
    <row r="1248" spans="2:4" s="27" customFormat="1">
      <c r="B1248" s="32"/>
      <c r="C1248" s="31"/>
      <c r="D1248" s="31"/>
    </row>
    <row r="1249" spans="2:4" s="27" customFormat="1">
      <c r="B1249" s="32"/>
      <c r="C1249" s="31"/>
      <c r="D1249" s="31"/>
    </row>
    <row r="1250" spans="2:4" s="27" customFormat="1">
      <c r="B1250" s="32"/>
      <c r="C1250" s="31"/>
      <c r="D1250" s="31"/>
    </row>
    <row r="1251" spans="2:4" s="27" customFormat="1">
      <c r="B1251" s="32"/>
      <c r="C1251" s="31"/>
      <c r="D1251" s="31"/>
    </row>
    <row r="1252" spans="2:4" s="27" customFormat="1">
      <c r="B1252" s="32"/>
      <c r="C1252" s="31"/>
      <c r="D1252" s="31"/>
    </row>
    <row r="1253" spans="2:4" s="27" customFormat="1">
      <c r="B1253" s="32"/>
      <c r="C1253" s="31"/>
      <c r="D1253" s="31"/>
    </row>
    <row r="1254" spans="2:4" s="27" customFormat="1">
      <c r="B1254" s="32"/>
      <c r="C1254" s="31"/>
      <c r="D1254" s="31"/>
    </row>
    <row r="1255" spans="2:4" s="27" customFormat="1">
      <c r="B1255" s="32"/>
      <c r="C1255" s="31"/>
      <c r="D1255" s="31"/>
    </row>
    <row r="1256" spans="2:4" s="27" customFormat="1">
      <c r="B1256" s="32"/>
      <c r="C1256" s="31"/>
      <c r="D1256" s="31"/>
    </row>
    <row r="1257" spans="2:4" s="27" customFormat="1">
      <c r="B1257" s="32"/>
      <c r="C1257" s="31"/>
      <c r="D1257" s="31"/>
    </row>
    <row r="1258" spans="2:4" s="27" customFormat="1">
      <c r="B1258" s="32"/>
      <c r="C1258" s="31"/>
      <c r="D1258" s="31"/>
    </row>
    <row r="1259" spans="2:4" s="27" customFormat="1">
      <c r="B1259" s="32"/>
      <c r="C1259" s="31"/>
      <c r="D1259" s="31"/>
    </row>
    <row r="1260" spans="2:4" s="27" customFormat="1">
      <c r="B1260" s="32"/>
      <c r="C1260" s="31"/>
      <c r="D1260" s="31"/>
    </row>
    <row r="1261" spans="2:4" s="27" customFormat="1">
      <c r="B1261" s="32"/>
      <c r="C1261" s="31"/>
      <c r="D1261" s="31"/>
    </row>
    <row r="1262" spans="2:4" s="27" customFormat="1">
      <c r="B1262" s="32"/>
      <c r="C1262" s="31"/>
      <c r="D1262" s="31"/>
    </row>
    <row r="1263" spans="2:4" s="27" customFormat="1">
      <c r="B1263" s="32"/>
      <c r="C1263" s="31"/>
      <c r="D1263" s="31"/>
    </row>
    <row r="1264" spans="2:4" s="27" customFormat="1">
      <c r="B1264" s="32"/>
      <c r="C1264" s="31"/>
      <c r="D1264" s="31"/>
    </row>
    <row r="1265" spans="2:4" s="27" customFormat="1">
      <c r="B1265" s="32"/>
      <c r="C1265" s="31"/>
      <c r="D1265" s="31"/>
    </row>
    <row r="1266" spans="2:4" s="27" customFormat="1">
      <c r="B1266" s="32"/>
      <c r="C1266" s="31"/>
      <c r="D1266" s="31"/>
    </row>
    <row r="1267" spans="2:4" s="27" customFormat="1">
      <c r="B1267" s="32"/>
      <c r="C1267" s="31"/>
      <c r="D1267" s="31"/>
    </row>
    <row r="1268" spans="2:4" s="27" customFormat="1">
      <c r="B1268" s="32"/>
      <c r="C1268" s="31"/>
      <c r="D1268" s="31"/>
    </row>
    <row r="1269" spans="2:4" s="27" customFormat="1">
      <c r="B1269" s="32"/>
      <c r="C1269" s="31"/>
      <c r="D1269" s="31"/>
    </row>
    <row r="1270" spans="2:4" s="27" customFormat="1">
      <c r="B1270" s="32"/>
      <c r="C1270" s="31"/>
      <c r="D1270" s="3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Control</vt:lpstr>
      <vt:lpstr>Parameters</vt:lpstr>
      <vt:lpstr>RatingsEquivalence</vt:lpstr>
      <vt:lpstr>OutDatabase</vt:lpstr>
      <vt:lpstr>Graphs</vt:lpstr>
      <vt:lpstr>OutputBloomberg</vt:lpstr>
      <vt:lpstr>InputBloomberg</vt:lpstr>
      <vt:lpstr>CounterpartyRisk link</vt:lpstr>
      <vt:lpstr>CreditScore</vt:lpstr>
      <vt:lpstr>DefaultProbability</vt:lpstr>
      <vt:lpstr>Fitch_LT</vt:lpstr>
      <vt:lpstr>Fitch_ST</vt:lpstr>
      <vt:lpstr>InternalRatings</vt:lpstr>
      <vt:lpstr>Moodys_LT</vt:lpstr>
      <vt:lpstr>Moodys_ST</vt:lpstr>
      <vt:lpstr>SP_LT</vt:lpstr>
      <vt:lpstr>SP_ST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iW Partners</cp:lastModifiedBy>
  <dcterms:created xsi:type="dcterms:W3CDTF">2019-01-21T17:30:05Z</dcterms:created>
  <dcterms:modified xsi:type="dcterms:W3CDTF">2022-08-28T11:24:22Z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</Properties>
</file>