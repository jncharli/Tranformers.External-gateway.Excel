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ExternalGateway\Applications\Transformers\"/>
    </mc:Choice>
  </mc:AlternateContent>
  <xr:revisionPtr revIDLastSave="0" documentId="13_ncr:1_{CB0FAB9A-4688-43B6-AE8A-44F3AA99778F}" xr6:coauthVersionLast="44" xr6:coauthVersionMax="47" xr10:uidLastSave="{00000000-0000-0000-0000-000000000000}"/>
  <bookViews>
    <workbookView xWindow="-120" yWindow="-120" windowWidth="22905" windowHeight="13335" tabRatio="750" activeTab="3" xr2:uid="{00000000-000D-0000-FFFF-FFFF00000000}"/>
  </bookViews>
  <sheets>
    <sheet name="Procedure" sheetId="41" r:id="rId1"/>
    <sheet name="Control" sheetId="2" r:id="rId2"/>
    <sheet name="Parameters" sheetId="5" r:id="rId3"/>
    <sheet name="InputMADMAR" sheetId="50" r:id="rId4"/>
    <sheet name="OutputMADMAR" sheetId="57" r:id="rId5"/>
  </sheets>
  <functionGroups builtInGroupCount="19"/>
  <externalReferences>
    <externalReference r:id="rId6"/>
  </externalReferences>
  <definedNames>
    <definedName name="_xlnm._FilterDatabase" localSheetId="3" hidden="1">InputMADMAR!$A$2:$T$802</definedName>
    <definedName name="_xlnm._FilterDatabase" localSheetId="4" hidden="1">OutputMADMAR!$A$2:$AA$802</definedName>
    <definedName name="Currency">#REF!</definedName>
    <definedName name="EndDate">#REF!</definedName>
    <definedName name="NAV">#REF!</definedName>
    <definedName name="Query_from_CheckEMIRClearingThresholds" localSheetId="3" hidden="1">InputMADMAR!#REF!</definedName>
    <definedName name="Query_from_ChekEMIRClearingThresholds" localSheetId="3" hidden="1">InputMADMAR!#REF!</definedName>
    <definedName name="Query_from_ListOTCDerivatives_Portfolios" localSheetId="3" hidden="1">InputMADMAR!#REF!</definedName>
    <definedName name="Query_from_OTCDerivativesLink" localSheetId="3" hidden="1">InputMADMAR!#REF!</definedName>
    <definedName name="Query_from_Pictet.CheckEMIRClearingThresholds" localSheetId="3" hidden="1">InputMADMAR!#REF!</definedName>
    <definedName name="Query_from_Test" localSheetId="3" hidden="1">InputMADMAR!#REF!</definedName>
    <definedName name="ReportDate">Procedure!$D$1</definedName>
    <definedName name="Rolling6MonthsDate">[1]InputCOM!$F$4</definedName>
    <definedName name="SpreadsheetBuilder_1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tart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861" i="50" l="1"/>
  <c r="AD497" i="50"/>
  <c r="AD710" i="50"/>
  <c r="AD804" i="50"/>
  <c r="AD654" i="50"/>
  <c r="U622" i="50"/>
  <c r="AD789" i="50"/>
  <c r="U789" i="50"/>
  <c r="U861" i="50"/>
  <c r="U497" i="50"/>
  <c r="AD622" i="50"/>
  <c r="U654" i="50"/>
  <c r="U804" i="50"/>
  <c r="U710" i="50"/>
  <c r="AD701" i="50"/>
  <c r="AD631" i="50"/>
  <c r="AD669" i="50"/>
  <c r="U724" i="50"/>
  <c r="U669" i="50"/>
  <c r="U631" i="50"/>
  <c r="U665" i="50"/>
  <c r="AD665" i="50"/>
  <c r="AD724" i="50"/>
  <c r="U701" i="50"/>
  <c r="AD691" i="50"/>
  <c r="AD661" i="50"/>
  <c r="AD738" i="50"/>
  <c r="AD733" i="50"/>
  <c r="U723" i="50"/>
  <c r="U818" i="50"/>
  <c r="U738" i="50"/>
  <c r="U691" i="50"/>
  <c r="U733" i="50"/>
  <c r="AD818" i="50"/>
  <c r="U661" i="50"/>
  <c r="AD723" i="50"/>
  <c r="AD680" i="50"/>
  <c r="U667" i="50"/>
  <c r="U656" i="50"/>
  <c r="U790" i="50"/>
  <c r="U794" i="50"/>
  <c r="AD579" i="50"/>
  <c r="U653" i="50"/>
  <c r="AD686" i="50"/>
  <c r="AD790" i="50"/>
  <c r="AD656" i="50"/>
  <c r="AD794" i="50"/>
  <c r="U686" i="50"/>
  <c r="AD667" i="50"/>
  <c r="AD653" i="50"/>
  <c r="U680" i="50"/>
  <c r="U579" i="50"/>
  <c r="U713" i="50"/>
  <c r="AD590" i="50"/>
  <c r="U798" i="50"/>
  <c r="U684" i="50"/>
  <c r="AD659" i="50"/>
  <c r="U624" i="50"/>
  <c r="U591" i="50"/>
  <c r="U819" i="50"/>
  <c r="AD687" i="50"/>
  <c r="U698" i="50"/>
  <c r="U687" i="50"/>
  <c r="U659" i="50"/>
  <c r="AD698" i="50"/>
  <c r="U590" i="50"/>
  <c r="AD624" i="50"/>
  <c r="AD591" i="50"/>
  <c r="AD713" i="50"/>
  <c r="AD819" i="50"/>
  <c r="AD798" i="50"/>
  <c r="AD684" i="50"/>
  <c r="AD697" i="50"/>
  <c r="AD683" i="50"/>
  <c r="U806" i="50"/>
  <c r="U689" i="50"/>
  <c r="U652" i="50"/>
  <c r="U807" i="50"/>
  <c r="U583" i="50"/>
  <c r="U737" i="50"/>
  <c r="U741" i="50"/>
  <c r="AD741" i="50"/>
  <c r="U683" i="50"/>
  <c r="AD583" i="50"/>
  <c r="U697" i="50"/>
  <c r="AD652" i="50"/>
  <c r="AD737" i="50"/>
  <c r="AD806" i="50"/>
  <c r="AD807" i="50"/>
  <c r="AD689" i="50"/>
  <c r="AD662" i="50"/>
  <c r="AD668" i="50"/>
  <c r="AD859" i="50"/>
  <c r="AD495" i="50"/>
  <c r="AD593" i="50"/>
  <c r="U688" i="50"/>
  <c r="U655" i="50"/>
  <c r="AD711" i="50"/>
  <c r="AD708" i="50"/>
  <c r="U668" i="50"/>
  <c r="AD655" i="50"/>
  <c r="U711" i="50"/>
  <c r="AD688" i="50"/>
  <c r="U859" i="50"/>
  <c r="U495" i="50"/>
  <c r="AD582" i="50"/>
  <c r="U708" i="50"/>
  <c r="U662" i="50"/>
  <c r="U593" i="50"/>
  <c r="U582" i="50"/>
  <c r="AD799" i="50"/>
  <c r="U586" i="50"/>
  <c r="U541" i="50"/>
  <c r="U663" i="50"/>
  <c r="U743" i="50"/>
  <c r="U585" i="50"/>
  <c r="U731" i="50"/>
  <c r="U672" i="50"/>
  <c r="AD679" i="50"/>
  <c r="AD728" i="50"/>
  <c r="AD586" i="50"/>
  <c r="AD541" i="50"/>
  <c r="U799" i="50"/>
  <c r="AD585" i="50"/>
  <c r="AD743" i="50"/>
  <c r="U728" i="50"/>
  <c r="AD793" i="50"/>
  <c r="U679" i="50"/>
  <c r="U793" i="50"/>
  <c r="AD731" i="50"/>
  <c r="AD672" i="50"/>
  <c r="AD663" i="50"/>
  <c r="U722" i="50"/>
  <c r="AD619" i="50"/>
  <c r="AD796" i="50"/>
  <c r="U578" i="50"/>
  <c r="U792" i="50"/>
  <c r="U712" i="50"/>
  <c r="AD860" i="50"/>
  <c r="AD496" i="50"/>
  <c r="AD809" i="50"/>
  <c r="U808" i="50"/>
  <c r="AD578" i="50"/>
  <c r="U860" i="50"/>
  <c r="U496" i="50"/>
  <c r="AD722" i="50"/>
  <c r="AD712" i="50"/>
  <c r="AD808" i="50"/>
  <c r="U814" i="50"/>
  <c r="U809" i="50"/>
  <c r="AD814" i="50"/>
  <c r="U796" i="50"/>
  <c r="U619" i="50"/>
  <c r="AD792" i="50"/>
  <c r="AD802" i="50"/>
  <c r="AD594" i="50"/>
  <c r="AD682" i="50"/>
  <c r="AD584" i="50"/>
  <c r="AD720" i="50"/>
  <c r="U494" i="50"/>
  <c r="AD576" i="50"/>
  <c r="U765" i="50"/>
  <c r="U720" i="50"/>
  <c r="U802" i="50"/>
  <c r="U584" i="50"/>
  <c r="AD494" i="50"/>
  <c r="AD765" i="50"/>
  <c r="U576" i="50"/>
  <c r="U682" i="50"/>
  <c r="U594" i="50"/>
  <c r="AD817" i="50"/>
  <c r="AD625" i="50"/>
  <c r="AD592" i="50"/>
  <c r="AD543" i="50"/>
  <c r="U696" i="50"/>
  <c r="U695" i="50"/>
  <c r="AD862" i="50"/>
  <c r="AD498" i="50"/>
  <c r="U862" i="50"/>
  <c r="U498" i="50"/>
  <c r="U592" i="50"/>
  <c r="U543" i="50"/>
  <c r="AD696" i="50"/>
  <c r="U817" i="50"/>
  <c r="U625" i="50"/>
  <c r="AD695" i="50"/>
  <c r="U716" i="50"/>
  <c r="U492" i="50"/>
  <c r="U815" i="50"/>
  <c r="U768" i="50"/>
  <c r="U699" i="50"/>
  <c r="AD666" i="50"/>
  <c r="AD717" i="50"/>
  <c r="AD623" i="50"/>
  <c r="U732" i="50"/>
  <c r="AD812" i="50"/>
  <c r="U805" i="50"/>
  <c r="U714" i="50"/>
  <c r="AD492" i="50"/>
  <c r="U666" i="50"/>
  <c r="AD805" i="50"/>
  <c r="AD714" i="50"/>
  <c r="AD815" i="50"/>
  <c r="AD768" i="50"/>
  <c r="AD716" i="50"/>
  <c r="U812" i="50"/>
  <c r="AD732" i="50"/>
  <c r="U623" i="50"/>
  <c r="AD699" i="50"/>
  <c r="U717" i="50"/>
  <c r="U769" i="50"/>
  <c r="U734" i="50"/>
  <c r="U632" i="50"/>
  <c r="AD707" i="50"/>
  <c r="U803" i="50"/>
  <c r="U858" i="50"/>
  <c r="U490" i="50"/>
  <c r="AD705" i="50"/>
  <c r="U542" i="50"/>
  <c r="AD810" i="50"/>
  <c r="AD727" i="50"/>
  <c r="AD694" i="50"/>
  <c r="U727" i="50"/>
  <c r="AD769" i="50"/>
  <c r="AD734" i="50"/>
  <c r="AD632" i="50"/>
  <c r="U810" i="50"/>
  <c r="U705" i="50"/>
  <c r="U707" i="50"/>
  <c r="U694" i="50"/>
  <c r="AD542" i="50"/>
  <c r="AD803" i="50"/>
  <c r="AD858" i="50"/>
  <c r="AD490" i="50"/>
  <c r="AD863" i="50"/>
  <c r="AD499" i="50"/>
  <c r="AD745" i="50"/>
  <c r="U595" i="50"/>
  <c r="U491" i="50"/>
  <c r="U664" i="50"/>
  <c r="AD658" i="50"/>
  <c r="AD709" i="50"/>
  <c r="U633" i="50"/>
  <c r="AD690" i="50"/>
  <c r="U658" i="50"/>
  <c r="U745" i="50"/>
  <c r="AD664" i="50"/>
  <c r="U863" i="50"/>
  <c r="U499" i="50"/>
  <c r="AD491" i="50"/>
  <c r="AD595" i="50"/>
  <c r="AD633" i="50"/>
  <c r="U709" i="50"/>
  <c r="U690" i="50"/>
  <c r="AD598" i="50"/>
  <c r="U735" i="50"/>
  <c r="U726" i="50"/>
  <c r="AD740" i="50"/>
  <c r="AD678" i="50"/>
  <c r="AD703" i="50"/>
  <c r="U797" i="50"/>
  <c r="U704" i="50"/>
  <c r="U677" i="50"/>
  <c r="AD735" i="50"/>
  <c r="AD704" i="50"/>
  <c r="AD797" i="50"/>
  <c r="U740" i="50"/>
  <c r="AD677" i="50"/>
  <c r="U703" i="50"/>
  <c r="AD726" i="50"/>
  <c r="U598" i="50"/>
  <c r="U678" i="50"/>
  <c r="U739" i="50"/>
  <c r="AD620" i="50"/>
  <c r="AD767" i="50"/>
  <c r="AD621" i="50"/>
  <c r="AD816" i="50"/>
  <c r="AD674" i="50"/>
  <c r="AD791" i="50"/>
  <c r="U822" i="50"/>
  <c r="AD725" i="50"/>
  <c r="U674" i="50"/>
  <c r="U621" i="50"/>
  <c r="U620" i="50"/>
  <c r="AD822" i="50"/>
  <c r="U816" i="50"/>
  <c r="AD739" i="50"/>
  <c r="U767" i="50"/>
  <c r="U791" i="50"/>
  <c r="U725" i="50"/>
  <c r="AD706" i="50"/>
  <c r="AD811" i="50"/>
  <c r="AD730" i="50"/>
  <c r="U813" i="50"/>
  <c r="U676" i="50"/>
  <c r="U596" i="50"/>
  <c r="AD736" i="50"/>
  <c r="U706" i="50"/>
  <c r="AD813" i="50"/>
  <c r="AD676" i="50"/>
  <c r="U811" i="50"/>
  <c r="U736" i="50"/>
  <c r="AD596" i="50"/>
  <c r="U730" i="50"/>
  <c r="AD800" i="50"/>
  <c r="U685" i="50"/>
  <c r="U700" i="50"/>
  <c r="U729" i="50"/>
  <c r="AD715" i="50"/>
  <c r="AD673" i="50"/>
  <c r="U800" i="50"/>
  <c r="U673" i="50"/>
  <c r="U715" i="50"/>
  <c r="AD685" i="50"/>
  <c r="AD729" i="50"/>
  <c r="AD700" i="50"/>
  <c r="U670" i="50"/>
  <c r="U626" i="50"/>
  <c r="U627" i="50"/>
  <c r="U577" i="50"/>
  <c r="AD744" i="50"/>
  <c r="AD675" i="50"/>
  <c r="U795" i="50"/>
  <c r="AD681" i="50"/>
  <c r="U580" i="50"/>
  <c r="AD627" i="50"/>
  <c r="U744" i="50"/>
  <c r="AD670" i="50"/>
  <c r="AD580" i="50"/>
  <c r="AD577" i="50"/>
  <c r="U675" i="50"/>
  <c r="U681" i="50"/>
  <c r="AD626" i="50"/>
  <c r="AD795" i="50"/>
  <c r="AD702" i="50"/>
  <c r="AD657" i="50"/>
  <c r="AD693" i="50"/>
  <c r="U671" i="50"/>
  <c r="AD801" i="50"/>
  <c r="U742" i="50"/>
  <c r="AD692" i="50"/>
  <c r="AD721" i="50"/>
  <c r="U493" i="50"/>
  <c r="AD671" i="50"/>
  <c r="U657" i="50"/>
  <c r="AD493" i="50"/>
  <c r="U692" i="50"/>
  <c r="U693" i="50"/>
  <c r="U801" i="50"/>
  <c r="AD742" i="50"/>
  <c r="U721" i="50"/>
  <c r="U702" i="50"/>
  <c r="AD884" i="50"/>
  <c r="AD883" i="50"/>
  <c r="AD882" i="50"/>
  <c r="AD881" i="50"/>
  <c r="AD880" i="50"/>
  <c r="AD879" i="50"/>
  <c r="AD878" i="50"/>
  <c r="AD877" i="50"/>
  <c r="AD876" i="50"/>
  <c r="AD875" i="50"/>
  <c r="AD874" i="50"/>
  <c r="AD873" i="50"/>
  <c r="AD872" i="50"/>
  <c r="AD871" i="50"/>
  <c r="AD870" i="50"/>
  <c r="AD869" i="50"/>
  <c r="AD868" i="50"/>
  <c r="AD867" i="50"/>
  <c r="AD866" i="50"/>
  <c r="AD865" i="50"/>
  <c r="AD864" i="50"/>
  <c r="AD857" i="50"/>
  <c r="AD856" i="50"/>
  <c r="AD855" i="50"/>
  <c r="AD854" i="50"/>
  <c r="AD853" i="50"/>
  <c r="AD852" i="50"/>
  <c r="AD851" i="50"/>
  <c r="AD850" i="50"/>
  <c r="AD849" i="50"/>
  <c r="AD848" i="50"/>
  <c r="AD847" i="50"/>
  <c r="AD846" i="50"/>
  <c r="AD845" i="50"/>
  <c r="AD844" i="50"/>
  <c r="AD843" i="50"/>
  <c r="AD842" i="50"/>
  <c r="AD841" i="50"/>
  <c r="AD840" i="50"/>
  <c r="AD839" i="50"/>
  <c r="AD838" i="50"/>
  <c r="AD837" i="50"/>
  <c r="AD836" i="50"/>
  <c r="AD835" i="50"/>
  <c r="AD834" i="50"/>
  <c r="AD833" i="50"/>
  <c r="AD832" i="50"/>
  <c r="AD831" i="50"/>
  <c r="AD830" i="50"/>
  <c r="AD829" i="50"/>
  <c r="AD828" i="50"/>
  <c r="AD827" i="50"/>
  <c r="AD826" i="50"/>
  <c r="AD825" i="50"/>
  <c r="AD824" i="50"/>
  <c r="AD823" i="50"/>
  <c r="AD821" i="50"/>
  <c r="AD820" i="50"/>
  <c r="AD788" i="50"/>
  <c r="AD787" i="50"/>
  <c r="AD786" i="50"/>
  <c r="AD785" i="50"/>
  <c r="AD784" i="50"/>
  <c r="AD783" i="50"/>
  <c r="AD782" i="50"/>
  <c r="AD781" i="50"/>
  <c r="AD780" i="50"/>
  <c r="AD779" i="50"/>
  <c r="AD778" i="50"/>
  <c r="AD777" i="50"/>
  <c r="AD776" i="50"/>
  <c r="AD775" i="50"/>
  <c r="AD774" i="50"/>
  <c r="AD773" i="50"/>
  <c r="AD772" i="50"/>
  <c r="AD771" i="50"/>
  <c r="AD770" i="50"/>
  <c r="AD766" i="50"/>
  <c r="AD764" i="50"/>
  <c r="AD763" i="50"/>
  <c r="AD762" i="50"/>
  <c r="AD761" i="50"/>
  <c r="AD760" i="50"/>
  <c r="AD759" i="50"/>
  <c r="AD758" i="50"/>
  <c r="AD757" i="50"/>
  <c r="AD756" i="50"/>
  <c r="AD755" i="50"/>
  <c r="AD754" i="50"/>
  <c r="AD753" i="50"/>
  <c r="AD752" i="50"/>
  <c r="AD751" i="50"/>
  <c r="AD750" i="50"/>
  <c r="AD749" i="50"/>
  <c r="AD748" i="50"/>
  <c r="AD747" i="50"/>
  <c r="AD746" i="50"/>
  <c r="AD719" i="50"/>
  <c r="AD718" i="50"/>
  <c r="AD660" i="50"/>
  <c r="AD651" i="50"/>
  <c r="AD650" i="50"/>
  <c r="AD649" i="50"/>
  <c r="AD648" i="50"/>
  <c r="AD647" i="50"/>
  <c r="AD646" i="50"/>
  <c r="AD645" i="50"/>
  <c r="AD644" i="50"/>
  <c r="AD643" i="50"/>
  <c r="AD642" i="50"/>
  <c r="AD641" i="50"/>
  <c r="AD640" i="50"/>
  <c r="AD639" i="50"/>
  <c r="AD638" i="50"/>
  <c r="AD637" i="50"/>
  <c r="AD636" i="50"/>
  <c r="AD635" i="50"/>
  <c r="AD634" i="50"/>
  <c r="AD630" i="50"/>
  <c r="AD629" i="50"/>
  <c r="AD628" i="50"/>
  <c r="AD618" i="50"/>
  <c r="AD617" i="50"/>
  <c r="AD616" i="50"/>
  <c r="AD615" i="50"/>
  <c r="AD614" i="50"/>
  <c r="AD613" i="50"/>
  <c r="AD612" i="50"/>
  <c r="AD611" i="50"/>
  <c r="AD610" i="50"/>
  <c r="AD609" i="50"/>
  <c r="AD608" i="50"/>
  <c r="AD607" i="50"/>
  <c r="AD606" i="50"/>
  <c r="AD605" i="50"/>
  <c r="AD604" i="50"/>
  <c r="AD603" i="50"/>
  <c r="AD602" i="50"/>
  <c r="AD601" i="50"/>
  <c r="AD600" i="50"/>
  <c r="AD599" i="50"/>
  <c r="AD597" i="50"/>
  <c r="AD589" i="50"/>
  <c r="AD588" i="50"/>
  <c r="AD587" i="50"/>
  <c r="AD581" i="50"/>
  <c r="AD575" i="50"/>
  <c r="AD574" i="50"/>
  <c r="AD573" i="50"/>
  <c r="AD572" i="50"/>
  <c r="AD571" i="50"/>
  <c r="AD570" i="50"/>
  <c r="AD569" i="50"/>
  <c r="AD568" i="50"/>
  <c r="AD567" i="50"/>
  <c r="AD566" i="50"/>
  <c r="AD565" i="50"/>
  <c r="AD564" i="50"/>
  <c r="AD563" i="50"/>
  <c r="AD562" i="50"/>
  <c r="AD561" i="50"/>
  <c r="AD560" i="50"/>
  <c r="AD559" i="50"/>
  <c r="AD558" i="50"/>
  <c r="AD557" i="50"/>
  <c r="AD556" i="50"/>
  <c r="AD555" i="50"/>
  <c r="AD554" i="50"/>
  <c r="AD553" i="50"/>
  <c r="AD552" i="50"/>
  <c r="AD551" i="50"/>
  <c r="AD550" i="50"/>
  <c r="AD549" i="50"/>
  <c r="AD548" i="50"/>
  <c r="AD547" i="50"/>
  <c r="AD546" i="50"/>
  <c r="AD545" i="50"/>
  <c r="AD544" i="50"/>
  <c r="AD540" i="50"/>
  <c r="AD539" i="50"/>
  <c r="AD538" i="50"/>
  <c r="AD537" i="50"/>
  <c r="AD536" i="50"/>
  <c r="AD535" i="50"/>
  <c r="AD534" i="50"/>
  <c r="AD533" i="50"/>
  <c r="AD532" i="50"/>
  <c r="AD531" i="50"/>
  <c r="AD530" i="50"/>
  <c r="AD529" i="50"/>
  <c r="AD528" i="50"/>
  <c r="AD527" i="50"/>
  <c r="AD526" i="50"/>
  <c r="AD525" i="50"/>
  <c r="AD524" i="50"/>
  <c r="AD523" i="50"/>
  <c r="AD522" i="50"/>
  <c r="AD521" i="50"/>
  <c r="AD520" i="50"/>
  <c r="AD519" i="50"/>
  <c r="AD518" i="50"/>
  <c r="AD517" i="50"/>
  <c r="AD516" i="50"/>
  <c r="AD515" i="50"/>
  <c r="AD514" i="50"/>
  <c r="AD513" i="50"/>
  <c r="AD512" i="50"/>
  <c r="AD511" i="50"/>
  <c r="AD510" i="50"/>
  <c r="AD509" i="50"/>
  <c r="AD508" i="50"/>
  <c r="AD507" i="50"/>
  <c r="AD506" i="50"/>
  <c r="AD505" i="50"/>
  <c r="AD504" i="50"/>
  <c r="AD503" i="50"/>
  <c r="AD502" i="50"/>
  <c r="AD501" i="50"/>
  <c r="AD500" i="50"/>
  <c r="AD489" i="50"/>
  <c r="AD488" i="50"/>
  <c r="AD487" i="50"/>
  <c r="AD486" i="50"/>
  <c r="AD485" i="50"/>
  <c r="AD484" i="50"/>
  <c r="AD483" i="50"/>
  <c r="AD482" i="50"/>
  <c r="AD481" i="50"/>
  <c r="AD480" i="50"/>
  <c r="AD479" i="50"/>
  <c r="AD478" i="50"/>
  <c r="AD477" i="50"/>
  <c r="AD476" i="50"/>
  <c r="AD475" i="50"/>
  <c r="AD474" i="50"/>
  <c r="AD473" i="50"/>
  <c r="AD472" i="50"/>
  <c r="AD471" i="50"/>
  <c r="AD470" i="50"/>
  <c r="AD469" i="50"/>
  <c r="AD468" i="50"/>
  <c r="AD467" i="50"/>
  <c r="AD466" i="50"/>
  <c r="AD465" i="50"/>
  <c r="AD464" i="50"/>
  <c r="AD463" i="50"/>
  <c r="AD462" i="50"/>
  <c r="AD461" i="50"/>
  <c r="U884" i="50"/>
  <c r="U883" i="50"/>
  <c r="U882" i="50"/>
  <c r="U881" i="50"/>
  <c r="U880" i="50"/>
  <c r="U879" i="50"/>
  <c r="U878" i="50"/>
  <c r="U877" i="50"/>
  <c r="U876" i="50"/>
  <c r="U875" i="50"/>
  <c r="U874" i="50"/>
  <c r="U873" i="50"/>
  <c r="U872" i="50"/>
  <c r="U871" i="50"/>
  <c r="U870" i="50"/>
  <c r="U869" i="50"/>
  <c r="U868" i="50"/>
  <c r="U867" i="50"/>
  <c r="U866" i="50"/>
  <c r="U865" i="50"/>
  <c r="U864" i="50"/>
  <c r="U857" i="50"/>
  <c r="U856" i="50"/>
  <c r="U855" i="50"/>
  <c r="U854" i="50"/>
  <c r="U853" i="50"/>
  <c r="U852" i="50"/>
  <c r="U851" i="50"/>
  <c r="U850" i="50"/>
  <c r="U849" i="50"/>
  <c r="U848" i="50"/>
  <c r="U847" i="50"/>
  <c r="U846" i="50"/>
  <c r="U845" i="50"/>
  <c r="U844" i="50"/>
  <c r="U843" i="50"/>
  <c r="U842" i="50"/>
  <c r="U841" i="50"/>
  <c r="U840" i="50"/>
  <c r="U839" i="50"/>
  <c r="U838" i="50"/>
  <c r="U837" i="50"/>
  <c r="U836" i="50"/>
  <c r="U835" i="50"/>
  <c r="U834" i="50"/>
  <c r="U833" i="50"/>
  <c r="U832" i="50"/>
  <c r="U831" i="50"/>
  <c r="U830" i="50"/>
  <c r="U829" i="50"/>
  <c r="U828" i="50"/>
  <c r="U827" i="50"/>
  <c r="U826" i="50"/>
  <c r="U825" i="50"/>
  <c r="U824" i="50"/>
  <c r="U823" i="50"/>
  <c r="U821" i="50"/>
  <c r="U820" i="50"/>
  <c r="U788" i="50"/>
  <c r="U787" i="50"/>
  <c r="U786" i="50"/>
  <c r="U785" i="50"/>
  <c r="U784" i="50"/>
  <c r="U783" i="50"/>
  <c r="U782" i="50"/>
  <c r="U781" i="50"/>
  <c r="U780" i="50"/>
  <c r="U779" i="50"/>
  <c r="U778" i="50"/>
  <c r="U777" i="50"/>
  <c r="U776" i="50"/>
  <c r="U775" i="50"/>
  <c r="U774" i="50"/>
  <c r="U773" i="50"/>
  <c r="U772" i="50"/>
  <c r="U771" i="50"/>
  <c r="U770" i="50"/>
  <c r="U766" i="50"/>
  <c r="U764" i="50"/>
  <c r="U763" i="50"/>
  <c r="U762" i="50"/>
  <c r="U761" i="50"/>
  <c r="U760" i="50"/>
  <c r="U759" i="50"/>
  <c r="U758" i="50"/>
  <c r="U757" i="50"/>
  <c r="U756" i="50"/>
  <c r="U755" i="50"/>
  <c r="U754" i="50"/>
  <c r="U753" i="50"/>
  <c r="U752" i="50"/>
  <c r="U751" i="50"/>
  <c r="U750" i="50"/>
  <c r="U749" i="50"/>
  <c r="U748" i="50"/>
  <c r="U747" i="50"/>
  <c r="U746" i="50"/>
  <c r="U719" i="50"/>
  <c r="U718" i="50"/>
  <c r="U660" i="50"/>
  <c r="U651" i="50"/>
  <c r="U650" i="50"/>
  <c r="U649" i="50"/>
  <c r="U648" i="50"/>
  <c r="U647" i="50"/>
  <c r="U646" i="50"/>
  <c r="U645" i="50"/>
  <c r="U644" i="50"/>
  <c r="U643" i="50"/>
  <c r="U642" i="50"/>
  <c r="U641" i="50"/>
  <c r="U640" i="50"/>
  <c r="U639" i="50"/>
  <c r="U638" i="50"/>
  <c r="U637" i="50"/>
  <c r="U636" i="50"/>
  <c r="U635" i="50"/>
  <c r="U634" i="50"/>
  <c r="U630" i="50"/>
  <c r="U629" i="50"/>
  <c r="U628" i="50"/>
  <c r="U618" i="50"/>
  <c r="U617" i="50"/>
  <c r="U616" i="50"/>
  <c r="U615" i="50"/>
  <c r="U614" i="50"/>
  <c r="U613" i="50"/>
  <c r="U612" i="50"/>
  <c r="U611" i="50"/>
  <c r="U610" i="50"/>
  <c r="U609" i="50"/>
  <c r="U608" i="50"/>
  <c r="U607" i="50"/>
  <c r="U606" i="50"/>
  <c r="U605" i="50"/>
  <c r="U604" i="50"/>
  <c r="U603" i="50"/>
  <c r="U602" i="50"/>
  <c r="U601" i="50"/>
  <c r="U600" i="50"/>
  <c r="U599" i="50"/>
  <c r="U597" i="50"/>
  <c r="U589" i="50"/>
  <c r="U588" i="50"/>
  <c r="U587" i="50"/>
  <c r="U581" i="50"/>
  <c r="U575" i="50"/>
  <c r="U574" i="50"/>
  <c r="U573" i="50"/>
  <c r="U572" i="50"/>
  <c r="U571" i="50"/>
  <c r="U570" i="50"/>
  <c r="U569" i="50"/>
  <c r="U568" i="50"/>
  <c r="U567" i="50"/>
  <c r="U566" i="50"/>
  <c r="U565" i="50"/>
  <c r="U564" i="50"/>
  <c r="U563" i="50"/>
  <c r="U562" i="50"/>
  <c r="U561" i="50"/>
  <c r="U560" i="50"/>
  <c r="U559" i="50"/>
  <c r="U558" i="50"/>
  <c r="U557" i="50"/>
  <c r="U556" i="50"/>
  <c r="U555" i="50"/>
  <c r="U554" i="50"/>
  <c r="U553" i="50"/>
  <c r="U552" i="50"/>
  <c r="U551" i="50"/>
  <c r="U550" i="50"/>
  <c r="U549" i="50"/>
  <c r="U548" i="50"/>
  <c r="U547" i="50"/>
  <c r="U546" i="50"/>
  <c r="U545" i="50"/>
  <c r="U544" i="50"/>
  <c r="U540" i="50"/>
  <c r="U539" i="50"/>
  <c r="U538" i="50"/>
  <c r="U537" i="50"/>
  <c r="U536" i="50"/>
  <c r="U535" i="50"/>
  <c r="U534" i="50"/>
  <c r="U533" i="50"/>
  <c r="U532" i="50"/>
  <c r="U531" i="50"/>
  <c r="U530" i="50"/>
  <c r="U529" i="50"/>
  <c r="U528" i="50"/>
  <c r="U527" i="50"/>
  <c r="U526" i="50"/>
  <c r="U525" i="50"/>
  <c r="U524" i="50"/>
  <c r="U523" i="50"/>
  <c r="U522" i="50"/>
  <c r="U521" i="50"/>
  <c r="U520" i="50"/>
  <c r="U519" i="50"/>
  <c r="U518" i="50"/>
  <c r="U517" i="50"/>
  <c r="U516" i="50"/>
  <c r="U515" i="50"/>
  <c r="U514" i="50"/>
  <c r="U513" i="50"/>
  <c r="U512" i="50"/>
  <c r="U511" i="50"/>
  <c r="U510" i="50"/>
  <c r="U509" i="50"/>
  <c r="U508" i="50"/>
  <c r="U507" i="50"/>
  <c r="U506" i="50"/>
  <c r="U505" i="50"/>
  <c r="U504" i="50"/>
  <c r="U503" i="50"/>
  <c r="U502" i="50"/>
  <c r="U501" i="50"/>
  <c r="U500" i="50"/>
  <c r="U489" i="50"/>
  <c r="U488" i="50"/>
  <c r="U487" i="50"/>
  <c r="U486" i="50"/>
  <c r="U485" i="50"/>
  <c r="U484" i="50"/>
  <c r="U483" i="50"/>
  <c r="U482" i="50"/>
  <c r="U481" i="50"/>
  <c r="U480" i="50"/>
  <c r="U479" i="50"/>
  <c r="U478" i="50"/>
  <c r="U477" i="50"/>
  <c r="U476" i="50"/>
  <c r="U475" i="50"/>
  <c r="U474" i="50"/>
  <c r="U473" i="50"/>
  <c r="U472" i="50"/>
  <c r="U471" i="50"/>
  <c r="U470" i="50"/>
  <c r="U469" i="50"/>
  <c r="U468" i="50"/>
  <c r="U467" i="50"/>
  <c r="U466" i="50"/>
  <c r="U465" i="50"/>
  <c r="U464" i="50"/>
  <c r="U463" i="50"/>
  <c r="U462" i="50"/>
  <c r="U461" i="50"/>
  <c r="W1" i="50"/>
  <c r="X1" i="50"/>
  <c r="Y1" i="50"/>
  <c r="AD1" i="50"/>
  <c r="U1" i="50"/>
  <c r="AB1" i="50"/>
  <c r="V1" i="50"/>
  <c r="AA1" i="50"/>
  <c r="AC1" i="50"/>
  <c r="Z1" i="50"/>
  <c r="AE1" i="50" l="1"/>
  <c r="A2" i="50" a="1"/>
  <c r="A2" i="50" l="1"/>
  <c r="E2" i="50"/>
  <c r="I2" i="50"/>
  <c r="M2" i="50"/>
  <c r="Q2" i="50"/>
  <c r="A3" i="50"/>
  <c r="E3" i="50"/>
  <c r="I3" i="50"/>
  <c r="M3" i="50"/>
  <c r="Q3" i="50"/>
  <c r="A4" i="50"/>
  <c r="E4" i="50"/>
  <c r="I4" i="50"/>
  <c r="M4" i="50"/>
  <c r="Q4" i="50"/>
  <c r="A5" i="50"/>
  <c r="E5" i="50"/>
  <c r="I5" i="50"/>
  <c r="M5" i="50"/>
  <c r="Q5" i="50"/>
  <c r="A6" i="50"/>
  <c r="E6" i="50"/>
  <c r="I6" i="50"/>
  <c r="M6" i="50"/>
  <c r="Q6" i="50"/>
  <c r="A7" i="50"/>
  <c r="E7" i="50"/>
  <c r="I7" i="50"/>
  <c r="M7" i="50"/>
  <c r="Q7" i="50"/>
  <c r="A8" i="50"/>
  <c r="E8" i="50"/>
  <c r="I8" i="50"/>
  <c r="M8" i="50"/>
  <c r="Q8" i="50"/>
  <c r="A9" i="50"/>
  <c r="E9" i="50"/>
  <c r="I9" i="50"/>
  <c r="M9" i="50"/>
  <c r="Q9" i="50"/>
  <c r="A10" i="50"/>
  <c r="E10" i="50"/>
  <c r="I10" i="50"/>
  <c r="M10" i="50"/>
  <c r="Q10" i="50"/>
  <c r="A11" i="50"/>
  <c r="E11" i="50"/>
  <c r="I11" i="50"/>
  <c r="M11" i="50"/>
  <c r="Q11" i="50"/>
  <c r="A12" i="50"/>
  <c r="E12" i="50"/>
  <c r="I12" i="50"/>
  <c r="M12" i="50"/>
  <c r="Q12" i="50"/>
  <c r="A13" i="50"/>
  <c r="E13" i="50"/>
  <c r="I13" i="50"/>
  <c r="M13" i="50"/>
  <c r="Q13" i="50"/>
  <c r="A14" i="50"/>
  <c r="E14" i="50"/>
  <c r="I14" i="50"/>
  <c r="M14" i="50"/>
  <c r="Q14" i="50"/>
  <c r="A15" i="50"/>
  <c r="E15" i="50"/>
  <c r="I15" i="50"/>
  <c r="M15" i="50"/>
  <c r="Q15" i="50"/>
  <c r="A16" i="50"/>
  <c r="E16" i="50"/>
  <c r="I16" i="50"/>
  <c r="M16" i="50"/>
  <c r="Q16" i="50"/>
  <c r="A17" i="50"/>
  <c r="E17" i="50"/>
  <c r="I17" i="50"/>
  <c r="M17" i="50"/>
  <c r="Q17" i="50"/>
  <c r="A18" i="50"/>
  <c r="E18" i="50"/>
  <c r="I18" i="50"/>
  <c r="M18" i="50"/>
  <c r="Q18" i="50"/>
  <c r="B2" i="50"/>
  <c r="F2" i="50"/>
  <c r="J2" i="50"/>
  <c r="N2" i="50"/>
  <c r="R2" i="50"/>
  <c r="B3" i="50"/>
  <c r="F3" i="50"/>
  <c r="J3" i="50"/>
  <c r="N3" i="50"/>
  <c r="R3" i="50"/>
  <c r="B4" i="50"/>
  <c r="F4" i="50"/>
  <c r="J4" i="50"/>
  <c r="N4" i="50"/>
  <c r="R4" i="50"/>
  <c r="B5" i="50"/>
  <c r="F5" i="50"/>
  <c r="J5" i="50"/>
  <c r="N5" i="50"/>
  <c r="R5" i="50"/>
  <c r="B6" i="50"/>
  <c r="F6" i="50"/>
  <c r="J6" i="50"/>
  <c r="N6" i="50"/>
  <c r="R6" i="50"/>
  <c r="C2" i="50"/>
  <c r="G2" i="50"/>
  <c r="K2" i="50"/>
  <c r="O2" i="50"/>
  <c r="S2" i="50"/>
  <c r="C3" i="50"/>
  <c r="G3" i="50"/>
  <c r="K3" i="50"/>
  <c r="O3" i="50"/>
  <c r="S3" i="50"/>
  <c r="C4" i="50"/>
  <c r="G4" i="50"/>
  <c r="K4" i="50"/>
  <c r="O4" i="50"/>
  <c r="S4" i="50"/>
  <c r="C5" i="50"/>
  <c r="G5" i="50"/>
  <c r="K5" i="50"/>
  <c r="O5" i="50"/>
  <c r="S5" i="50"/>
  <c r="C6" i="50"/>
  <c r="G6" i="50"/>
  <c r="K6" i="50"/>
  <c r="O6" i="50"/>
  <c r="S6" i="50"/>
  <c r="C7" i="50"/>
  <c r="G7" i="50"/>
  <c r="K7" i="50"/>
  <c r="O7" i="50"/>
  <c r="S7" i="50"/>
  <c r="C8" i="50"/>
  <c r="G8" i="50"/>
  <c r="K8" i="50"/>
  <c r="O8" i="50"/>
  <c r="S8" i="50"/>
  <c r="C9" i="50"/>
  <c r="G9" i="50"/>
  <c r="K9" i="50"/>
  <c r="O9" i="50"/>
  <c r="S9" i="50"/>
  <c r="C10" i="50"/>
  <c r="G10" i="50"/>
  <c r="K10" i="50"/>
  <c r="O10" i="50"/>
  <c r="S10" i="50"/>
  <c r="C11" i="50"/>
  <c r="G11" i="50"/>
  <c r="K11" i="50"/>
  <c r="D2" i="50"/>
  <c r="T2" i="50"/>
  <c r="P3" i="50"/>
  <c r="L4" i="50"/>
  <c r="H5" i="50"/>
  <c r="D6" i="50"/>
  <c r="T6" i="50"/>
  <c r="H7" i="50"/>
  <c r="P7" i="50"/>
  <c r="D8" i="50"/>
  <c r="L8" i="50"/>
  <c r="T8" i="50"/>
  <c r="H9" i="50"/>
  <c r="P9" i="50"/>
  <c r="D10" i="50"/>
  <c r="L10" i="50"/>
  <c r="T10" i="50"/>
  <c r="H11" i="50"/>
  <c r="O11" i="50"/>
  <c r="T11" i="50"/>
  <c r="F12" i="50"/>
  <c r="K12" i="50"/>
  <c r="P12" i="50"/>
  <c r="B13" i="50"/>
  <c r="G13" i="50"/>
  <c r="L13" i="50"/>
  <c r="R13" i="50"/>
  <c r="C14" i="50"/>
  <c r="H14" i="50"/>
  <c r="N14" i="50"/>
  <c r="S14" i="50"/>
  <c r="D15" i="50"/>
  <c r="J15" i="50"/>
  <c r="O15" i="50"/>
  <c r="T15" i="50"/>
  <c r="F16" i="50"/>
  <c r="K16" i="50"/>
  <c r="P16" i="50"/>
  <c r="B17" i="50"/>
  <c r="G17" i="50"/>
  <c r="L17" i="50"/>
  <c r="R17" i="50"/>
  <c r="C18" i="50"/>
  <c r="H18" i="50"/>
  <c r="N18" i="50"/>
  <c r="S18" i="50"/>
  <c r="C19" i="50"/>
  <c r="G19" i="50"/>
  <c r="K19" i="50"/>
  <c r="O19" i="50"/>
  <c r="S19" i="50"/>
  <c r="C20" i="50"/>
  <c r="G20" i="50"/>
  <c r="K20" i="50"/>
  <c r="O20" i="50"/>
  <c r="S20" i="50"/>
  <c r="C21" i="50"/>
  <c r="G21" i="50"/>
  <c r="K21" i="50"/>
  <c r="O21" i="50"/>
  <c r="S21" i="50"/>
  <c r="C22" i="50"/>
  <c r="G22" i="50"/>
  <c r="K22" i="50"/>
  <c r="O22" i="50"/>
  <c r="S22" i="50"/>
  <c r="C23" i="50"/>
  <c r="G23" i="50"/>
  <c r="K23" i="50"/>
  <c r="O23" i="50"/>
  <c r="S23" i="50"/>
  <c r="C24" i="50"/>
  <c r="G24" i="50"/>
  <c r="K24" i="50"/>
  <c r="O24" i="50"/>
  <c r="S24" i="50"/>
  <c r="C25" i="50"/>
  <c r="G25" i="50"/>
  <c r="K25" i="50"/>
  <c r="O25" i="50"/>
  <c r="S25" i="50"/>
  <c r="C26" i="50"/>
  <c r="G26" i="50"/>
  <c r="K26" i="50"/>
  <c r="O26" i="50"/>
  <c r="H2" i="50"/>
  <c r="D3" i="50"/>
  <c r="T3" i="50"/>
  <c r="P4" i="50"/>
  <c r="L5" i="50"/>
  <c r="H6" i="50"/>
  <c r="B7" i="50"/>
  <c r="J7" i="50"/>
  <c r="R7" i="50"/>
  <c r="F8" i="50"/>
  <c r="N8" i="50"/>
  <c r="B9" i="50"/>
  <c r="J9" i="50"/>
  <c r="R9" i="50"/>
  <c r="F10" i="50"/>
  <c r="N10" i="50"/>
  <c r="B11" i="50"/>
  <c r="J11" i="50"/>
  <c r="P11" i="50"/>
  <c r="B12" i="50"/>
  <c r="G12" i="50"/>
  <c r="L12" i="50"/>
  <c r="R12" i="50"/>
  <c r="L2" i="50"/>
  <c r="D4" i="50"/>
  <c r="P5" i="50"/>
  <c r="D7" i="50"/>
  <c r="T7" i="50"/>
  <c r="P8" i="50"/>
  <c r="L9" i="50"/>
  <c r="H10" i="50"/>
  <c r="D11" i="50"/>
  <c r="R11" i="50"/>
  <c r="H12" i="50"/>
  <c r="S12" i="50"/>
  <c r="F13" i="50"/>
  <c r="N13" i="50"/>
  <c r="T13" i="50"/>
  <c r="G14" i="50"/>
  <c r="O14" i="50"/>
  <c r="B15" i="50"/>
  <c r="H15" i="50"/>
  <c r="P15" i="50"/>
  <c r="C16" i="50"/>
  <c r="J16" i="50"/>
  <c r="R16" i="50"/>
  <c r="D17" i="50"/>
  <c r="K17" i="50"/>
  <c r="S17" i="50"/>
  <c r="F18" i="50"/>
  <c r="L18" i="50"/>
  <c r="T18" i="50"/>
  <c r="E19" i="50"/>
  <c r="J19" i="50"/>
  <c r="P19" i="50"/>
  <c r="A20" i="50"/>
  <c r="F20" i="50"/>
  <c r="L20" i="50"/>
  <c r="Q20" i="50"/>
  <c r="B21" i="50"/>
  <c r="H21" i="50"/>
  <c r="M21" i="50"/>
  <c r="R21" i="50"/>
  <c r="D22" i="50"/>
  <c r="I22" i="50"/>
  <c r="N22" i="50"/>
  <c r="T22" i="50"/>
  <c r="E23" i="50"/>
  <c r="J23" i="50"/>
  <c r="P23" i="50"/>
  <c r="A24" i="50"/>
  <c r="F24" i="50"/>
  <c r="L24" i="50"/>
  <c r="Q24" i="50"/>
  <c r="B25" i="50"/>
  <c r="H25" i="50"/>
  <c r="M25" i="50"/>
  <c r="R25" i="50"/>
  <c r="D26" i="50"/>
  <c r="I26" i="50"/>
  <c r="N26" i="50"/>
  <c r="S26" i="50"/>
  <c r="C27" i="50"/>
  <c r="G27" i="50"/>
  <c r="K27" i="50"/>
  <c r="O27" i="50"/>
  <c r="S27" i="50"/>
  <c r="C28" i="50"/>
  <c r="G28" i="50"/>
  <c r="K28" i="50"/>
  <c r="O28" i="50"/>
  <c r="S28" i="50"/>
  <c r="C29" i="50"/>
  <c r="G29" i="50"/>
  <c r="K29" i="50"/>
  <c r="O29" i="50"/>
  <c r="S29" i="50"/>
  <c r="C30" i="50"/>
  <c r="G30" i="50"/>
  <c r="K30" i="50"/>
  <c r="O30" i="50"/>
  <c r="S30" i="50"/>
  <c r="C31" i="50"/>
  <c r="G31" i="50"/>
  <c r="K31" i="50"/>
  <c r="O31" i="50"/>
  <c r="S31" i="50"/>
  <c r="C32" i="50"/>
  <c r="G32" i="50"/>
  <c r="K32" i="50"/>
  <c r="O32" i="50"/>
  <c r="S32" i="50"/>
  <c r="C33" i="50"/>
  <c r="G33" i="50"/>
  <c r="K33" i="50"/>
  <c r="O33" i="50"/>
  <c r="S33" i="50"/>
  <c r="C34" i="50"/>
  <c r="G34" i="50"/>
  <c r="K34" i="50"/>
  <c r="O34" i="50"/>
  <c r="S34" i="50"/>
  <c r="C35" i="50"/>
  <c r="G35" i="50"/>
  <c r="K35" i="50"/>
  <c r="O35" i="50"/>
  <c r="S35" i="50"/>
  <c r="C36" i="50"/>
  <c r="G36" i="50"/>
  <c r="K36" i="50"/>
  <c r="O36" i="50"/>
  <c r="S36" i="50"/>
  <c r="C37" i="50"/>
  <c r="G37" i="50"/>
  <c r="K37" i="50"/>
  <c r="O37" i="50"/>
  <c r="S37" i="50"/>
  <c r="C38" i="50"/>
  <c r="G38" i="50"/>
  <c r="K38" i="50"/>
  <c r="O38" i="50"/>
  <c r="S38" i="50"/>
  <c r="C39" i="50"/>
  <c r="G39" i="50"/>
  <c r="K39" i="50"/>
  <c r="O39" i="50"/>
  <c r="S39" i="50"/>
  <c r="C40" i="50"/>
  <c r="G40" i="50"/>
  <c r="K40" i="50"/>
  <c r="O40" i="50"/>
  <c r="S40" i="50"/>
  <c r="C41" i="50"/>
  <c r="G41" i="50"/>
  <c r="K41" i="50"/>
  <c r="O41" i="50"/>
  <c r="S41" i="50"/>
  <c r="C42" i="50"/>
  <c r="G42" i="50"/>
  <c r="K42" i="50"/>
  <c r="O42" i="50"/>
  <c r="S42" i="50"/>
  <c r="C43" i="50"/>
  <c r="G43" i="50"/>
  <c r="K43" i="50"/>
  <c r="O43" i="50"/>
  <c r="S43" i="50"/>
  <c r="C44" i="50"/>
  <c r="G44" i="50"/>
  <c r="K44" i="50"/>
  <c r="O44" i="50"/>
  <c r="S44" i="50"/>
  <c r="C45" i="50"/>
  <c r="G45" i="50"/>
  <c r="K45" i="50"/>
  <c r="O45" i="50"/>
  <c r="S45" i="50"/>
  <c r="C46" i="50"/>
  <c r="G46" i="50"/>
  <c r="K46" i="50"/>
  <c r="O46" i="50"/>
  <c r="S46" i="50"/>
  <c r="C47" i="50"/>
  <c r="G47" i="50"/>
  <c r="K47" i="50"/>
  <c r="O47" i="50"/>
  <c r="S47" i="50"/>
  <c r="C48" i="50"/>
  <c r="G48" i="50"/>
  <c r="K48" i="50"/>
  <c r="O48" i="50"/>
  <c r="S48" i="50"/>
  <c r="C49" i="50"/>
  <c r="P2" i="50"/>
  <c r="H4" i="50"/>
  <c r="T5" i="50"/>
  <c r="F7" i="50"/>
  <c r="B8" i="50"/>
  <c r="R8" i="50"/>
  <c r="N9" i="50"/>
  <c r="J10" i="50"/>
  <c r="F11" i="50"/>
  <c r="S11" i="50"/>
  <c r="J12" i="50"/>
  <c r="T12" i="50"/>
  <c r="H13" i="50"/>
  <c r="O13" i="50"/>
  <c r="B14" i="50"/>
  <c r="J14" i="50"/>
  <c r="P14" i="50"/>
  <c r="C15" i="50"/>
  <c r="K15" i="50"/>
  <c r="R15" i="50"/>
  <c r="D16" i="50"/>
  <c r="L16" i="50"/>
  <c r="S16" i="50"/>
  <c r="F17" i="50"/>
  <c r="N17" i="50"/>
  <c r="T17" i="50"/>
  <c r="G18" i="50"/>
  <c r="O18" i="50"/>
  <c r="A19" i="50"/>
  <c r="F19" i="50"/>
  <c r="L19" i="50"/>
  <c r="Q19" i="50"/>
  <c r="B20" i="50"/>
  <c r="H20" i="50"/>
  <c r="M20" i="50"/>
  <c r="R20" i="50"/>
  <c r="D21" i="50"/>
  <c r="I21" i="50"/>
  <c r="N21" i="50"/>
  <c r="T21" i="50"/>
  <c r="E22" i="50"/>
  <c r="J22" i="50"/>
  <c r="P22" i="50"/>
  <c r="A23" i="50"/>
  <c r="F23" i="50"/>
  <c r="L23" i="50"/>
  <c r="Q23" i="50"/>
  <c r="B24" i="50"/>
  <c r="H24" i="50"/>
  <c r="M24" i="50"/>
  <c r="R24" i="50"/>
  <c r="D25" i="50"/>
  <c r="I25" i="50"/>
  <c r="N25" i="50"/>
  <c r="T25" i="50"/>
  <c r="E26" i="50"/>
  <c r="J26" i="50"/>
  <c r="P26" i="50"/>
  <c r="T26" i="50"/>
  <c r="D27" i="50"/>
  <c r="H27" i="50"/>
  <c r="L27" i="50"/>
  <c r="P27" i="50"/>
  <c r="T27" i="50"/>
  <c r="D28" i="50"/>
  <c r="H28" i="50"/>
  <c r="L28" i="50"/>
  <c r="P28" i="50"/>
  <c r="T28" i="50"/>
  <c r="D29" i="50"/>
  <c r="H29" i="50"/>
  <c r="L29" i="50"/>
  <c r="P29" i="50"/>
  <c r="T29" i="50"/>
  <c r="D30" i="50"/>
  <c r="H30" i="50"/>
  <c r="L30" i="50"/>
  <c r="P30" i="50"/>
  <c r="T30" i="50"/>
  <c r="D31" i="50"/>
  <c r="H31" i="50"/>
  <c r="L31" i="50"/>
  <c r="P31" i="50"/>
  <c r="T31" i="50"/>
  <c r="D32" i="50"/>
  <c r="H32" i="50"/>
  <c r="L32" i="50"/>
  <c r="P32" i="50"/>
  <c r="T32" i="50"/>
  <c r="D33" i="50"/>
  <c r="H33" i="50"/>
  <c r="L33" i="50"/>
  <c r="P33" i="50"/>
  <c r="T33" i="50"/>
  <c r="D34" i="50"/>
  <c r="H34" i="50"/>
  <c r="L34" i="50"/>
  <c r="P34" i="50"/>
  <c r="T34" i="50"/>
  <c r="D35" i="50"/>
  <c r="H35" i="50"/>
  <c r="L35" i="50"/>
  <c r="P35" i="50"/>
  <c r="T35" i="50"/>
  <c r="D36" i="50"/>
  <c r="H36" i="50"/>
  <c r="L36" i="50"/>
  <c r="P36" i="50"/>
  <c r="T36" i="50"/>
  <c r="D37" i="50"/>
  <c r="H37" i="50"/>
  <c r="L37" i="50"/>
  <c r="P37" i="50"/>
  <c r="T37" i="50"/>
  <c r="D38" i="50"/>
  <c r="H38" i="50"/>
  <c r="L38" i="50"/>
  <c r="P38" i="50"/>
  <c r="T38" i="50"/>
  <c r="D39" i="50"/>
  <c r="H39" i="50"/>
  <c r="L39" i="50"/>
  <c r="P39" i="50"/>
  <c r="T39" i="50"/>
  <c r="D40" i="50"/>
  <c r="H40" i="50"/>
  <c r="H3" i="50"/>
  <c r="T4" i="50"/>
  <c r="L6" i="50"/>
  <c r="L7" i="50"/>
  <c r="H8" i="50"/>
  <c r="D9" i="50"/>
  <c r="T9" i="50"/>
  <c r="P10" i="50"/>
  <c r="L11" i="50"/>
  <c r="C12" i="50"/>
  <c r="N12" i="50"/>
  <c r="C13" i="50"/>
  <c r="J13" i="50"/>
  <c r="P13" i="50"/>
  <c r="D14" i="50"/>
  <c r="K14" i="50"/>
  <c r="R14" i="50"/>
  <c r="F15" i="50"/>
  <c r="L15" i="50"/>
  <c r="S15" i="50"/>
  <c r="G16" i="50"/>
  <c r="N16" i="50"/>
  <c r="T16" i="50"/>
  <c r="H17" i="50"/>
  <c r="O17" i="50"/>
  <c r="B18" i="50"/>
  <c r="J18" i="50"/>
  <c r="P18" i="50"/>
  <c r="B19" i="50"/>
  <c r="H19" i="50"/>
  <c r="M19" i="50"/>
  <c r="R19" i="50"/>
  <c r="D20" i="50"/>
  <c r="I20" i="50"/>
  <c r="N20" i="50"/>
  <c r="T20" i="50"/>
  <c r="E21" i="50"/>
  <c r="J21" i="50"/>
  <c r="P21" i="50"/>
  <c r="A22" i="50"/>
  <c r="F22" i="50"/>
  <c r="L22" i="50"/>
  <c r="Q22" i="50"/>
  <c r="B23" i="50"/>
  <c r="H23" i="50"/>
  <c r="M23" i="50"/>
  <c r="R23" i="50"/>
  <c r="D24" i="50"/>
  <c r="I24" i="50"/>
  <c r="N24" i="50"/>
  <c r="T24" i="50"/>
  <c r="E25" i="50"/>
  <c r="J25" i="50"/>
  <c r="P25" i="50"/>
  <c r="A26" i="50"/>
  <c r="F26" i="50"/>
  <c r="L26" i="50"/>
  <c r="Q26" i="50"/>
  <c r="A27" i="50"/>
  <c r="E27" i="50"/>
  <c r="I27" i="50"/>
  <c r="L3" i="50"/>
  <c r="D5" i="50"/>
  <c r="P6" i="50"/>
  <c r="N7" i="50"/>
  <c r="J8" i="50"/>
  <c r="F9" i="50"/>
  <c r="B10" i="50"/>
  <c r="R10" i="50"/>
  <c r="N11" i="50"/>
  <c r="D12" i="50"/>
  <c r="O12" i="50"/>
  <c r="D13" i="50"/>
  <c r="K13" i="50"/>
  <c r="S13" i="50"/>
  <c r="F14" i="50"/>
  <c r="L14" i="50"/>
  <c r="T14" i="50"/>
  <c r="G15" i="50"/>
  <c r="N15" i="50"/>
  <c r="B16" i="50"/>
  <c r="H16" i="50"/>
  <c r="O16" i="50"/>
  <c r="C17" i="50"/>
  <c r="J17" i="50"/>
  <c r="P17" i="50"/>
  <c r="D18" i="50"/>
  <c r="K18" i="50"/>
  <c r="R18" i="50"/>
  <c r="D19" i="50"/>
  <c r="I19" i="50"/>
  <c r="N19" i="50"/>
  <c r="T19" i="50"/>
  <c r="E20" i="50"/>
  <c r="J20" i="50"/>
  <c r="P20" i="50"/>
  <c r="A21" i="50"/>
  <c r="F21" i="50"/>
  <c r="L21" i="50"/>
  <c r="Q21" i="50"/>
  <c r="B22" i="50"/>
  <c r="H22" i="50"/>
  <c r="M22" i="50"/>
  <c r="R22" i="50"/>
  <c r="D23" i="50"/>
  <c r="I23" i="50"/>
  <c r="N23" i="50"/>
  <c r="T23" i="50"/>
  <c r="E24" i="50"/>
  <c r="J24" i="50"/>
  <c r="P24" i="50"/>
  <c r="A25" i="50"/>
  <c r="F25" i="50"/>
  <c r="L25" i="50"/>
  <c r="M26" i="50"/>
  <c r="J27" i="50"/>
  <c r="R27" i="50"/>
  <c r="F28" i="50"/>
  <c r="N28" i="50"/>
  <c r="B29" i="50"/>
  <c r="J29" i="50"/>
  <c r="R29" i="50"/>
  <c r="F30" i="50"/>
  <c r="N30" i="50"/>
  <c r="B31" i="50"/>
  <c r="J31" i="50"/>
  <c r="R31" i="50"/>
  <c r="F32" i="50"/>
  <c r="N32" i="50"/>
  <c r="B33" i="50"/>
  <c r="J33" i="50"/>
  <c r="R33" i="50"/>
  <c r="F34" i="50"/>
  <c r="N34" i="50"/>
  <c r="B35" i="50"/>
  <c r="J35" i="50"/>
  <c r="R35" i="50"/>
  <c r="F36" i="50"/>
  <c r="N36" i="50"/>
  <c r="B37" i="50"/>
  <c r="J37" i="50"/>
  <c r="R37" i="50"/>
  <c r="F38" i="50"/>
  <c r="N38" i="50"/>
  <c r="B39" i="50"/>
  <c r="J39" i="50"/>
  <c r="R39" i="50"/>
  <c r="F40" i="50"/>
  <c r="M40" i="50"/>
  <c r="R40" i="50"/>
  <c r="D41" i="50"/>
  <c r="I41" i="50"/>
  <c r="N41" i="50"/>
  <c r="T41" i="50"/>
  <c r="E42" i="50"/>
  <c r="J42" i="50"/>
  <c r="P42" i="50"/>
  <c r="A43" i="50"/>
  <c r="F43" i="50"/>
  <c r="L43" i="50"/>
  <c r="Q43" i="50"/>
  <c r="B44" i="50"/>
  <c r="H44" i="50"/>
  <c r="M44" i="50"/>
  <c r="R44" i="50"/>
  <c r="D45" i="50"/>
  <c r="I45" i="50"/>
  <c r="N45" i="50"/>
  <c r="T45" i="50"/>
  <c r="E46" i="50"/>
  <c r="J46" i="50"/>
  <c r="P46" i="50"/>
  <c r="A47" i="50"/>
  <c r="F47" i="50"/>
  <c r="L47" i="50"/>
  <c r="Q47" i="50"/>
  <c r="B48" i="50"/>
  <c r="H48" i="50"/>
  <c r="M48" i="50"/>
  <c r="R48" i="50"/>
  <c r="D49" i="50"/>
  <c r="H49" i="50"/>
  <c r="L49" i="50"/>
  <c r="P49" i="50"/>
  <c r="T49" i="50"/>
  <c r="D50" i="50"/>
  <c r="H50" i="50"/>
  <c r="L50" i="50"/>
  <c r="P50" i="50"/>
  <c r="T50" i="50"/>
  <c r="D51" i="50"/>
  <c r="H51" i="50"/>
  <c r="L51" i="50"/>
  <c r="P51" i="50"/>
  <c r="T51" i="50"/>
  <c r="D52" i="50"/>
  <c r="H52" i="50"/>
  <c r="L52" i="50"/>
  <c r="P52" i="50"/>
  <c r="T52" i="50"/>
  <c r="D53" i="50"/>
  <c r="H53" i="50"/>
  <c r="L53" i="50"/>
  <c r="P53" i="50"/>
  <c r="T53" i="50"/>
  <c r="D54" i="50"/>
  <c r="H54" i="50"/>
  <c r="L54" i="50"/>
  <c r="P54" i="50"/>
  <c r="T54" i="50"/>
  <c r="D55" i="50"/>
  <c r="H55" i="50"/>
  <c r="L55" i="50"/>
  <c r="P55" i="50"/>
  <c r="T55" i="50"/>
  <c r="D56" i="50"/>
  <c r="H56" i="50"/>
  <c r="L56" i="50"/>
  <c r="P56" i="50"/>
  <c r="T56" i="50"/>
  <c r="D57" i="50"/>
  <c r="H57" i="50"/>
  <c r="L57" i="50"/>
  <c r="P57" i="50"/>
  <c r="T57" i="50"/>
  <c r="D58" i="50"/>
  <c r="H58" i="50"/>
  <c r="L58" i="50"/>
  <c r="P58" i="50"/>
  <c r="T58" i="50"/>
  <c r="D59" i="50"/>
  <c r="H59" i="50"/>
  <c r="L59" i="50"/>
  <c r="P59" i="50"/>
  <c r="T59" i="50"/>
  <c r="D60" i="50"/>
  <c r="H60" i="50"/>
  <c r="L60" i="50"/>
  <c r="P60" i="50"/>
  <c r="T60" i="50"/>
  <c r="D61" i="50"/>
  <c r="H61" i="50"/>
  <c r="L61" i="50"/>
  <c r="P61" i="50"/>
  <c r="T61" i="50"/>
  <c r="D62" i="50"/>
  <c r="H62" i="50"/>
  <c r="L62" i="50"/>
  <c r="P62" i="50"/>
  <c r="T62" i="50"/>
  <c r="D63" i="50"/>
  <c r="H63" i="50"/>
  <c r="L63" i="50"/>
  <c r="P63" i="50"/>
  <c r="T63" i="50"/>
  <c r="D64" i="50"/>
  <c r="H64" i="50"/>
  <c r="L64" i="50"/>
  <c r="P64" i="50"/>
  <c r="T64" i="50"/>
  <c r="D65" i="50"/>
  <c r="H65" i="50"/>
  <c r="L65" i="50"/>
  <c r="P65" i="50"/>
  <c r="T65" i="50"/>
  <c r="D66" i="50"/>
  <c r="H66" i="50"/>
  <c r="L66" i="50"/>
  <c r="P66" i="50"/>
  <c r="T66" i="50"/>
  <c r="D67" i="50"/>
  <c r="H67" i="50"/>
  <c r="L67" i="50"/>
  <c r="P67" i="50"/>
  <c r="T67" i="50"/>
  <c r="D68" i="50"/>
  <c r="H68" i="50"/>
  <c r="L68" i="50"/>
  <c r="P68" i="50"/>
  <c r="T68" i="50"/>
  <c r="D69" i="50"/>
  <c r="H69" i="50"/>
  <c r="L69" i="50"/>
  <c r="P69" i="50"/>
  <c r="T69" i="50"/>
  <c r="D70" i="50"/>
  <c r="H70" i="50"/>
  <c r="L70" i="50"/>
  <c r="P70" i="50"/>
  <c r="T70" i="50"/>
  <c r="D71" i="50"/>
  <c r="H71" i="50"/>
  <c r="L71" i="50"/>
  <c r="P71" i="50"/>
  <c r="T71" i="50"/>
  <c r="D72" i="50"/>
  <c r="H72" i="50"/>
  <c r="L72" i="50"/>
  <c r="P72" i="50"/>
  <c r="T72" i="50"/>
  <c r="D73" i="50"/>
  <c r="H73" i="50"/>
  <c r="L73" i="50"/>
  <c r="P73" i="50"/>
  <c r="T73" i="50"/>
  <c r="D74" i="50"/>
  <c r="H74" i="50"/>
  <c r="L74" i="50"/>
  <c r="P74" i="50"/>
  <c r="T74" i="50"/>
  <c r="D75" i="50"/>
  <c r="H75" i="50"/>
  <c r="L75" i="50"/>
  <c r="P75" i="50"/>
  <c r="T75" i="50"/>
  <c r="D76" i="50"/>
  <c r="H76" i="50"/>
  <c r="L76" i="50"/>
  <c r="P76" i="50"/>
  <c r="T76" i="50"/>
  <c r="D77" i="50"/>
  <c r="H77" i="50"/>
  <c r="L77" i="50"/>
  <c r="P77" i="50"/>
  <c r="T77" i="50"/>
  <c r="D78" i="50"/>
  <c r="H78" i="50"/>
  <c r="L78" i="50"/>
  <c r="P78" i="50"/>
  <c r="T78" i="50"/>
  <c r="D79" i="50"/>
  <c r="H79" i="50"/>
  <c r="L79" i="50"/>
  <c r="P79" i="50"/>
  <c r="T79" i="50"/>
  <c r="D80" i="50"/>
  <c r="H80" i="50"/>
  <c r="L80" i="50"/>
  <c r="P80" i="50"/>
  <c r="T80" i="50"/>
  <c r="D81" i="50"/>
  <c r="H81" i="50"/>
  <c r="Q25" i="50"/>
  <c r="R26" i="50"/>
  <c r="M27" i="50"/>
  <c r="A28" i="50"/>
  <c r="I28" i="50"/>
  <c r="Q28" i="50"/>
  <c r="E29" i="50"/>
  <c r="M29" i="50"/>
  <c r="A30" i="50"/>
  <c r="I30" i="50"/>
  <c r="Q30" i="50"/>
  <c r="E31" i="50"/>
  <c r="M31" i="50"/>
  <c r="A32" i="50"/>
  <c r="I32" i="50"/>
  <c r="Q32" i="50"/>
  <c r="E33" i="50"/>
  <c r="M33" i="50"/>
  <c r="A34" i="50"/>
  <c r="I34" i="50"/>
  <c r="Q34" i="50"/>
  <c r="E35" i="50"/>
  <c r="M35" i="50"/>
  <c r="A36" i="50"/>
  <c r="I36" i="50"/>
  <c r="Q36" i="50"/>
  <c r="E37" i="50"/>
  <c r="M37" i="50"/>
  <c r="A38" i="50"/>
  <c r="I38" i="50"/>
  <c r="Q38" i="50"/>
  <c r="E39" i="50"/>
  <c r="M39" i="50"/>
  <c r="A40" i="50"/>
  <c r="I40" i="50"/>
  <c r="N40" i="50"/>
  <c r="T40" i="50"/>
  <c r="E41" i="50"/>
  <c r="J41" i="50"/>
  <c r="P41" i="50"/>
  <c r="A42" i="50"/>
  <c r="F42" i="50"/>
  <c r="L42" i="50"/>
  <c r="Q42" i="50"/>
  <c r="B43" i="50"/>
  <c r="H43" i="50"/>
  <c r="M43" i="50"/>
  <c r="R43" i="50"/>
  <c r="D44" i="50"/>
  <c r="I44" i="50"/>
  <c r="N44" i="50"/>
  <c r="T44" i="50"/>
  <c r="E45" i="50"/>
  <c r="J45" i="50"/>
  <c r="P45" i="50"/>
  <c r="A46" i="50"/>
  <c r="F46" i="50"/>
  <c r="L46" i="50"/>
  <c r="Q46" i="50"/>
  <c r="B47" i="50"/>
  <c r="H47" i="50"/>
  <c r="M47" i="50"/>
  <c r="R47" i="50"/>
  <c r="D48" i="50"/>
  <c r="I48" i="50"/>
  <c r="N48" i="50"/>
  <c r="T48" i="50"/>
  <c r="E49" i="50"/>
  <c r="I49" i="50"/>
  <c r="M49" i="50"/>
  <c r="Q49" i="50"/>
  <c r="A50" i="50"/>
  <c r="E50" i="50"/>
  <c r="I50" i="50"/>
  <c r="M50" i="50"/>
  <c r="Q50" i="50"/>
  <c r="A51" i="50"/>
  <c r="E51" i="50"/>
  <c r="I51" i="50"/>
  <c r="M51" i="50"/>
  <c r="Q51" i="50"/>
  <c r="A52" i="50"/>
  <c r="E52" i="50"/>
  <c r="I52" i="50"/>
  <c r="M52" i="50"/>
  <c r="Q52" i="50"/>
  <c r="A53" i="50"/>
  <c r="E53" i="50"/>
  <c r="I53" i="50"/>
  <c r="M53" i="50"/>
  <c r="B26" i="50"/>
  <c r="B27" i="50"/>
  <c r="N27" i="50"/>
  <c r="B28" i="50"/>
  <c r="J28" i="50"/>
  <c r="R28" i="50"/>
  <c r="F29" i="50"/>
  <c r="N29" i="50"/>
  <c r="B30" i="50"/>
  <c r="J30" i="50"/>
  <c r="R30" i="50"/>
  <c r="F31" i="50"/>
  <c r="N31" i="50"/>
  <c r="B32" i="50"/>
  <c r="J32" i="50"/>
  <c r="R32" i="50"/>
  <c r="F33" i="50"/>
  <c r="N33" i="50"/>
  <c r="B34" i="50"/>
  <c r="J34" i="50"/>
  <c r="R34" i="50"/>
  <c r="F35" i="50"/>
  <c r="N35" i="50"/>
  <c r="B36" i="50"/>
  <c r="J36" i="50"/>
  <c r="R36" i="50"/>
  <c r="F37" i="50"/>
  <c r="N37" i="50"/>
  <c r="B38" i="50"/>
  <c r="J38" i="50"/>
  <c r="R38" i="50"/>
  <c r="F39" i="50"/>
  <c r="N39" i="50"/>
  <c r="B40" i="50"/>
  <c r="J40" i="50"/>
  <c r="P40" i="50"/>
  <c r="A41" i="50"/>
  <c r="F41" i="50"/>
  <c r="L41" i="50"/>
  <c r="Q41" i="50"/>
  <c r="B42" i="50"/>
  <c r="H42" i="50"/>
  <c r="M42" i="50"/>
  <c r="R42" i="50"/>
  <c r="D43" i="50"/>
  <c r="I43" i="50"/>
  <c r="N43" i="50"/>
  <c r="T43" i="50"/>
  <c r="E44" i="50"/>
  <c r="J44" i="50"/>
  <c r="P44" i="50"/>
  <c r="A45" i="50"/>
  <c r="F45" i="50"/>
  <c r="L45" i="50"/>
  <c r="Q45" i="50"/>
  <c r="B46" i="50"/>
  <c r="H46" i="50"/>
  <c r="M46" i="50"/>
  <c r="R46" i="50"/>
  <c r="D47" i="50"/>
  <c r="I47" i="50"/>
  <c r="N47" i="50"/>
  <c r="T47" i="50"/>
  <c r="E48" i="50"/>
  <c r="J48" i="50"/>
  <c r="P48" i="50"/>
  <c r="A49" i="50"/>
  <c r="F49" i="50"/>
  <c r="J49" i="50"/>
  <c r="N49" i="50"/>
  <c r="R49" i="50"/>
  <c r="B50" i="50"/>
  <c r="F50" i="50"/>
  <c r="J50" i="50"/>
  <c r="N50" i="50"/>
  <c r="R50" i="50"/>
  <c r="B51" i="50"/>
  <c r="F51" i="50"/>
  <c r="J51" i="50"/>
  <c r="N51" i="50"/>
  <c r="R51" i="50"/>
  <c r="B52" i="50"/>
  <c r="F52" i="50"/>
  <c r="J52" i="50"/>
  <c r="N52" i="50"/>
  <c r="H26" i="50"/>
  <c r="F27" i="50"/>
  <c r="Q27" i="50"/>
  <c r="E28" i="50"/>
  <c r="M28" i="50"/>
  <c r="A29" i="50"/>
  <c r="I29" i="50"/>
  <c r="Q29" i="50"/>
  <c r="E30" i="50"/>
  <c r="M30" i="50"/>
  <c r="A31" i="50"/>
  <c r="I31" i="50"/>
  <c r="Q31" i="50"/>
  <c r="E32" i="50"/>
  <c r="M32" i="50"/>
  <c r="A33" i="50"/>
  <c r="I33" i="50"/>
  <c r="Q33" i="50"/>
  <c r="E34" i="50"/>
  <c r="M34" i="50"/>
  <c r="A35" i="50"/>
  <c r="I35" i="50"/>
  <c r="Q35" i="50"/>
  <c r="E36" i="50"/>
  <c r="M36" i="50"/>
  <c r="A37" i="50"/>
  <c r="I37" i="50"/>
  <c r="Q37" i="50"/>
  <c r="E38" i="50"/>
  <c r="M38" i="50"/>
  <c r="A39" i="50"/>
  <c r="I39" i="50"/>
  <c r="Q39" i="50"/>
  <c r="E40" i="50"/>
  <c r="L40" i="50"/>
  <c r="Q40" i="50"/>
  <c r="B41" i="50"/>
  <c r="H41" i="50"/>
  <c r="M41" i="50"/>
  <c r="R41" i="50"/>
  <c r="D42" i="50"/>
  <c r="I42" i="50"/>
  <c r="N42" i="50"/>
  <c r="T42" i="50"/>
  <c r="E43" i="50"/>
  <c r="J43" i="50"/>
  <c r="P43" i="50"/>
  <c r="A44" i="50"/>
  <c r="F44" i="50"/>
  <c r="L44" i="50"/>
  <c r="Q44" i="50"/>
  <c r="B45" i="50"/>
  <c r="H45" i="50"/>
  <c r="M45" i="50"/>
  <c r="R45" i="50"/>
  <c r="D46" i="50"/>
  <c r="I46" i="50"/>
  <c r="N46" i="50"/>
  <c r="T46" i="50"/>
  <c r="E47" i="50"/>
  <c r="J47" i="50"/>
  <c r="P47" i="50"/>
  <c r="A48" i="50"/>
  <c r="F48" i="50"/>
  <c r="L48" i="50"/>
  <c r="Q48" i="50"/>
  <c r="B49" i="50"/>
  <c r="G49" i="50"/>
  <c r="K49" i="50"/>
  <c r="O49" i="50"/>
  <c r="S49" i="50"/>
  <c r="C50" i="50"/>
  <c r="G50" i="50"/>
  <c r="K50" i="50"/>
  <c r="O50" i="50"/>
  <c r="S50" i="50"/>
  <c r="C51" i="50"/>
  <c r="G51" i="50"/>
  <c r="K51" i="50"/>
  <c r="O51" i="50"/>
  <c r="S51" i="50"/>
  <c r="C52" i="50"/>
  <c r="G52" i="50"/>
  <c r="S52" i="50"/>
  <c r="G53" i="50"/>
  <c r="O53" i="50"/>
  <c r="A54" i="50"/>
  <c r="F54" i="50"/>
  <c r="K54" i="50"/>
  <c r="Q54" i="50"/>
  <c r="B55" i="50"/>
  <c r="G55" i="50"/>
  <c r="M55" i="50"/>
  <c r="R55" i="50"/>
  <c r="C56" i="50"/>
  <c r="I56" i="50"/>
  <c r="N56" i="50"/>
  <c r="S56" i="50"/>
  <c r="E57" i="50"/>
  <c r="J57" i="50"/>
  <c r="O57" i="50"/>
  <c r="A58" i="50"/>
  <c r="F58" i="50"/>
  <c r="K58" i="50"/>
  <c r="Q58" i="50"/>
  <c r="B59" i="50"/>
  <c r="G59" i="50"/>
  <c r="M59" i="50"/>
  <c r="R59" i="50"/>
  <c r="C60" i="50"/>
  <c r="I60" i="50"/>
  <c r="N60" i="50"/>
  <c r="S60" i="50"/>
  <c r="E61" i="50"/>
  <c r="J61" i="50"/>
  <c r="O61" i="50"/>
  <c r="A62" i="50"/>
  <c r="F62" i="50"/>
  <c r="K62" i="50"/>
  <c r="Q62" i="50"/>
  <c r="B63" i="50"/>
  <c r="G63" i="50"/>
  <c r="M63" i="50"/>
  <c r="R63" i="50"/>
  <c r="C64" i="50"/>
  <c r="I64" i="50"/>
  <c r="N64" i="50"/>
  <c r="S64" i="50"/>
  <c r="E65" i="50"/>
  <c r="J65" i="50"/>
  <c r="O65" i="50"/>
  <c r="A66" i="50"/>
  <c r="F66" i="50"/>
  <c r="K66" i="50"/>
  <c r="Q66" i="50"/>
  <c r="B67" i="50"/>
  <c r="G67" i="50"/>
  <c r="M67" i="50"/>
  <c r="R67" i="50"/>
  <c r="C68" i="50"/>
  <c r="I68" i="50"/>
  <c r="N68" i="50"/>
  <c r="S68" i="50"/>
  <c r="E69" i="50"/>
  <c r="J69" i="50"/>
  <c r="O69" i="50"/>
  <c r="A70" i="50"/>
  <c r="F70" i="50"/>
  <c r="K70" i="50"/>
  <c r="Q70" i="50"/>
  <c r="B71" i="50"/>
  <c r="G71" i="50"/>
  <c r="M71" i="50"/>
  <c r="R71" i="50"/>
  <c r="C72" i="50"/>
  <c r="I72" i="50"/>
  <c r="N72" i="50"/>
  <c r="S72" i="50"/>
  <c r="E73" i="50"/>
  <c r="J73" i="50"/>
  <c r="O73" i="50"/>
  <c r="A74" i="50"/>
  <c r="F74" i="50"/>
  <c r="K74" i="50"/>
  <c r="Q74" i="50"/>
  <c r="B75" i="50"/>
  <c r="G75" i="50"/>
  <c r="M75" i="50"/>
  <c r="R75" i="50"/>
  <c r="C76" i="50"/>
  <c r="I76" i="50"/>
  <c r="N76" i="50"/>
  <c r="S76" i="50"/>
  <c r="E77" i="50"/>
  <c r="J77" i="50"/>
  <c r="O77" i="50"/>
  <c r="A78" i="50"/>
  <c r="F78" i="50"/>
  <c r="K78" i="50"/>
  <c r="Q78" i="50"/>
  <c r="B79" i="50"/>
  <c r="G79" i="50"/>
  <c r="M79" i="50"/>
  <c r="R79" i="50"/>
  <c r="C80" i="50"/>
  <c r="I80" i="50"/>
  <c r="N80" i="50"/>
  <c r="S80" i="50"/>
  <c r="E81" i="50"/>
  <c r="J81" i="50"/>
  <c r="N81" i="50"/>
  <c r="R81" i="50"/>
  <c r="B82" i="50"/>
  <c r="F82" i="50"/>
  <c r="J82" i="50"/>
  <c r="N82" i="50"/>
  <c r="R82" i="50"/>
  <c r="B83" i="50"/>
  <c r="F83" i="50"/>
  <c r="J83" i="50"/>
  <c r="N83" i="50"/>
  <c r="R83" i="50"/>
  <c r="B84" i="50"/>
  <c r="F84" i="50"/>
  <c r="J84" i="50"/>
  <c r="N84" i="50"/>
  <c r="R84" i="50"/>
  <c r="B85" i="50"/>
  <c r="F85" i="50"/>
  <c r="J85" i="50"/>
  <c r="N85" i="50"/>
  <c r="R85" i="50"/>
  <c r="B86" i="50"/>
  <c r="F86" i="50"/>
  <c r="J86" i="50"/>
  <c r="N86" i="50"/>
  <c r="R86" i="50"/>
  <c r="B87" i="50"/>
  <c r="F87" i="50"/>
  <c r="J87" i="50"/>
  <c r="N87" i="50"/>
  <c r="R87" i="50"/>
  <c r="B88" i="50"/>
  <c r="F88" i="50"/>
  <c r="J88" i="50"/>
  <c r="N88" i="50"/>
  <c r="R88" i="50"/>
  <c r="B89" i="50"/>
  <c r="F89" i="50"/>
  <c r="J89" i="50"/>
  <c r="N89" i="50"/>
  <c r="R89" i="50"/>
  <c r="B90" i="50"/>
  <c r="F90" i="50"/>
  <c r="J90" i="50"/>
  <c r="N90" i="50"/>
  <c r="R90" i="50"/>
  <c r="B91" i="50"/>
  <c r="F91" i="50"/>
  <c r="J91" i="50"/>
  <c r="N91" i="50"/>
  <c r="R91" i="50"/>
  <c r="B92" i="50"/>
  <c r="F92" i="50"/>
  <c r="J92" i="50"/>
  <c r="N92" i="50"/>
  <c r="R92" i="50"/>
  <c r="B93" i="50"/>
  <c r="F93" i="50"/>
  <c r="J93" i="50"/>
  <c r="N93" i="50"/>
  <c r="R93" i="50"/>
  <c r="B94" i="50"/>
  <c r="F94" i="50"/>
  <c r="J94" i="50"/>
  <c r="N94" i="50"/>
  <c r="R94" i="50"/>
  <c r="B95" i="50"/>
  <c r="F95" i="50"/>
  <c r="J95" i="50"/>
  <c r="N95" i="50"/>
  <c r="R95" i="50"/>
  <c r="B96" i="50"/>
  <c r="F96" i="50"/>
  <c r="J96" i="50"/>
  <c r="N96" i="50"/>
  <c r="R96" i="50"/>
  <c r="B97" i="50"/>
  <c r="F97" i="50"/>
  <c r="J97" i="50"/>
  <c r="N97" i="50"/>
  <c r="R97" i="50"/>
  <c r="B98" i="50"/>
  <c r="F98" i="50"/>
  <c r="J98" i="50"/>
  <c r="N98" i="50"/>
  <c r="R98" i="50"/>
  <c r="B99" i="50"/>
  <c r="F99" i="50"/>
  <c r="J99" i="50"/>
  <c r="N99" i="50"/>
  <c r="R99" i="50"/>
  <c r="B100" i="50"/>
  <c r="F100" i="50"/>
  <c r="J100" i="50"/>
  <c r="N100" i="50"/>
  <c r="R100" i="50"/>
  <c r="B101" i="50"/>
  <c r="F101" i="50"/>
  <c r="J101" i="50"/>
  <c r="N101" i="50"/>
  <c r="R101" i="50"/>
  <c r="B102" i="50"/>
  <c r="F102" i="50"/>
  <c r="J102" i="50"/>
  <c r="N102" i="50"/>
  <c r="R102" i="50"/>
  <c r="B103" i="50"/>
  <c r="F103" i="50"/>
  <c r="J103" i="50"/>
  <c r="N103" i="50"/>
  <c r="R103" i="50"/>
  <c r="B104" i="50"/>
  <c r="F104" i="50"/>
  <c r="J104" i="50"/>
  <c r="N104" i="50"/>
  <c r="R104" i="50"/>
  <c r="B105" i="50"/>
  <c r="F105" i="50"/>
  <c r="J105" i="50"/>
  <c r="N105" i="50"/>
  <c r="R105" i="50"/>
  <c r="B106" i="50"/>
  <c r="F106" i="50"/>
  <c r="J106" i="50"/>
  <c r="N106" i="50"/>
  <c r="R106" i="50"/>
  <c r="B107" i="50"/>
  <c r="F107" i="50"/>
  <c r="J107" i="50"/>
  <c r="N107" i="50"/>
  <c r="R107" i="50"/>
  <c r="B108" i="50"/>
  <c r="F108" i="50"/>
  <c r="J108" i="50"/>
  <c r="N108" i="50"/>
  <c r="R108" i="50"/>
  <c r="B109" i="50"/>
  <c r="F109" i="50"/>
  <c r="J109" i="50"/>
  <c r="N109" i="50"/>
  <c r="R109" i="50"/>
  <c r="B110" i="50"/>
  <c r="K52" i="50"/>
  <c r="B53" i="50"/>
  <c r="J53" i="50"/>
  <c r="Q53" i="50"/>
  <c r="B54" i="50"/>
  <c r="G54" i="50"/>
  <c r="M54" i="50"/>
  <c r="R54" i="50"/>
  <c r="C55" i="50"/>
  <c r="I55" i="50"/>
  <c r="N55" i="50"/>
  <c r="S55" i="50"/>
  <c r="E56" i="50"/>
  <c r="J56" i="50"/>
  <c r="O56" i="50"/>
  <c r="A57" i="50"/>
  <c r="F57" i="50"/>
  <c r="K57" i="50"/>
  <c r="Q57" i="50"/>
  <c r="B58" i="50"/>
  <c r="G58" i="50"/>
  <c r="M58" i="50"/>
  <c r="R58" i="50"/>
  <c r="C59" i="50"/>
  <c r="I59" i="50"/>
  <c r="N59" i="50"/>
  <c r="S59" i="50"/>
  <c r="E60" i="50"/>
  <c r="J60" i="50"/>
  <c r="O60" i="50"/>
  <c r="A61" i="50"/>
  <c r="F61" i="50"/>
  <c r="K61" i="50"/>
  <c r="Q61" i="50"/>
  <c r="B62" i="50"/>
  <c r="G62" i="50"/>
  <c r="M62" i="50"/>
  <c r="R62" i="50"/>
  <c r="C63" i="50"/>
  <c r="I63" i="50"/>
  <c r="N63" i="50"/>
  <c r="S63" i="50"/>
  <c r="E64" i="50"/>
  <c r="J64" i="50"/>
  <c r="O64" i="50"/>
  <c r="A65" i="50"/>
  <c r="F65" i="50"/>
  <c r="K65" i="50"/>
  <c r="Q65" i="50"/>
  <c r="B66" i="50"/>
  <c r="G66" i="50"/>
  <c r="M66" i="50"/>
  <c r="R66" i="50"/>
  <c r="C67" i="50"/>
  <c r="I67" i="50"/>
  <c r="N67" i="50"/>
  <c r="S67" i="50"/>
  <c r="E68" i="50"/>
  <c r="J68" i="50"/>
  <c r="O68" i="50"/>
  <c r="A69" i="50"/>
  <c r="F69" i="50"/>
  <c r="K69" i="50"/>
  <c r="Q69" i="50"/>
  <c r="B70" i="50"/>
  <c r="G70" i="50"/>
  <c r="M70" i="50"/>
  <c r="R70" i="50"/>
  <c r="C71" i="50"/>
  <c r="I71" i="50"/>
  <c r="N71" i="50"/>
  <c r="S71" i="50"/>
  <c r="E72" i="50"/>
  <c r="J72" i="50"/>
  <c r="O72" i="50"/>
  <c r="A73" i="50"/>
  <c r="F73" i="50"/>
  <c r="K73" i="50"/>
  <c r="Q73" i="50"/>
  <c r="B74" i="50"/>
  <c r="G74" i="50"/>
  <c r="M74" i="50"/>
  <c r="R74" i="50"/>
  <c r="C75" i="50"/>
  <c r="I75" i="50"/>
  <c r="N75" i="50"/>
  <c r="S75" i="50"/>
  <c r="E76" i="50"/>
  <c r="J76" i="50"/>
  <c r="O76" i="50"/>
  <c r="A77" i="50"/>
  <c r="F77" i="50"/>
  <c r="K77" i="50"/>
  <c r="Q77" i="50"/>
  <c r="B78" i="50"/>
  <c r="G78" i="50"/>
  <c r="M78" i="50"/>
  <c r="R78" i="50"/>
  <c r="C79" i="50"/>
  <c r="I79" i="50"/>
  <c r="N79" i="50"/>
  <c r="S79" i="50"/>
  <c r="E80" i="50"/>
  <c r="J80" i="50"/>
  <c r="O80" i="50"/>
  <c r="A81" i="50"/>
  <c r="F81" i="50"/>
  <c r="K81" i="50"/>
  <c r="O81" i="50"/>
  <c r="S81" i="50"/>
  <c r="C82" i="50"/>
  <c r="G82" i="50"/>
  <c r="K82" i="50"/>
  <c r="O82" i="50"/>
  <c r="S82" i="50"/>
  <c r="C83" i="50"/>
  <c r="G83" i="50"/>
  <c r="K83" i="50"/>
  <c r="O83" i="50"/>
  <c r="S83" i="50"/>
  <c r="C84" i="50"/>
  <c r="G84" i="50"/>
  <c r="K84" i="50"/>
  <c r="O84" i="50"/>
  <c r="S84" i="50"/>
  <c r="C85" i="50"/>
  <c r="G85" i="50"/>
  <c r="K85" i="50"/>
  <c r="O85" i="50"/>
  <c r="S85" i="50"/>
  <c r="C86" i="50"/>
  <c r="G86" i="50"/>
  <c r="K86" i="50"/>
  <c r="O86" i="50"/>
  <c r="S86" i="50"/>
  <c r="C87" i="50"/>
  <c r="G87" i="50"/>
  <c r="K87" i="50"/>
  <c r="O87" i="50"/>
  <c r="S87" i="50"/>
  <c r="C88" i="50"/>
  <c r="G88" i="50"/>
  <c r="K88" i="50"/>
  <c r="O88" i="50"/>
  <c r="S88" i="50"/>
  <c r="C89" i="50"/>
  <c r="O52" i="50"/>
  <c r="C53" i="50"/>
  <c r="K53" i="50"/>
  <c r="R53" i="50"/>
  <c r="C54" i="50"/>
  <c r="I54" i="50"/>
  <c r="N54" i="50"/>
  <c r="S54" i="50"/>
  <c r="E55" i="50"/>
  <c r="J55" i="50"/>
  <c r="O55" i="50"/>
  <c r="A56" i="50"/>
  <c r="F56" i="50"/>
  <c r="K56" i="50"/>
  <c r="Q56" i="50"/>
  <c r="B57" i="50"/>
  <c r="G57" i="50"/>
  <c r="M57" i="50"/>
  <c r="R57" i="50"/>
  <c r="C58" i="50"/>
  <c r="I58" i="50"/>
  <c r="N58" i="50"/>
  <c r="S58" i="50"/>
  <c r="E59" i="50"/>
  <c r="J59" i="50"/>
  <c r="O59" i="50"/>
  <c r="A60" i="50"/>
  <c r="F60" i="50"/>
  <c r="K60" i="50"/>
  <c r="Q60" i="50"/>
  <c r="B61" i="50"/>
  <c r="G61" i="50"/>
  <c r="M61" i="50"/>
  <c r="R61" i="50"/>
  <c r="C62" i="50"/>
  <c r="I62" i="50"/>
  <c r="N62" i="50"/>
  <c r="S62" i="50"/>
  <c r="E63" i="50"/>
  <c r="J63" i="50"/>
  <c r="O63" i="50"/>
  <c r="A64" i="50"/>
  <c r="F64" i="50"/>
  <c r="K64" i="50"/>
  <c r="Q64" i="50"/>
  <c r="B65" i="50"/>
  <c r="G65" i="50"/>
  <c r="M65" i="50"/>
  <c r="R65" i="50"/>
  <c r="C66" i="50"/>
  <c r="I66" i="50"/>
  <c r="N66" i="50"/>
  <c r="S66" i="50"/>
  <c r="E67" i="50"/>
  <c r="J67" i="50"/>
  <c r="O67" i="50"/>
  <c r="A68" i="50"/>
  <c r="F68" i="50"/>
  <c r="K68" i="50"/>
  <c r="Q68" i="50"/>
  <c r="B69" i="50"/>
  <c r="G69" i="50"/>
  <c r="M69" i="50"/>
  <c r="R69" i="50"/>
  <c r="C70" i="50"/>
  <c r="I70" i="50"/>
  <c r="N70" i="50"/>
  <c r="S70" i="50"/>
  <c r="E71" i="50"/>
  <c r="J71" i="50"/>
  <c r="O71" i="50"/>
  <c r="A72" i="50"/>
  <c r="F72" i="50"/>
  <c r="K72" i="50"/>
  <c r="Q72" i="50"/>
  <c r="B73" i="50"/>
  <c r="G73" i="50"/>
  <c r="M73" i="50"/>
  <c r="R73" i="50"/>
  <c r="C74" i="50"/>
  <c r="I74" i="50"/>
  <c r="N74" i="50"/>
  <c r="S74" i="50"/>
  <c r="E75" i="50"/>
  <c r="J75" i="50"/>
  <c r="O75" i="50"/>
  <c r="A76" i="50"/>
  <c r="F76" i="50"/>
  <c r="K76" i="50"/>
  <c r="R52" i="50"/>
  <c r="F53" i="50"/>
  <c r="N53" i="50"/>
  <c r="S53" i="50"/>
  <c r="E54" i="50"/>
  <c r="J54" i="50"/>
  <c r="O54" i="50"/>
  <c r="A55" i="50"/>
  <c r="F55" i="50"/>
  <c r="K55" i="50"/>
  <c r="Q55" i="50"/>
  <c r="B56" i="50"/>
  <c r="G56" i="50"/>
  <c r="M56" i="50"/>
  <c r="R56" i="50"/>
  <c r="C57" i="50"/>
  <c r="I57" i="50"/>
  <c r="N57" i="50"/>
  <c r="S57" i="50"/>
  <c r="E58" i="50"/>
  <c r="J58" i="50"/>
  <c r="O58" i="50"/>
  <c r="A59" i="50"/>
  <c r="F59" i="50"/>
  <c r="K59" i="50"/>
  <c r="Q59" i="50"/>
  <c r="B60" i="50"/>
  <c r="G60" i="50"/>
  <c r="M60" i="50"/>
  <c r="R60" i="50"/>
  <c r="C61" i="50"/>
  <c r="I61" i="50"/>
  <c r="N61" i="50"/>
  <c r="S61" i="50"/>
  <c r="E62" i="50"/>
  <c r="J62" i="50"/>
  <c r="O62" i="50"/>
  <c r="A63" i="50"/>
  <c r="F63" i="50"/>
  <c r="K63" i="50"/>
  <c r="Q63" i="50"/>
  <c r="B64" i="50"/>
  <c r="G64" i="50"/>
  <c r="M64" i="50"/>
  <c r="R64" i="50"/>
  <c r="C65" i="50"/>
  <c r="I65" i="50"/>
  <c r="N65" i="50"/>
  <c r="S65" i="50"/>
  <c r="E66" i="50"/>
  <c r="J66" i="50"/>
  <c r="O66" i="50"/>
  <c r="A67" i="50"/>
  <c r="F67" i="50"/>
  <c r="K67" i="50"/>
  <c r="Q67" i="50"/>
  <c r="B68" i="50"/>
  <c r="G68" i="50"/>
  <c r="M68" i="50"/>
  <c r="R68" i="50"/>
  <c r="C69" i="50"/>
  <c r="I69" i="50"/>
  <c r="N69" i="50"/>
  <c r="S69" i="50"/>
  <c r="E70" i="50"/>
  <c r="J70" i="50"/>
  <c r="O70" i="50"/>
  <c r="A71" i="50"/>
  <c r="F71" i="50"/>
  <c r="K71" i="50"/>
  <c r="Q71" i="50"/>
  <c r="B72" i="50"/>
  <c r="G72" i="50"/>
  <c r="M72" i="50"/>
  <c r="R72" i="50"/>
  <c r="C73" i="50"/>
  <c r="I73" i="50"/>
  <c r="N73" i="50"/>
  <c r="S73" i="50"/>
  <c r="E74" i="50"/>
  <c r="J74" i="50"/>
  <c r="O74" i="50"/>
  <c r="A75" i="50"/>
  <c r="F75" i="50"/>
  <c r="K75" i="50"/>
  <c r="Q75" i="50"/>
  <c r="Q76" i="50"/>
  <c r="G77" i="50"/>
  <c r="R77" i="50"/>
  <c r="I78" i="50"/>
  <c r="S78" i="50"/>
  <c r="J79" i="50"/>
  <c r="A80" i="50"/>
  <c r="K80" i="50"/>
  <c r="B81" i="50"/>
  <c r="L81" i="50"/>
  <c r="T81" i="50"/>
  <c r="H82" i="50"/>
  <c r="P82" i="50"/>
  <c r="D83" i="50"/>
  <c r="L83" i="50"/>
  <c r="T83" i="50"/>
  <c r="H84" i="50"/>
  <c r="P84" i="50"/>
  <c r="D85" i="50"/>
  <c r="L85" i="50"/>
  <c r="T85" i="50"/>
  <c r="H86" i="50"/>
  <c r="P86" i="50"/>
  <c r="D87" i="50"/>
  <c r="L87" i="50"/>
  <c r="T87" i="50"/>
  <c r="H88" i="50"/>
  <c r="P88" i="50"/>
  <c r="D89" i="50"/>
  <c r="I89" i="50"/>
  <c r="O89" i="50"/>
  <c r="T89" i="50"/>
  <c r="E90" i="50"/>
  <c r="K90" i="50"/>
  <c r="P90" i="50"/>
  <c r="A91" i="50"/>
  <c r="G91" i="50"/>
  <c r="L91" i="50"/>
  <c r="Q91" i="50"/>
  <c r="C92" i="50"/>
  <c r="H92" i="50"/>
  <c r="M92" i="50"/>
  <c r="S92" i="50"/>
  <c r="D93" i="50"/>
  <c r="I93" i="50"/>
  <c r="O93" i="50"/>
  <c r="T93" i="50"/>
  <c r="E94" i="50"/>
  <c r="K94" i="50"/>
  <c r="P94" i="50"/>
  <c r="A95" i="50"/>
  <c r="G95" i="50"/>
  <c r="L95" i="50"/>
  <c r="Q95" i="50"/>
  <c r="C96" i="50"/>
  <c r="H96" i="50"/>
  <c r="M96" i="50"/>
  <c r="S96" i="50"/>
  <c r="D97" i="50"/>
  <c r="I97" i="50"/>
  <c r="O97" i="50"/>
  <c r="T97" i="50"/>
  <c r="E98" i="50"/>
  <c r="K98" i="50"/>
  <c r="P98" i="50"/>
  <c r="A99" i="50"/>
  <c r="G99" i="50"/>
  <c r="L99" i="50"/>
  <c r="Q99" i="50"/>
  <c r="C100" i="50"/>
  <c r="H100" i="50"/>
  <c r="M100" i="50"/>
  <c r="S100" i="50"/>
  <c r="D101" i="50"/>
  <c r="I101" i="50"/>
  <c r="O101" i="50"/>
  <c r="T101" i="50"/>
  <c r="E102" i="50"/>
  <c r="K102" i="50"/>
  <c r="P102" i="50"/>
  <c r="A103" i="50"/>
  <c r="G103" i="50"/>
  <c r="L103" i="50"/>
  <c r="Q103" i="50"/>
  <c r="C104" i="50"/>
  <c r="H104" i="50"/>
  <c r="M104" i="50"/>
  <c r="S104" i="50"/>
  <c r="D105" i="50"/>
  <c r="I105" i="50"/>
  <c r="O105" i="50"/>
  <c r="T105" i="50"/>
  <c r="E106" i="50"/>
  <c r="K106" i="50"/>
  <c r="P106" i="50"/>
  <c r="A107" i="50"/>
  <c r="G107" i="50"/>
  <c r="L107" i="50"/>
  <c r="Q107" i="50"/>
  <c r="C108" i="50"/>
  <c r="H108" i="50"/>
  <c r="M108" i="50"/>
  <c r="S108" i="50"/>
  <c r="D109" i="50"/>
  <c r="I109" i="50"/>
  <c r="O109" i="50"/>
  <c r="T109" i="50"/>
  <c r="E110" i="50"/>
  <c r="I110" i="50"/>
  <c r="M110" i="50"/>
  <c r="Q110" i="50"/>
  <c r="A111" i="50"/>
  <c r="E111" i="50"/>
  <c r="I111" i="50"/>
  <c r="M111" i="50"/>
  <c r="Q111" i="50"/>
  <c r="A112" i="50"/>
  <c r="E112" i="50"/>
  <c r="I112" i="50"/>
  <c r="M112" i="50"/>
  <c r="Q112" i="50"/>
  <c r="A113" i="50"/>
  <c r="E113" i="50"/>
  <c r="I113" i="50"/>
  <c r="M113" i="50"/>
  <c r="Q113" i="50"/>
  <c r="A114" i="50"/>
  <c r="E114" i="50"/>
  <c r="I114" i="50"/>
  <c r="M114" i="50"/>
  <c r="Q114" i="50"/>
  <c r="A115" i="50"/>
  <c r="E115" i="50"/>
  <c r="I115" i="50"/>
  <c r="M115" i="50"/>
  <c r="Q115" i="50"/>
  <c r="A116" i="50"/>
  <c r="E116" i="50"/>
  <c r="I116" i="50"/>
  <c r="M116" i="50"/>
  <c r="Q116" i="50"/>
  <c r="A117" i="50"/>
  <c r="E117" i="50"/>
  <c r="I117" i="50"/>
  <c r="M117" i="50"/>
  <c r="Q117" i="50"/>
  <c r="A118" i="50"/>
  <c r="E118" i="50"/>
  <c r="I118" i="50"/>
  <c r="M118" i="50"/>
  <c r="Q118" i="50"/>
  <c r="A119" i="50"/>
  <c r="E119" i="50"/>
  <c r="I119" i="50"/>
  <c r="M119" i="50"/>
  <c r="Q119" i="50"/>
  <c r="A120" i="50"/>
  <c r="E120" i="50"/>
  <c r="I120" i="50"/>
  <c r="M120" i="50"/>
  <c r="Q120" i="50"/>
  <c r="A121" i="50"/>
  <c r="E121" i="50"/>
  <c r="I121" i="50"/>
  <c r="M121" i="50"/>
  <c r="Q121" i="50"/>
  <c r="A122" i="50"/>
  <c r="E122" i="50"/>
  <c r="I122" i="50"/>
  <c r="M122" i="50"/>
  <c r="Q122" i="50"/>
  <c r="A123" i="50"/>
  <c r="E123" i="50"/>
  <c r="I123" i="50"/>
  <c r="M123" i="50"/>
  <c r="Q123" i="50"/>
  <c r="A124" i="50"/>
  <c r="E124" i="50"/>
  <c r="I124" i="50"/>
  <c r="M124" i="50"/>
  <c r="Q124" i="50"/>
  <c r="A125" i="50"/>
  <c r="E125" i="50"/>
  <c r="I125" i="50"/>
  <c r="M125" i="50"/>
  <c r="Q125" i="50"/>
  <c r="A126" i="50"/>
  <c r="E126" i="50"/>
  <c r="I126" i="50"/>
  <c r="M126" i="50"/>
  <c r="Q126" i="50"/>
  <c r="A127" i="50"/>
  <c r="E127" i="50"/>
  <c r="I127" i="50"/>
  <c r="M127" i="50"/>
  <c r="Q127" i="50"/>
  <c r="A128" i="50"/>
  <c r="E128" i="50"/>
  <c r="I128" i="50"/>
  <c r="M128" i="50"/>
  <c r="Q128" i="50"/>
  <c r="A129" i="50"/>
  <c r="E129" i="50"/>
  <c r="I129" i="50"/>
  <c r="M129" i="50"/>
  <c r="Q129" i="50"/>
  <c r="A130" i="50"/>
  <c r="E130" i="50"/>
  <c r="I130" i="50"/>
  <c r="M130" i="50"/>
  <c r="Q130" i="50"/>
  <c r="A131" i="50"/>
  <c r="E131" i="50"/>
  <c r="I131" i="50"/>
  <c r="M131" i="50"/>
  <c r="Q131" i="50"/>
  <c r="A132" i="50"/>
  <c r="E132" i="50"/>
  <c r="I132" i="50"/>
  <c r="M132" i="50"/>
  <c r="Q132" i="50"/>
  <c r="A133" i="50"/>
  <c r="E133" i="50"/>
  <c r="I133" i="50"/>
  <c r="M133" i="50"/>
  <c r="Q133" i="50"/>
  <c r="A134" i="50"/>
  <c r="E134" i="50"/>
  <c r="I134" i="50"/>
  <c r="M134" i="50"/>
  <c r="Q134" i="50"/>
  <c r="A135" i="50"/>
  <c r="E135" i="50"/>
  <c r="I135" i="50"/>
  <c r="M135" i="50"/>
  <c r="Q135" i="50"/>
  <c r="A136" i="50"/>
  <c r="E136" i="50"/>
  <c r="I136" i="50"/>
  <c r="M136" i="50"/>
  <c r="Q136" i="50"/>
  <c r="A137" i="50"/>
  <c r="E137" i="50"/>
  <c r="I137" i="50"/>
  <c r="M137" i="50"/>
  <c r="Q137" i="50"/>
  <c r="A138" i="50"/>
  <c r="E138" i="50"/>
  <c r="I138" i="50"/>
  <c r="M138" i="50"/>
  <c r="Q138" i="50"/>
  <c r="A139" i="50"/>
  <c r="E139" i="50"/>
  <c r="I139" i="50"/>
  <c r="M139" i="50"/>
  <c r="Q139" i="50"/>
  <c r="A140" i="50"/>
  <c r="E140" i="50"/>
  <c r="I140" i="50"/>
  <c r="M140" i="50"/>
  <c r="Q140" i="50"/>
  <c r="A141" i="50"/>
  <c r="E141" i="50"/>
  <c r="I141" i="50"/>
  <c r="M141" i="50"/>
  <c r="Q141" i="50"/>
  <c r="A142" i="50"/>
  <c r="E142" i="50"/>
  <c r="I142" i="50"/>
  <c r="M142" i="50"/>
  <c r="Q142" i="50"/>
  <c r="A143" i="50"/>
  <c r="E143" i="50"/>
  <c r="I143" i="50"/>
  <c r="M143" i="50"/>
  <c r="Q143" i="50"/>
  <c r="A144" i="50"/>
  <c r="E144" i="50"/>
  <c r="I144" i="50"/>
  <c r="M144" i="50"/>
  <c r="B76" i="50"/>
  <c r="R76" i="50"/>
  <c r="I77" i="50"/>
  <c r="S77" i="50"/>
  <c r="J78" i="50"/>
  <c r="A79" i="50"/>
  <c r="K79" i="50"/>
  <c r="B80" i="50"/>
  <c r="M80" i="50"/>
  <c r="C81" i="50"/>
  <c r="M81" i="50"/>
  <c r="A82" i="50"/>
  <c r="I82" i="50"/>
  <c r="Q82" i="50"/>
  <c r="E83" i="50"/>
  <c r="M83" i="50"/>
  <c r="A84" i="50"/>
  <c r="I84" i="50"/>
  <c r="Q84" i="50"/>
  <c r="E85" i="50"/>
  <c r="M85" i="50"/>
  <c r="A86" i="50"/>
  <c r="I86" i="50"/>
  <c r="Q86" i="50"/>
  <c r="E87" i="50"/>
  <c r="M87" i="50"/>
  <c r="A88" i="50"/>
  <c r="I88" i="50"/>
  <c r="Q88" i="50"/>
  <c r="E89" i="50"/>
  <c r="K89" i="50"/>
  <c r="P89" i="50"/>
  <c r="A90" i="50"/>
  <c r="G90" i="50"/>
  <c r="L90" i="50"/>
  <c r="Q90" i="50"/>
  <c r="C91" i="50"/>
  <c r="H91" i="50"/>
  <c r="M91" i="50"/>
  <c r="S91" i="50"/>
  <c r="D92" i="50"/>
  <c r="I92" i="50"/>
  <c r="O92" i="50"/>
  <c r="T92" i="50"/>
  <c r="E93" i="50"/>
  <c r="K93" i="50"/>
  <c r="P93" i="50"/>
  <c r="A94" i="50"/>
  <c r="G94" i="50"/>
  <c r="L94" i="50"/>
  <c r="Q94" i="50"/>
  <c r="C95" i="50"/>
  <c r="H95" i="50"/>
  <c r="M95" i="50"/>
  <c r="S95" i="50"/>
  <c r="D96" i="50"/>
  <c r="I96" i="50"/>
  <c r="O96" i="50"/>
  <c r="T96" i="50"/>
  <c r="E97" i="50"/>
  <c r="K97" i="50"/>
  <c r="P97" i="50"/>
  <c r="A98" i="50"/>
  <c r="G98" i="50"/>
  <c r="L98" i="50"/>
  <c r="Q98" i="50"/>
  <c r="C99" i="50"/>
  <c r="H99" i="50"/>
  <c r="M99" i="50"/>
  <c r="S99" i="50"/>
  <c r="D100" i="50"/>
  <c r="I100" i="50"/>
  <c r="O100" i="50"/>
  <c r="T100" i="50"/>
  <c r="E101" i="50"/>
  <c r="K101" i="50"/>
  <c r="P101" i="50"/>
  <c r="A102" i="50"/>
  <c r="G102" i="50"/>
  <c r="L102" i="50"/>
  <c r="Q102" i="50"/>
  <c r="C103" i="50"/>
  <c r="H103" i="50"/>
  <c r="M103" i="50"/>
  <c r="S103" i="50"/>
  <c r="D104" i="50"/>
  <c r="I104" i="50"/>
  <c r="O104" i="50"/>
  <c r="T104" i="50"/>
  <c r="E105" i="50"/>
  <c r="K105" i="50"/>
  <c r="P105" i="50"/>
  <c r="A106" i="50"/>
  <c r="G106" i="50"/>
  <c r="L106" i="50"/>
  <c r="Q106" i="50"/>
  <c r="C107" i="50"/>
  <c r="H107" i="50"/>
  <c r="M107" i="50"/>
  <c r="S107" i="50"/>
  <c r="D108" i="50"/>
  <c r="I108" i="50"/>
  <c r="O108" i="50"/>
  <c r="T108" i="50"/>
  <c r="E109" i="50"/>
  <c r="K109" i="50"/>
  <c r="P109" i="50"/>
  <c r="A110" i="50"/>
  <c r="F110" i="50"/>
  <c r="J110" i="50"/>
  <c r="N110" i="50"/>
  <c r="R110" i="50"/>
  <c r="B111" i="50"/>
  <c r="F111" i="50"/>
  <c r="J111" i="50"/>
  <c r="N111" i="50"/>
  <c r="R111" i="50"/>
  <c r="B112" i="50"/>
  <c r="F112" i="50"/>
  <c r="J112" i="50"/>
  <c r="N112" i="50"/>
  <c r="R112" i="50"/>
  <c r="B113" i="50"/>
  <c r="F113" i="50"/>
  <c r="J113" i="50"/>
  <c r="N113" i="50"/>
  <c r="R113" i="50"/>
  <c r="B114" i="50"/>
  <c r="F114" i="50"/>
  <c r="J114" i="50"/>
  <c r="N114" i="50"/>
  <c r="R114" i="50"/>
  <c r="B115" i="50"/>
  <c r="F115" i="50"/>
  <c r="J115" i="50"/>
  <c r="N115" i="50"/>
  <c r="R115" i="50"/>
  <c r="B116" i="50"/>
  <c r="F116" i="50"/>
  <c r="J116" i="50"/>
  <c r="N116" i="50"/>
  <c r="R116" i="50"/>
  <c r="B117" i="50"/>
  <c r="F117" i="50"/>
  <c r="J117" i="50"/>
  <c r="N117" i="50"/>
  <c r="R117" i="50"/>
  <c r="B118" i="50"/>
  <c r="F118" i="50"/>
  <c r="J118" i="50"/>
  <c r="N118" i="50"/>
  <c r="R118" i="50"/>
  <c r="B119" i="50"/>
  <c r="F119" i="50"/>
  <c r="J119" i="50"/>
  <c r="N119" i="50"/>
  <c r="R119" i="50"/>
  <c r="B120" i="50"/>
  <c r="F120" i="50"/>
  <c r="J120" i="50"/>
  <c r="N120" i="50"/>
  <c r="R120" i="50"/>
  <c r="B121" i="50"/>
  <c r="F121" i="50"/>
  <c r="J121" i="50"/>
  <c r="N121" i="50"/>
  <c r="R121" i="50"/>
  <c r="B122" i="50"/>
  <c r="F122" i="50"/>
  <c r="J122" i="50"/>
  <c r="G76" i="50"/>
  <c r="B77" i="50"/>
  <c r="M77" i="50"/>
  <c r="C78" i="50"/>
  <c r="N78" i="50"/>
  <c r="E79" i="50"/>
  <c r="O79" i="50"/>
  <c r="F80" i="50"/>
  <c r="Q80" i="50"/>
  <c r="G81" i="50"/>
  <c r="P81" i="50"/>
  <c r="D82" i="50"/>
  <c r="L82" i="50"/>
  <c r="T82" i="50"/>
  <c r="H83" i="50"/>
  <c r="P83" i="50"/>
  <c r="D84" i="50"/>
  <c r="L84" i="50"/>
  <c r="T84" i="50"/>
  <c r="H85" i="50"/>
  <c r="P85" i="50"/>
  <c r="D86" i="50"/>
  <c r="L86" i="50"/>
  <c r="T86" i="50"/>
  <c r="H87" i="50"/>
  <c r="P87" i="50"/>
  <c r="D88" i="50"/>
  <c r="L88" i="50"/>
  <c r="T88" i="50"/>
  <c r="G89" i="50"/>
  <c r="L89" i="50"/>
  <c r="Q89" i="50"/>
  <c r="C90" i="50"/>
  <c r="H90" i="50"/>
  <c r="M90" i="50"/>
  <c r="S90" i="50"/>
  <c r="D91" i="50"/>
  <c r="I91" i="50"/>
  <c r="O91" i="50"/>
  <c r="T91" i="50"/>
  <c r="E92" i="50"/>
  <c r="K92" i="50"/>
  <c r="P92" i="50"/>
  <c r="A93" i="50"/>
  <c r="G93" i="50"/>
  <c r="L93" i="50"/>
  <c r="Q93" i="50"/>
  <c r="C94" i="50"/>
  <c r="H94" i="50"/>
  <c r="M94" i="50"/>
  <c r="S94" i="50"/>
  <c r="D95" i="50"/>
  <c r="I95" i="50"/>
  <c r="O95" i="50"/>
  <c r="T95" i="50"/>
  <c r="E96" i="50"/>
  <c r="K96" i="50"/>
  <c r="P96" i="50"/>
  <c r="A97" i="50"/>
  <c r="G97" i="50"/>
  <c r="L97" i="50"/>
  <c r="Q97" i="50"/>
  <c r="C98" i="50"/>
  <c r="H98" i="50"/>
  <c r="M98" i="50"/>
  <c r="S98" i="50"/>
  <c r="D99" i="50"/>
  <c r="I99" i="50"/>
  <c r="O99" i="50"/>
  <c r="T99" i="50"/>
  <c r="E100" i="50"/>
  <c r="K100" i="50"/>
  <c r="P100" i="50"/>
  <c r="A101" i="50"/>
  <c r="G101" i="50"/>
  <c r="L101" i="50"/>
  <c r="Q101" i="50"/>
  <c r="C102" i="50"/>
  <c r="H102" i="50"/>
  <c r="M102" i="50"/>
  <c r="S102" i="50"/>
  <c r="D103" i="50"/>
  <c r="I103" i="50"/>
  <c r="O103" i="50"/>
  <c r="T103" i="50"/>
  <c r="E104" i="50"/>
  <c r="K104" i="50"/>
  <c r="P104" i="50"/>
  <c r="A105" i="50"/>
  <c r="G105" i="50"/>
  <c r="L105" i="50"/>
  <c r="Q105" i="50"/>
  <c r="C106" i="50"/>
  <c r="H106" i="50"/>
  <c r="M106" i="50"/>
  <c r="S106" i="50"/>
  <c r="D107" i="50"/>
  <c r="I107" i="50"/>
  <c r="O107" i="50"/>
  <c r="T107" i="50"/>
  <c r="E108" i="50"/>
  <c r="K108" i="50"/>
  <c r="P108" i="50"/>
  <c r="A109" i="50"/>
  <c r="G109" i="50"/>
  <c r="L109" i="50"/>
  <c r="Q109" i="50"/>
  <c r="C110" i="50"/>
  <c r="G110" i="50"/>
  <c r="K110" i="50"/>
  <c r="O110" i="50"/>
  <c r="S110" i="50"/>
  <c r="C111" i="50"/>
  <c r="G111" i="50"/>
  <c r="K111" i="50"/>
  <c r="O111" i="50"/>
  <c r="S111" i="50"/>
  <c r="C112" i="50"/>
  <c r="G112" i="50"/>
  <c r="K112" i="50"/>
  <c r="O112" i="50"/>
  <c r="S112" i="50"/>
  <c r="C113" i="50"/>
  <c r="G113" i="50"/>
  <c r="K113" i="50"/>
  <c r="O113" i="50"/>
  <c r="S113" i="50"/>
  <c r="C114" i="50"/>
  <c r="G114" i="50"/>
  <c r="K114" i="50"/>
  <c r="O114" i="50"/>
  <c r="S114" i="50"/>
  <c r="C115" i="50"/>
  <c r="M76" i="50"/>
  <c r="C77" i="50"/>
  <c r="N77" i="50"/>
  <c r="E78" i="50"/>
  <c r="O78" i="50"/>
  <c r="F79" i="50"/>
  <c r="Q79" i="50"/>
  <c r="G80" i="50"/>
  <c r="R80" i="50"/>
  <c r="I81" i="50"/>
  <c r="Q81" i="50"/>
  <c r="E82" i="50"/>
  <c r="M82" i="50"/>
  <c r="A83" i="50"/>
  <c r="I83" i="50"/>
  <c r="Q83" i="50"/>
  <c r="E84" i="50"/>
  <c r="M84" i="50"/>
  <c r="A85" i="50"/>
  <c r="I85" i="50"/>
  <c r="Q85" i="50"/>
  <c r="E86" i="50"/>
  <c r="M86" i="50"/>
  <c r="A87" i="50"/>
  <c r="I87" i="50"/>
  <c r="Q87" i="50"/>
  <c r="E88" i="50"/>
  <c r="M88" i="50"/>
  <c r="A89" i="50"/>
  <c r="H89" i="50"/>
  <c r="M89" i="50"/>
  <c r="S89" i="50"/>
  <c r="D90" i="50"/>
  <c r="I90" i="50"/>
  <c r="O90" i="50"/>
  <c r="T90" i="50"/>
  <c r="E91" i="50"/>
  <c r="K91" i="50"/>
  <c r="P91" i="50"/>
  <c r="A92" i="50"/>
  <c r="G92" i="50"/>
  <c r="L92" i="50"/>
  <c r="Q92" i="50"/>
  <c r="C93" i="50"/>
  <c r="H93" i="50"/>
  <c r="M93" i="50"/>
  <c r="S93" i="50"/>
  <c r="D94" i="50"/>
  <c r="I94" i="50"/>
  <c r="O94" i="50"/>
  <c r="T94" i="50"/>
  <c r="E95" i="50"/>
  <c r="K95" i="50"/>
  <c r="P95" i="50"/>
  <c r="A96" i="50"/>
  <c r="G96" i="50"/>
  <c r="L96" i="50"/>
  <c r="Q96" i="50"/>
  <c r="C97" i="50"/>
  <c r="H97" i="50"/>
  <c r="M97" i="50"/>
  <c r="S97" i="50"/>
  <c r="D98" i="50"/>
  <c r="I98" i="50"/>
  <c r="O98" i="50"/>
  <c r="T98" i="50"/>
  <c r="E99" i="50"/>
  <c r="K99" i="50"/>
  <c r="P99" i="50"/>
  <c r="A100" i="50"/>
  <c r="G100" i="50"/>
  <c r="L100" i="50"/>
  <c r="Q100" i="50"/>
  <c r="C101" i="50"/>
  <c r="H101" i="50"/>
  <c r="M101" i="50"/>
  <c r="S101" i="50"/>
  <c r="D102" i="50"/>
  <c r="I102" i="50"/>
  <c r="O102" i="50"/>
  <c r="T102" i="50"/>
  <c r="E103" i="50"/>
  <c r="K103" i="50"/>
  <c r="P103" i="50"/>
  <c r="A104" i="50"/>
  <c r="G104" i="50"/>
  <c r="L104" i="50"/>
  <c r="Q104" i="50"/>
  <c r="C105" i="50"/>
  <c r="H105" i="50"/>
  <c r="M105" i="50"/>
  <c r="S105" i="50"/>
  <c r="D106" i="50"/>
  <c r="I106" i="50"/>
  <c r="O106" i="50"/>
  <c r="T106" i="50"/>
  <c r="E107" i="50"/>
  <c r="K107" i="50"/>
  <c r="P107" i="50"/>
  <c r="A108" i="50"/>
  <c r="G108" i="50"/>
  <c r="L108" i="50"/>
  <c r="Q108" i="50"/>
  <c r="C109" i="50"/>
  <c r="H109" i="50"/>
  <c r="M109" i="50"/>
  <c r="S109" i="50"/>
  <c r="D110" i="50"/>
  <c r="H110" i="50"/>
  <c r="L110" i="50"/>
  <c r="P110" i="50"/>
  <c r="T110" i="50"/>
  <c r="D111" i="50"/>
  <c r="H111" i="50"/>
  <c r="L111" i="50"/>
  <c r="P111" i="50"/>
  <c r="T111" i="50"/>
  <c r="D112" i="50"/>
  <c r="H112" i="50"/>
  <c r="L112" i="50"/>
  <c r="P112" i="50"/>
  <c r="L113" i="50"/>
  <c r="H114" i="50"/>
  <c r="D115" i="50"/>
  <c r="L115" i="50"/>
  <c r="T115" i="50"/>
  <c r="H116" i="50"/>
  <c r="P116" i="50"/>
  <c r="D117" i="50"/>
  <c r="L117" i="50"/>
  <c r="T117" i="50"/>
  <c r="H118" i="50"/>
  <c r="P118" i="50"/>
  <c r="D119" i="50"/>
  <c r="L119" i="50"/>
  <c r="T119" i="50"/>
  <c r="H120" i="50"/>
  <c r="P120" i="50"/>
  <c r="D121" i="50"/>
  <c r="L121" i="50"/>
  <c r="T121" i="50"/>
  <c r="H122" i="50"/>
  <c r="O122" i="50"/>
  <c r="T122" i="50"/>
  <c r="F123" i="50"/>
  <c r="K123" i="50"/>
  <c r="P123" i="50"/>
  <c r="B124" i="50"/>
  <c r="G124" i="50"/>
  <c r="L124" i="50"/>
  <c r="R124" i="50"/>
  <c r="C125" i="50"/>
  <c r="H125" i="50"/>
  <c r="N125" i="50"/>
  <c r="S125" i="50"/>
  <c r="D126" i="50"/>
  <c r="J126" i="50"/>
  <c r="O126" i="50"/>
  <c r="T126" i="50"/>
  <c r="F127" i="50"/>
  <c r="K127" i="50"/>
  <c r="P127" i="50"/>
  <c r="B128" i="50"/>
  <c r="G128" i="50"/>
  <c r="L128" i="50"/>
  <c r="R128" i="50"/>
  <c r="C129" i="50"/>
  <c r="H129" i="50"/>
  <c r="N129" i="50"/>
  <c r="S129" i="50"/>
  <c r="D130" i="50"/>
  <c r="J130" i="50"/>
  <c r="O130" i="50"/>
  <c r="T130" i="50"/>
  <c r="F131" i="50"/>
  <c r="K131" i="50"/>
  <c r="P131" i="50"/>
  <c r="B132" i="50"/>
  <c r="G132" i="50"/>
  <c r="L132" i="50"/>
  <c r="R132" i="50"/>
  <c r="C133" i="50"/>
  <c r="H133" i="50"/>
  <c r="N133" i="50"/>
  <c r="S133" i="50"/>
  <c r="D134" i="50"/>
  <c r="J134" i="50"/>
  <c r="O134" i="50"/>
  <c r="T134" i="50"/>
  <c r="F135" i="50"/>
  <c r="K135" i="50"/>
  <c r="P135" i="50"/>
  <c r="B136" i="50"/>
  <c r="G136" i="50"/>
  <c r="L136" i="50"/>
  <c r="R136" i="50"/>
  <c r="C137" i="50"/>
  <c r="H137" i="50"/>
  <c r="N137" i="50"/>
  <c r="S137" i="50"/>
  <c r="D138" i="50"/>
  <c r="J138" i="50"/>
  <c r="O138" i="50"/>
  <c r="T138" i="50"/>
  <c r="F139" i="50"/>
  <c r="K139" i="50"/>
  <c r="P139" i="50"/>
  <c r="B140" i="50"/>
  <c r="G140" i="50"/>
  <c r="L140" i="50"/>
  <c r="R140" i="50"/>
  <c r="C141" i="50"/>
  <c r="H141" i="50"/>
  <c r="N141" i="50"/>
  <c r="S141" i="50"/>
  <c r="D142" i="50"/>
  <c r="J142" i="50"/>
  <c r="O142" i="50"/>
  <c r="T142" i="50"/>
  <c r="F143" i="50"/>
  <c r="K143" i="50"/>
  <c r="P143" i="50"/>
  <c r="B144" i="50"/>
  <c r="G144" i="50"/>
  <c r="L144" i="50"/>
  <c r="Q144" i="50"/>
  <c r="A145" i="50"/>
  <c r="E145" i="50"/>
  <c r="I145" i="50"/>
  <c r="M145" i="50"/>
  <c r="Q145" i="50"/>
  <c r="A146" i="50"/>
  <c r="E146" i="50"/>
  <c r="I146" i="50"/>
  <c r="M146" i="50"/>
  <c r="Q146" i="50"/>
  <c r="A147" i="50"/>
  <c r="E147" i="50"/>
  <c r="I147" i="50"/>
  <c r="M147" i="50"/>
  <c r="Q147" i="50"/>
  <c r="A148" i="50"/>
  <c r="E148" i="50"/>
  <c r="I148" i="50"/>
  <c r="M148" i="50"/>
  <c r="Q148" i="50"/>
  <c r="A149" i="50"/>
  <c r="E149" i="50"/>
  <c r="I149" i="50"/>
  <c r="M149" i="50"/>
  <c r="Q149" i="50"/>
  <c r="A150" i="50"/>
  <c r="E150" i="50"/>
  <c r="I150" i="50"/>
  <c r="M150" i="50"/>
  <c r="Q150" i="50"/>
  <c r="A151" i="50"/>
  <c r="E151" i="50"/>
  <c r="I151" i="50"/>
  <c r="M151" i="50"/>
  <c r="Q151" i="50"/>
  <c r="A152" i="50"/>
  <c r="E152" i="50"/>
  <c r="I152" i="50"/>
  <c r="M152" i="50"/>
  <c r="Q152" i="50"/>
  <c r="A153" i="50"/>
  <c r="E153" i="50"/>
  <c r="I153" i="50"/>
  <c r="M153" i="50"/>
  <c r="Q153" i="50"/>
  <c r="A154" i="50"/>
  <c r="E154" i="50"/>
  <c r="I154" i="50"/>
  <c r="M154" i="50"/>
  <c r="Q154" i="50"/>
  <c r="A155" i="50"/>
  <c r="E155" i="50"/>
  <c r="I155" i="50"/>
  <c r="M155" i="50"/>
  <c r="Q155" i="50"/>
  <c r="A156" i="50"/>
  <c r="E156" i="50"/>
  <c r="I156" i="50"/>
  <c r="M156" i="50"/>
  <c r="Q156" i="50"/>
  <c r="A157" i="50"/>
  <c r="E157" i="50"/>
  <c r="I157" i="50"/>
  <c r="M157" i="50"/>
  <c r="Q157" i="50"/>
  <c r="A158" i="50"/>
  <c r="E158" i="50"/>
  <c r="I158" i="50"/>
  <c r="M158" i="50"/>
  <c r="Q158" i="50"/>
  <c r="A159" i="50"/>
  <c r="E159" i="50"/>
  <c r="I159" i="50"/>
  <c r="M159" i="50"/>
  <c r="Q159" i="50"/>
  <c r="A160" i="50"/>
  <c r="E160" i="50"/>
  <c r="I160" i="50"/>
  <c r="M160" i="50"/>
  <c r="Q160" i="50"/>
  <c r="A161" i="50"/>
  <c r="E161" i="50"/>
  <c r="I161" i="50"/>
  <c r="M161" i="50"/>
  <c r="Q161" i="50"/>
  <c r="A162" i="50"/>
  <c r="E162" i="50"/>
  <c r="I162" i="50"/>
  <c r="M162" i="50"/>
  <c r="Q162" i="50"/>
  <c r="A163" i="50"/>
  <c r="E163" i="50"/>
  <c r="I163" i="50"/>
  <c r="M163" i="50"/>
  <c r="Q163" i="50"/>
  <c r="A164" i="50"/>
  <c r="E164" i="50"/>
  <c r="I164" i="50"/>
  <c r="M164" i="50"/>
  <c r="Q164" i="50"/>
  <c r="A165" i="50"/>
  <c r="E165" i="50"/>
  <c r="I165" i="50"/>
  <c r="M165" i="50"/>
  <c r="Q165" i="50"/>
  <c r="A166" i="50"/>
  <c r="E166" i="50"/>
  <c r="I166" i="50"/>
  <c r="M166" i="50"/>
  <c r="Q166" i="50"/>
  <c r="A167" i="50"/>
  <c r="E167" i="50"/>
  <c r="I167" i="50"/>
  <c r="M167" i="50"/>
  <c r="Q167" i="50"/>
  <c r="A168" i="50"/>
  <c r="E168" i="50"/>
  <c r="I168" i="50"/>
  <c r="M168" i="50"/>
  <c r="Q168" i="50"/>
  <c r="A169" i="50"/>
  <c r="E169" i="50"/>
  <c r="I169" i="50"/>
  <c r="M169" i="50"/>
  <c r="Q169" i="50"/>
  <c r="A170" i="50"/>
  <c r="E170" i="50"/>
  <c r="I170" i="50"/>
  <c r="M170" i="50"/>
  <c r="Q170" i="50"/>
  <c r="A171" i="50"/>
  <c r="E171" i="50"/>
  <c r="I171" i="50"/>
  <c r="M171" i="50"/>
  <c r="Q171" i="50"/>
  <c r="A172" i="50"/>
  <c r="E172" i="50"/>
  <c r="I172" i="50"/>
  <c r="M172" i="50"/>
  <c r="Q172" i="50"/>
  <c r="A173" i="50"/>
  <c r="E173" i="50"/>
  <c r="I173" i="50"/>
  <c r="M173" i="50"/>
  <c r="Q173" i="50"/>
  <c r="A174" i="50"/>
  <c r="E174" i="50"/>
  <c r="I174" i="50"/>
  <c r="M174" i="50"/>
  <c r="Q174" i="50"/>
  <c r="A175" i="50"/>
  <c r="E175" i="50"/>
  <c r="I175" i="50"/>
  <c r="M175" i="50"/>
  <c r="Q175" i="50"/>
  <c r="A176" i="50"/>
  <c r="E176" i="50"/>
  <c r="I176" i="50"/>
  <c r="M176" i="50"/>
  <c r="Q176" i="50"/>
  <c r="A177" i="50"/>
  <c r="E177" i="50"/>
  <c r="I177" i="50"/>
  <c r="M177" i="50"/>
  <c r="Q177" i="50"/>
  <c r="A178" i="50"/>
  <c r="E178" i="50"/>
  <c r="I178" i="50"/>
  <c r="M178" i="50"/>
  <c r="Q178" i="50"/>
  <c r="A179" i="50"/>
  <c r="E179" i="50"/>
  <c r="I179" i="50"/>
  <c r="M179" i="50"/>
  <c r="Q179" i="50"/>
  <c r="A180" i="50"/>
  <c r="E180" i="50"/>
  <c r="I180" i="50"/>
  <c r="M180" i="50"/>
  <c r="Q180" i="50"/>
  <c r="A181" i="50"/>
  <c r="E181" i="50"/>
  <c r="I181" i="50"/>
  <c r="M181" i="50"/>
  <c r="Q181" i="50"/>
  <c r="A182" i="50"/>
  <c r="E182" i="50"/>
  <c r="I182" i="50"/>
  <c r="M182" i="50"/>
  <c r="Q182" i="50"/>
  <c r="A183" i="50"/>
  <c r="E183" i="50"/>
  <c r="I183" i="50"/>
  <c r="M183" i="50"/>
  <c r="Q183" i="50"/>
  <c r="A184" i="50"/>
  <c r="E184" i="50"/>
  <c r="I184" i="50"/>
  <c r="M184" i="50"/>
  <c r="Q184" i="50"/>
  <c r="A185" i="50"/>
  <c r="E185" i="50"/>
  <c r="I185" i="50"/>
  <c r="M185" i="50"/>
  <c r="Q185" i="50"/>
  <c r="A186" i="50"/>
  <c r="E186" i="50"/>
  <c r="I186" i="50"/>
  <c r="M186" i="50"/>
  <c r="Q186" i="50"/>
  <c r="A187" i="50"/>
  <c r="E187" i="50"/>
  <c r="I187" i="50"/>
  <c r="M187" i="50"/>
  <c r="Q187" i="50"/>
  <c r="A188" i="50"/>
  <c r="E188" i="50"/>
  <c r="I188" i="50"/>
  <c r="M188" i="50"/>
  <c r="Q188" i="50"/>
  <c r="A189" i="50"/>
  <c r="E189" i="50"/>
  <c r="I189" i="50"/>
  <c r="M189" i="50"/>
  <c r="Q189" i="50"/>
  <c r="A190" i="50"/>
  <c r="E190" i="50"/>
  <c r="I190" i="50"/>
  <c r="M190" i="50"/>
  <c r="Q190" i="50"/>
  <c r="A191" i="50"/>
  <c r="E191" i="50"/>
  <c r="I191" i="50"/>
  <c r="M191" i="50"/>
  <c r="Q191" i="50"/>
  <c r="T112" i="50"/>
  <c r="P113" i="50"/>
  <c r="L114" i="50"/>
  <c r="G115" i="50"/>
  <c r="O115" i="50"/>
  <c r="C116" i="50"/>
  <c r="K116" i="50"/>
  <c r="S116" i="50"/>
  <c r="G117" i="50"/>
  <c r="O117" i="50"/>
  <c r="C118" i="50"/>
  <c r="K118" i="50"/>
  <c r="S118" i="50"/>
  <c r="G119" i="50"/>
  <c r="O119" i="50"/>
  <c r="C120" i="50"/>
  <c r="K120" i="50"/>
  <c r="S120" i="50"/>
  <c r="G121" i="50"/>
  <c r="O121" i="50"/>
  <c r="C122" i="50"/>
  <c r="K122" i="50"/>
  <c r="P122" i="50"/>
  <c r="B123" i="50"/>
  <c r="G123" i="50"/>
  <c r="L123" i="50"/>
  <c r="R123" i="50"/>
  <c r="C124" i="50"/>
  <c r="H124" i="50"/>
  <c r="N124" i="50"/>
  <c r="S124" i="50"/>
  <c r="D125" i="50"/>
  <c r="J125" i="50"/>
  <c r="O125" i="50"/>
  <c r="T125" i="50"/>
  <c r="F126" i="50"/>
  <c r="K126" i="50"/>
  <c r="P126" i="50"/>
  <c r="B127" i="50"/>
  <c r="G127" i="50"/>
  <c r="L127" i="50"/>
  <c r="R127" i="50"/>
  <c r="C128" i="50"/>
  <c r="H128" i="50"/>
  <c r="N128" i="50"/>
  <c r="S128" i="50"/>
  <c r="D129" i="50"/>
  <c r="J129" i="50"/>
  <c r="O129" i="50"/>
  <c r="T129" i="50"/>
  <c r="F130" i="50"/>
  <c r="K130" i="50"/>
  <c r="P130" i="50"/>
  <c r="B131" i="50"/>
  <c r="G131" i="50"/>
  <c r="L131" i="50"/>
  <c r="R131" i="50"/>
  <c r="C132" i="50"/>
  <c r="H132" i="50"/>
  <c r="N132" i="50"/>
  <c r="S132" i="50"/>
  <c r="D133" i="50"/>
  <c r="J133" i="50"/>
  <c r="O133" i="50"/>
  <c r="T133" i="50"/>
  <c r="F134" i="50"/>
  <c r="K134" i="50"/>
  <c r="P134" i="50"/>
  <c r="B135" i="50"/>
  <c r="G135" i="50"/>
  <c r="L135" i="50"/>
  <c r="R135" i="50"/>
  <c r="C136" i="50"/>
  <c r="H136" i="50"/>
  <c r="N136" i="50"/>
  <c r="S136" i="50"/>
  <c r="D137" i="50"/>
  <c r="J137" i="50"/>
  <c r="O137" i="50"/>
  <c r="T137" i="50"/>
  <c r="F138" i="50"/>
  <c r="K138" i="50"/>
  <c r="P138" i="50"/>
  <c r="B139" i="50"/>
  <c r="G139" i="50"/>
  <c r="L139" i="50"/>
  <c r="R139" i="50"/>
  <c r="C140" i="50"/>
  <c r="H140" i="50"/>
  <c r="N140" i="50"/>
  <c r="S140" i="50"/>
  <c r="D141" i="50"/>
  <c r="J141" i="50"/>
  <c r="O141" i="50"/>
  <c r="T141" i="50"/>
  <c r="F142" i="50"/>
  <c r="K142" i="50"/>
  <c r="P142" i="50"/>
  <c r="B143" i="50"/>
  <c r="G143" i="50"/>
  <c r="L143" i="50"/>
  <c r="R143" i="50"/>
  <c r="C144" i="50"/>
  <c r="H144" i="50"/>
  <c r="N144" i="50"/>
  <c r="R144" i="50"/>
  <c r="B145" i="50"/>
  <c r="F145" i="50"/>
  <c r="J145" i="50"/>
  <c r="N145" i="50"/>
  <c r="R145" i="50"/>
  <c r="B146" i="50"/>
  <c r="F146" i="50"/>
  <c r="J146" i="50"/>
  <c r="N146" i="50"/>
  <c r="R146" i="50"/>
  <c r="B147" i="50"/>
  <c r="F147" i="50"/>
  <c r="J147" i="50"/>
  <c r="N147" i="50"/>
  <c r="R147" i="50"/>
  <c r="B148" i="50"/>
  <c r="F148" i="50"/>
  <c r="J148" i="50"/>
  <c r="N148" i="50"/>
  <c r="R148" i="50"/>
  <c r="B149" i="50"/>
  <c r="F149" i="50"/>
  <c r="J149" i="50"/>
  <c r="N149" i="50"/>
  <c r="R149" i="50"/>
  <c r="B150" i="50"/>
  <c r="F150" i="50"/>
  <c r="J150" i="50"/>
  <c r="N150" i="50"/>
  <c r="R150" i="50"/>
  <c r="B151" i="50"/>
  <c r="F151" i="50"/>
  <c r="J151" i="50"/>
  <c r="N151" i="50"/>
  <c r="R151" i="50"/>
  <c r="B152" i="50"/>
  <c r="F152" i="50"/>
  <c r="J152" i="50"/>
  <c r="N152" i="50"/>
  <c r="R152" i="50"/>
  <c r="B153" i="50"/>
  <c r="F153" i="50"/>
  <c r="J153" i="50"/>
  <c r="N153" i="50"/>
  <c r="R153" i="50"/>
  <c r="B154" i="50"/>
  <c r="F154" i="50"/>
  <c r="J154" i="50"/>
  <c r="N154" i="50"/>
  <c r="R154" i="50"/>
  <c r="B155" i="50"/>
  <c r="F155" i="50"/>
  <c r="J155" i="50"/>
  <c r="N155" i="50"/>
  <c r="R155" i="50"/>
  <c r="B156" i="50"/>
  <c r="F156" i="50"/>
  <c r="J156" i="50"/>
  <c r="N156" i="50"/>
  <c r="R156" i="50"/>
  <c r="B157" i="50"/>
  <c r="F157" i="50"/>
  <c r="J157" i="50"/>
  <c r="N157" i="50"/>
  <c r="R157" i="50"/>
  <c r="B158" i="50"/>
  <c r="F158" i="50"/>
  <c r="J158" i="50"/>
  <c r="N158" i="50"/>
  <c r="R158" i="50"/>
  <c r="B159" i="50"/>
  <c r="F159" i="50"/>
  <c r="J159" i="50"/>
  <c r="N159" i="50"/>
  <c r="R159" i="50"/>
  <c r="B160" i="50"/>
  <c r="F160" i="50"/>
  <c r="J160" i="50"/>
  <c r="N160" i="50"/>
  <c r="R160" i="50"/>
  <c r="B161" i="50"/>
  <c r="F161" i="50"/>
  <c r="J161" i="50"/>
  <c r="N161" i="50"/>
  <c r="R161" i="50"/>
  <c r="B162" i="50"/>
  <c r="F162" i="50"/>
  <c r="J162" i="50"/>
  <c r="N162" i="50"/>
  <c r="R162" i="50"/>
  <c r="B163" i="50"/>
  <c r="F163" i="50"/>
  <c r="J163" i="50"/>
  <c r="N163" i="50"/>
  <c r="R163" i="50"/>
  <c r="B164" i="50"/>
  <c r="F164" i="50"/>
  <c r="J164" i="50"/>
  <c r="N164" i="50"/>
  <c r="R164" i="50"/>
  <c r="B165" i="50"/>
  <c r="F165" i="50"/>
  <c r="J165" i="50"/>
  <c r="N165" i="50"/>
  <c r="R165" i="50"/>
  <c r="B166" i="50"/>
  <c r="F166" i="50"/>
  <c r="J166" i="50"/>
  <c r="N166" i="50"/>
  <c r="R166" i="50"/>
  <c r="B167" i="50"/>
  <c r="F167" i="50"/>
  <c r="J167" i="50"/>
  <c r="N167" i="50"/>
  <c r="R167" i="50"/>
  <c r="B168" i="50"/>
  <c r="F168" i="50"/>
  <c r="J168" i="50"/>
  <c r="N168" i="50"/>
  <c r="R168" i="50"/>
  <c r="B169" i="50"/>
  <c r="F169" i="50"/>
  <c r="J169" i="50"/>
  <c r="N169" i="50"/>
  <c r="R169" i="50"/>
  <c r="B170" i="50"/>
  <c r="F170" i="50"/>
  <c r="D113" i="50"/>
  <c r="T113" i="50"/>
  <c r="P114" i="50"/>
  <c r="H115" i="50"/>
  <c r="P115" i="50"/>
  <c r="D116" i="50"/>
  <c r="L116" i="50"/>
  <c r="T116" i="50"/>
  <c r="H117" i="50"/>
  <c r="P117" i="50"/>
  <c r="D118" i="50"/>
  <c r="L118" i="50"/>
  <c r="T118" i="50"/>
  <c r="H119" i="50"/>
  <c r="P119" i="50"/>
  <c r="D120" i="50"/>
  <c r="L120" i="50"/>
  <c r="T120" i="50"/>
  <c r="H121" i="50"/>
  <c r="P121" i="50"/>
  <c r="D122" i="50"/>
  <c r="L122" i="50"/>
  <c r="R122" i="50"/>
  <c r="C123" i="50"/>
  <c r="H123" i="50"/>
  <c r="N123" i="50"/>
  <c r="S123" i="50"/>
  <c r="D124" i="50"/>
  <c r="J124" i="50"/>
  <c r="O124" i="50"/>
  <c r="T124" i="50"/>
  <c r="F125" i="50"/>
  <c r="K125" i="50"/>
  <c r="P125" i="50"/>
  <c r="B126" i="50"/>
  <c r="G126" i="50"/>
  <c r="L126" i="50"/>
  <c r="R126" i="50"/>
  <c r="C127" i="50"/>
  <c r="H127" i="50"/>
  <c r="N127" i="50"/>
  <c r="S127" i="50"/>
  <c r="D128" i="50"/>
  <c r="J128" i="50"/>
  <c r="O128" i="50"/>
  <c r="T128" i="50"/>
  <c r="H113" i="50"/>
  <c r="D114" i="50"/>
  <c r="T114" i="50"/>
  <c r="K115" i="50"/>
  <c r="S115" i="50"/>
  <c r="G116" i="50"/>
  <c r="O116" i="50"/>
  <c r="C117" i="50"/>
  <c r="K117" i="50"/>
  <c r="S117" i="50"/>
  <c r="G118" i="50"/>
  <c r="O118" i="50"/>
  <c r="C119" i="50"/>
  <c r="K119" i="50"/>
  <c r="S119" i="50"/>
  <c r="G120" i="50"/>
  <c r="O120" i="50"/>
  <c r="C121" i="50"/>
  <c r="K121" i="50"/>
  <c r="S121" i="50"/>
  <c r="G122" i="50"/>
  <c r="N122" i="50"/>
  <c r="S122" i="50"/>
  <c r="D123" i="50"/>
  <c r="J123" i="50"/>
  <c r="O123" i="50"/>
  <c r="T123" i="50"/>
  <c r="F124" i="50"/>
  <c r="K124" i="50"/>
  <c r="P124" i="50"/>
  <c r="B125" i="50"/>
  <c r="G125" i="50"/>
  <c r="L125" i="50"/>
  <c r="R125" i="50"/>
  <c r="C126" i="50"/>
  <c r="H126" i="50"/>
  <c r="N126" i="50"/>
  <c r="S126" i="50"/>
  <c r="D127" i="50"/>
  <c r="J127" i="50"/>
  <c r="O127" i="50"/>
  <c r="T127" i="50"/>
  <c r="F128" i="50"/>
  <c r="K128" i="50"/>
  <c r="P128" i="50"/>
  <c r="B129" i="50"/>
  <c r="G129" i="50"/>
  <c r="L129" i="50"/>
  <c r="R129" i="50"/>
  <c r="C130" i="50"/>
  <c r="H130" i="50"/>
  <c r="N130" i="50"/>
  <c r="S130" i="50"/>
  <c r="D131" i="50"/>
  <c r="J131" i="50"/>
  <c r="O131" i="50"/>
  <c r="T131" i="50"/>
  <c r="F132" i="50"/>
  <c r="K132" i="50"/>
  <c r="P132" i="50"/>
  <c r="B133" i="50"/>
  <c r="G133" i="50"/>
  <c r="L133" i="50"/>
  <c r="R133" i="50"/>
  <c r="C134" i="50"/>
  <c r="H134" i="50"/>
  <c r="N134" i="50"/>
  <c r="S134" i="50"/>
  <c r="D135" i="50"/>
  <c r="J135" i="50"/>
  <c r="O135" i="50"/>
  <c r="T135" i="50"/>
  <c r="F136" i="50"/>
  <c r="K136" i="50"/>
  <c r="P136" i="50"/>
  <c r="B137" i="50"/>
  <c r="G137" i="50"/>
  <c r="L137" i="50"/>
  <c r="R137" i="50"/>
  <c r="C138" i="50"/>
  <c r="H138" i="50"/>
  <c r="N138" i="50"/>
  <c r="S138" i="50"/>
  <c r="D139" i="50"/>
  <c r="J139" i="50"/>
  <c r="O139" i="50"/>
  <c r="T139" i="50"/>
  <c r="F140" i="50"/>
  <c r="K140" i="50"/>
  <c r="P140" i="50"/>
  <c r="B141" i="50"/>
  <c r="G141" i="50"/>
  <c r="L141" i="50"/>
  <c r="R141" i="50"/>
  <c r="C142" i="50"/>
  <c r="H142" i="50"/>
  <c r="N142" i="50"/>
  <c r="S142" i="50"/>
  <c r="D143" i="50"/>
  <c r="J143" i="50"/>
  <c r="O143" i="50"/>
  <c r="T143" i="50"/>
  <c r="F144" i="50"/>
  <c r="K144" i="50"/>
  <c r="P144" i="50"/>
  <c r="T144" i="50"/>
  <c r="D145" i="50"/>
  <c r="H145" i="50"/>
  <c r="L145" i="50"/>
  <c r="P145" i="50"/>
  <c r="T145" i="50"/>
  <c r="D146" i="50"/>
  <c r="H146" i="50"/>
  <c r="L146" i="50"/>
  <c r="P146" i="50"/>
  <c r="T146" i="50"/>
  <c r="D147" i="50"/>
  <c r="H147" i="50"/>
  <c r="L147" i="50"/>
  <c r="P147" i="50"/>
  <c r="T147" i="50"/>
  <c r="D148" i="50"/>
  <c r="H148" i="50"/>
  <c r="L148" i="50"/>
  <c r="P148" i="50"/>
  <c r="T148" i="50"/>
  <c r="D149" i="50"/>
  <c r="H149" i="50"/>
  <c r="L149" i="50"/>
  <c r="P149" i="50"/>
  <c r="T149" i="50"/>
  <c r="D150" i="50"/>
  <c r="H150" i="50"/>
  <c r="L150" i="50"/>
  <c r="P150" i="50"/>
  <c r="T150" i="50"/>
  <c r="D151" i="50"/>
  <c r="H151" i="50"/>
  <c r="L151" i="50"/>
  <c r="P151" i="50"/>
  <c r="T151" i="50"/>
  <c r="D152" i="50"/>
  <c r="H152" i="50"/>
  <c r="L152" i="50"/>
  <c r="P152" i="50"/>
  <c r="T152" i="50"/>
  <c r="D153" i="50"/>
  <c r="H153" i="50"/>
  <c r="L153" i="50"/>
  <c r="P153" i="50"/>
  <c r="T153" i="50"/>
  <c r="D154" i="50"/>
  <c r="H154" i="50"/>
  <c r="L154" i="50"/>
  <c r="P154" i="50"/>
  <c r="T154" i="50"/>
  <c r="D155" i="50"/>
  <c r="H155" i="50"/>
  <c r="F129" i="50"/>
  <c r="G130" i="50"/>
  <c r="H131" i="50"/>
  <c r="J132" i="50"/>
  <c r="K133" i="50"/>
  <c r="L134" i="50"/>
  <c r="N135" i="50"/>
  <c r="O136" i="50"/>
  <c r="P137" i="50"/>
  <c r="R138" i="50"/>
  <c r="S139" i="50"/>
  <c r="T140" i="50"/>
  <c r="B142" i="50"/>
  <c r="C143" i="50"/>
  <c r="D144" i="50"/>
  <c r="C145" i="50"/>
  <c r="S145" i="50"/>
  <c r="O146" i="50"/>
  <c r="K147" i="50"/>
  <c r="G148" i="50"/>
  <c r="C149" i="50"/>
  <c r="S149" i="50"/>
  <c r="O150" i="50"/>
  <c r="K151" i="50"/>
  <c r="G152" i="50"/>
  <c r="C153" i="50"/>
  <c r="S153" i="50"/>
  <c r="O154" i="50"/>
  <c r="K155" i="50"/>
  <c r="S155" i="50"/>
  <c r="G156" i="50"/>
  <c r="O156" i="50"/>
  <c r="C157" i="50"/>
  <c r="K157" i="50"/>
  <c r="S157" i="50"/>
  <c r="G158" i="50"/>
  <c r="O158" i="50"/>
  <c r="C159" i="50"/>
  <c r="K159" i="50"/>
  <c r="S159" i="50"/>
  <c r="G160" i="50"/>
  <c r="O160" i="50"/>
  <c r="C161" i="50"/>
  <c r="K161" i="50"/>
  <c r="S161" i="50"/>
  <c r="G162" i="50"/>
  <c r="O162" i="50"/>
  <c r="C163" i="50"/>
  <c r="K163" i="50"/>
  <c r="S163" i="50"/>
  <c r="G164" i="50"/>
  <c r="O164" i="50"/>
  <c r="C165" i="50"/>
  <c r="K165" i="50"/>
  <c r="S165" i="50"/>
  <c r="G166" i="50"/>
  <c r="O166" i="50"/>
  <c r="C167" i="50"/>
  <c r="K167" i="50"/>
  <c r="S167" i="50"/>
  <c r="G168" i="50"/>
  <c r="O168" i="50"/>
  <c r="C169" i="50"/>
  <c r="K169" i="50"/>
  <c r="S169" i="50"/>
  <c r="G170" i="50"/>
  <c r="L170" i="50"/>
  <c r="R170" i="50"/>
  <c r="C171" i="50"/>
  <c r="H171" i="50"/>
  <c r="N171" i="50"/>
  <c r="S171" i="50"/>
  <c r="D172" i="50"/>
  <c r="J172" i="50"/>
  <c r="O172" i="50"/>
  <c r="T172" i="50"/>
  <c r="F173" i="50"/>
  <c r="K173" i="50"/>
  <c r="P173" i="50"/>
  <c r="B174" i="50"/>
  <c r="G174" i="50"/>
  <c r="L174" i="50"/>
  <c r="R174" i="50"/>
  <c r="C175" i="50"/>
  <c r="H175" i="50"/>
  <c r="N175" i="50"/>
  <c r="S175" i="50"/>
  <c r="D176" i="50"/>
  <c r="J176" i="50"/>
  <c r="O176" i="50"/>
  <c r="T176" i="50"/>
  <c r="F177" i="50"/>
  <c r="K177" i="50"/>
  <c r="P177" i="50"/>
  <c r="B178" i="50"/>
  <c r="G178" i="50"/>
  <c r="L178" i="50"/>
  <c r="R178" i="50"/>
  <c r="C179" i="50"/>
  <c r="H179" i="50"/>
  <c r="N179" i="50"/>
  <c r="S179" i="50"/>
  <c r="D180" i="50"/>
  <c r="J180" i="50"/>
  <c r="O180" i="50"/>
  <c r="T180" i="50"/>
  <c r="F181" i="50"/>
  <c r="K181" i="50"/>
  <c r="P181" i="50"/>
  <c r="B182" i="50"/>
  <c r="G182" i="50"/>
  <c r="L182" i="50"/>
  <c r="R182" i="50"/>
  <c r="C183" i="50"/>
  <c r="H183" i="50"/>
  <c r="N183" i="50"/>
  <c r="S183" i="50"/>
  <c r="D184" i="50"/>
  <c r="J184" i="50"/>
  <c r="O184" i="50"/>
  <c r="T184" i="50"/>
  <c r="F185" i="50"/>
  <c r="K185" i="50"/>
  <c r="P185" i="50"/>
  <c r="B186" i="50"/>
  <c r="G186" i="50"/>
  <c r="L186" i="50"/>
  <c r="R186" i="50"/>
  <c r="C187" i="50"/>
  <c r="H187" i="50"/>
  <c r="N187" i="50"/>
  <c r="S187" i="50"/>
  <c r="D188" i="50"/>
  <c r="J188" i="50"/>
  <c r="O188" i="50"/>
  <c r="T188" i="50"/>
  <c r="F189" i="50"/>
  <c r="K189" i="50"/>
  <c r="P189" i="50"/>
  <c r="B190" i="50"/>
  <c r="G190" i="50"/>
  <c r="L190" i="50"/>
  <c r="R190" i="50"/>
  <c r="C191" i="50"/>
  <c r="H191" i="50"/>
  <c r="N191" i="50"/>
  <c r="S191" i="50"/>
  <c r="C192" i="50"/>
  <c r="G192" i="50"/>
  <c r="K192" i="50"/>
  <c r="O192" i="50"/>
  <c r="S192" i="50"/>
  <c r="C193" i="50"/>
  <c r="G193" i="50"/>
  <c r="K193" i="50"/>
  <c r="O193" i="50"/>
  <c r="S193" i="50"/>
  <c r="C194" i="50"/>
  <c r="G194" i="50"/>
  <c r="K194" i="50"/>
  <c r="O194" i="50"/>
  <c r="S194" i="50"/>
  <c r="C195" i="50"/>
  <c r="G195" i="50"/>
  <c r="K195" i="50"/>
  <c r="O195" i="50"/>
  <c r="S195" i="50"/>
  <c r="C196" i="50"/>
  <c r="G196" i="50"/>
  <c r="K196" i="50"/>
  <c r="O196" i="50"/>
  <c r="S196" i="50"/>
  <c r="C197" i="50"/>
  <c r="G197" i="50"/>
  <c r="K197" i="50"/>
  <c r="O197" i="50"/>
  <c r="S197" i="50"/>
  <c r="C198" i="50"/>
  <c r="G198" i="50"/>
  <c r="K198" i="50"/>
  <c r="O198" i="50"/>
  <c r="S198" i="50"/>
  <c r="C199" i="50"/>
  <c r="G199" i="50"/>
  <c r="K199" i="50"/>
  <c r="O199" i="50"/>
  <c r="S199" i="50"/>
  <c r="C200" i="50"/>
  <c r="G200" i="50"/>
  <c r="K200" i="50"/>
  <c r="O200" i="50"/>
  <c r="S200" i="50"/>
  <c r="C201" i="50"/>
  <c r="G201" i="50"/>
  <c r="K201" i="50"/>
  <c r="O201" i="50"/>
  <c r="S201" i="50"/>
  <c r="C202" i="50"/>
  <c r="G202" i="50"/>
  <c r="K202" i="50"/>
  <c r="O202" i="50"/>
  <c r="S202" i="50"/>
  <c r="C203" i="50"/>
  <c r="G203" i="50"/>
  <c r="K203" i="50"/>
  <c r="O203" i="50"/>
  <c r="S203" i="50"/>
  <c r="C204" i="50"/>
  <c r="G204" i="50"/>
  <c r="K204" i="50"/>
  <c r="O204" i="50"/>
  <c r="S204" i="50"/>
  <c r="C205" i="50"/>
  <c r="G205" i="50"/>
  <c r="K205" i="50"/>
  <c r="O205" i="50"/>
  <c r="S205" i="50"/>
  <c r="C206" i="50"/>
  <c r="G206" i="50"/>
  <c r="K206" i="50"/>
  <c r="O206" i="50"/>
  <c r="S206" i="50"/>
  <c r="C207" i="50"/>
  <c r="G207" i="50"/>
  <c r="K207" i="50"/>
  <c r="O207" i="50"/>
  <c r="S207" i="50"/>
  <c r="C208" i="50"/>
  <c r="G208" i="50"/>
  <c r="K208" i="50"/>
  <c r="O208" i="50"/>
  <c r="S208" i="50"/>
  <c r="C209" i="50"/>
  <c r="G209" i="50"/>
  <c r="K209" i="50"/>
  <c r="O209" i="50"/>
  <c r="S209" i="50"/>
  <c r="C210" i="50"/>
  <c r="G210" i="50"/>
  <c r="K210" i="50"/>
  <c r="O210" i="50"/>
  <c r="S210" i="50"/>
  <c r="C211" i="50"/>
  <c r="G211" i="50"/>
  <c r="K211" i="50"/>
  <c r="O211" i="50"/>
  <c r="S211" i="50"/>
  <c r="C212" i="50"/>
  <c r="G212" i="50"/>
  <c r="K212" i="50"/>
  <c r="O212" i="50"/>
  <c r="S212" i="50"/>
  <c r="C213" i="50"/>
  <c r="G213" i="50"/>
  <c r="K213" i="50"/>
  <c r="O213" i="50"/>
  <c r="S213" i="50"/>
  <c r="C214" i="50"/>
  <c r="G214" i="50"/>
  <c r="K214" i="50"/>
  <c r="O214" i="50"/>
  <c r="S214" i="50"/>
  <c r="C215" i="50"/>
  <c r="G215" i="50"/>
  <c r="K215" i="50"/>
  <c r="O215" i="50"/>
  <c r="S215" i="50"/>
  <c r="C216" i="50"/>
  <c r="G216" i="50"/>
  <c r="K216" i="50"/>
  <c r="O216" i="50"/>
  <c r="S216" i="50"/>
  <c r="C217" i="50"/>
  <c r="G217" i="50"/>
  <c r="K217" i="50"/>
  <c r="O217" i="50"/>
  <c r="S217" i="50"/>
  <c r="C218" i="50"/>
  <c r="G218" i="50"/>
  <c r="K218" i="50"/>
  <c r="O218" i="50"/>
  <c r="S218" i="50"/>
  <c r="C219" i="50"/>
  <c r="G219" i="50"/>
  <c r="K219" i="50"/>
  <c r="O219" i="50"/>
  <c r="S219" i="50"/>
  <c r="C220" i="50"/>
  <c r="G220" i="50"/>
  <c r="K220" i="50"/>
  <c r="O220" i="50"/>
  <c r="S220" i="50"/>
  <c r="C221" i="50"/>
  <c r="G221" i="50"/>
  <c r="K221" i="50"/>
  <c r="O221" i="50"/>
  <c r="S221" i="50"/>
  <c r="C222" i="50"/>
  <c r="G222" i="50"/>
  <c r="K222" i="50"/>
  <c r="O222" i="50"/>
  <c r="S222" i="50"/>
  <c r="C223" i="50"/>
  <c r="G223" i="50"/>
  <c r="K223" i="50"/>
  <c r="O223" i="50"/>
  <c r="S223" i="50"/>
  <c r="C224" i="50"/>
  <c r="G224" i="50"/>
  <c r="K224" i="50"/>
  <c r="O224" i="50"/>
  <c r="S224" i="50"/>
  <c r="K129" i="50"/>
  <c r="L130" i="50"/>
  <c r="N131" i="50"/>
  <c r="O132" i="50"/>
  <c r="P133" i="50"/>
  <c r="R134" i="50"/>
  <c r="S135" i="50"/>
  <c r="T136" i="50"/>
  <c r="B138" i="50"/>
  <c r="C139" i="50"/>
  <c r="D140" i="50"/>
  <c r="F141" i="50"/>
  <c r="G142" i="50"/>
  <c r="H143" i="50"/>
  <c r="J144" i="50"/>
  <c r="G145" i="50"/>
  <c r="C146" i="50"/>
  <c r="S146" i="50"/>
  <c r="O147" i="50"/>
  <c r="K148" i="50"/>
  <c r="G149" i="50"/>
  <c r="C150" i="50"/>
  <c r="S150" i="50"/>
  <c r="O151" i="50"/>
  <c r="K152" i="50"/>
  <c r="G153" i="50"/>
  <c r="C154" i="50"/>
  <c r="S154" i="50"/>
  <c r="L155" i="50"/>
  <c r="T155" i="50"/>
  <c r="H156" i="50"/>
  <c r="P156" i="50"/>
  <c r="D157" i="50"/>
  <c r="L157" i="50"/>
  <c r="T157" i="50"/>
  <c r="H158" i="50"/>
  <c r="P158" i="50"/>
  <c r="D159" i="50"/>
  <c r="L159" i="50"/>
  <c r="T159" i="50"/>
  <c r="H160" i="50"/>
  <c r="P160" i="50"/>
  <c r="D161" i="50"/>
  <c r="L161" i="50"/>
  <c r="T161" i="50"/>
  <c r="H162" i="50"/>
  <c r="P162" i="50"/>
  <c r="D163" i="50"/>
  <c r="L163" i="50"/>
  <c r="T163" i="50"/>
  <c r="H164" i="50"/>
  <c r="P164" i="50"/>
  <c r="D165" i="50"/>
  <c r="L165" i="50"/>
  <c r="T165" i="50"/>
  <c r="H166" i="50"/>
  <c r="P166" i="50"/>
  <c r="D167" i="50"/>
  <c r="L167" i="50"/>
  <c r="T167" i="50"/>
  <c r="H168" i="50"/>
  <c r="P168" i="50"/>
  <c r="D169" i="50"/>
  <c r="L169" i="50"/>
  <c r="T169" i="50"/>
  <c r="H170" i="50"/>
  <c r="N170" i="50"/>
  <c r="S170" i="50"/>
  <c r="D171" i="50"/>
  <c r="J171" i="50"/>
  <c r="O171" i="50"/>
  <c r="T171" i="50"/>
  <c r="F172" i="50"/>
  <c r="K172" i="50"/>
  <c r="P172" i="50"/>
  <c r="B173" i="50"/>
  <c r="G173" i="50"/>
  <c r="L173" i="50"/>
  <c r="R173" i="50"/>
  <c r="C174" i="50"/>
  <c r="H174" i="50"/>
  <c r="N174" i="50"/>
  <c r="S174" i="50"/>
  <c r="D175" i="50"/>
  <c r="J175" i="50"/>
  <c r="O175" i="50"/>
  <c r="T175" i="50"/>
  <c r="F176" i="50"/>
  <c r="K176" i="50"/>
  <c r="P176" i="50"/>
  <c r="B177" i="50"/>
  <c r="G177" i="50"/>
  <c r="L177" i="50"/>
  <c r="R177" i="50"/>
  <c r="C178" i="50"/>
  <c r="H178" i="50"/>
  <c r="N178" i="50"/>
  <c r="S178" i="50"/>
  <c r="D179" i="50"/>
  <c r="J179" i="50"/>
  <c r="O179" i="50"/>
  <c r="T179" i="50"/>
  <c r="F180" i="50"/>
  <c r="K180" i="50"/>
  <c r="P180" i="50"/>
  <c r="B181" i="50"/>
  <c r="G181" i="50"/>
  <c r="L181" i="50"/>
  <c r="R181" i="50"/>
  <c r="C182" i="50"/>
  <c r="H182" i="50"/>
  <c r="N182" i="50"/>
  <c r="S182" i="50"/>
  <c r="D183" i="50"/>
  <c r="J183" i="50"/>
  <c r="O183" i="50"/>
  <c r="T183" i="50"/>
  <c r="F184" i="50"/>
  <c r="K184" i="50"/>
  <c r="P184" i="50"/>
  <c r="B185" i="50"/>
  <c r="G185" i="50"/>
  <c r="L185" i="50"/>
  <c r="R185" i="50"/>
  <c r="C186" i="50"/>
  <c r="H186" i="50"/>
  <c r="N186" i="50"/>
  <c r="S186" i="50"/>
  <c r="D187" i="50"/>
  <c r="J187" i="50"/>
  <c r="O187" i="50"/>
  <c r="T187" i="50"/>
  <c r="F188" i="50"/>
  <c r="K188" i="50"/>
  <c r="P188" i="50"/>
  <c r="B189" i="50"/>
  <c r="G189" i="50"/>
  <c r="L189" i="50"/>
  <c r="R189" i="50"/>
  <c r="C190" i="50"/>
  <c r="H190" i="50"/>
  <c r="N190" i="50"/>
  <c r="S190" i="50"/>
  <c r="D191" i="50"/>
  <c r="J191" i="50"/>
  <c r="O191" i="50"/>
  <c r="T191" i="50"/>
  <c r="D192" i="50"/>
  <c r="H192" i="50"/>
  <c r="L192" i="50"/>
  <c r="P192" i="50"/>
  <c r="T192" i="50"/>
  <c r="D193" i="50"/>
  <c r="H193" i="50"/>
  <c r="L193" i="50"/>
  <c r="P193" i="50"/>
  <c r="T193" i="50"/>
  <c r="D194" i="50"/>
  <c r="H194" i="50"/>
  <c r="L194" i="50"/>
  <c r="P194" i="50"/>
  <c r="T194" i="50"/>
  <c r="D195" i="50"/>
  <c r="H195" i="50"/>
  <c r="L195" i="50"/>
  <c r="P195" i="50"/>
  <c r="T195" i="50"/>
  <c r="D196" i="50"/>
  <c r="H196" i="50"/>
  <c r="L196" i="50"/>
  <c r="P196" i="50"/>
  <c r="T196" i="50"/>
  <c r="D197" i="50"/>
  <c r="H197" i="50"/>
  <c r="L197" i="50"/>
  <c r="P197" i="50"/>
  <c r="T197" i="50"/>
  <c r="D198" i="50"/>
  <c r="H198" i="50"/>
  <c r="L198" i="50"/>
  <c r="P198" i="50"/>
  <c r="T198" i="50"/>
  <c r="D199" i="50"/>
  <c r="H199" i="50"/>
  <c r="L199" i="50"/>
  <c r="P199" i="50"/>
  <c r="T199" i="50"/>
  <c r="D200" i="50"/>
  <c r="H200" i="50"/>
  <c r="L200" i="50"/>
  <c r="P200" i="50"/>
  <c r="T200" i="50"/>
  <c r="D201" i="50"/>
  <c r="H201" i="50"/>
  <c r="L201" i="50"/>
  <c r="P129" i="50"/>
  <c r="R130" i="50"/>
  <c r="S131" i="50"/>
  <c r="T132" i="50"/>
  <c r="B134" i="50"/>
  <c r="C135" i="50"/>
  <c r="D136" i="50"/>
  <c r="F137" i="50"/>
  <c r="G138" i="50"/>
  <c r="H139" i="50"/>
  <c r="J140" i="50"/>
  <c r="K141" i="50"/>
  <c r="L142" i="50"/>
  <c r="N143" i="50"/>
  <c r="O144" i="50"/>
  <c r="K145" i="50"/>
  <c r="G146" i="50"/>
  <c r="C147" i="50"/>
  <c r="S147" i="50"/>
  <c r="O148" i="50"/>
  <c r="K149" i="50"/>
  <c r="G150" i="50"/>
  <c r="C151" i="50"/>
  <c r="S151" i="50"/>
  <c r="O152" i="50"/>
  <c r="K153" i="50"/>
  <c r="G154" i="50"/>
  <c r="C155" i="50"/>
  <c r="O155" i="50"/>
  <c r="C156" i="50"/>
  <c r="K156" i="50"/>
  <c r="S156" i="50"/>
  <c r="G157" i="50"/>
  <c r="O157" i="50"/>
  <c r="C158" i="50"/>
  <c r="K158" i="50"/>
  <c r="S158" i="50"/>
  <c r="G159" i="50"/>
  <c r="O159" i="50"/>
  <c r="C160" i="50"/>
  <c r="K160" i="50"/>
  <c r="S160" i="50"/>
  <c r="G161" i="50"/>
  <c r="O161" i="50"/>
  <c r="C162" i="50"/>
  <c r="K162" i="50"/>
  <c r="S162" i="50"/>
  <c r="G163" i="50"/>
  <c r="O163" i="50"/>
  <c r="C164" i="50"/>
  <c r="K164" i="50"/>
  <c r="S164" i="50"/>
  <c r="G165" i="50"/>
  <c r="O165" i="50"/>
  <c r="C166" i="50"/>
  <c r="K166" i="50"/>
  <c r="S166" i="50"/>
  <c r="G167" i="50"/>
  <c r="O167" i="50"/>
  <c r="C168" i="50"/>
  <c r="K168" i="50"/>
  <c r="S168" i="50"/>
  <c r="G169" i="50"/>
  <c r="O169" i="50"/>
  <c r="C170" i="50"/>
  <c r="J170" i="50"/>
  <c r="O170" i="50"/>
  <c r="T170" i="50"/>
  <c r="F171" i="50"/>
  <c r="K171" i="50"/>
  <c r="P171" i="50"/>
  <c r="B172" i="50"/>
  <c r="G172" i="50"/>
  <c r="L172" i="50"/>
  <c r="R172" i="50"/>
  <c r="C173" i="50"/>
  <c r="H173" i="50"/>
  <c r="N173" i="50"/>
  <c r="S173" i="50"/>
  <c r="D174" i="50"/>
  <c r="J174" i="50"/>
  <c r="O174" i="50"/>
  <c r="T174" i="50"/>
  <c r="F175" i="50"/>
  <c r="K175" i="50"/>
  <c r="P175" i="50"/>
  <c r="B176" i="50"/>
  <c r="G176" i="50"/>
  <c r="L176" i="50"/>
  <c r="R176" i="50"/>
  <c r="C177" i="50"/>
  <c r="H177" i="50"/>
  <c r="N177" i="50"/>
  <c r="S177" i="50"/>
  <c r="D178" i="50"/>
  <c r="J178" i="50"/>
  <c r="O178" i="50"/>
  <c r="T178" i="50"/>
  <c r="F179" i="50"/>
  <c r="K179" i="50"/>
  <c r="P179" i="50"/>
  <c r="B180" i="50"/>
  <c r="G180" i="50"/>
  <c r="L180" i="50"/>
  <c r="R180" i="50"/>
  <c r="C181" i="50"/>
  <c r="H181" i="50"/>
  <c r="N181" i="50"/>
  <c r="S181" i="50"/>
  <c r="D182" i="50"/>
  <c r="J182" i="50"/>
  <c r="O182" i="50"/>
  <c r="T182" i="50"/>
  <c r="F183" i="50"/>
  <c r="K183" i="50"/>
  <c r="P183" i="50"/>
  <c r="B184" i="50"/>
  <c r="G184" i="50"/>
  <c r="L184" i="50"/>
  <c r="R184" i="50"/>
  <c r="C185" i="50"/>
  <c r="H185" i="50"/>
  <c r="N185" i="50"/>
  <c r="S185" i="50"/>
  <c r="D186" i="50"/>
  <c r="J186" i="50"/>
  <c r="O186" i="50"/>
  <c r="T186" i="50"/>
  <c r="F187" i="50"/>
  <c r="K187" i="50"/>
  <c r="P187" i="50"/>
  <c r="B188" i="50"/>
  <c r="G188" i="50"/>
  <c r="L188" i="50"/>
  <c r="R188" i="50"/>
  <c r="C189" i="50"/>
  <c r="H189" i="50"/>
  <c r="N189" i="50"/>
  <c r="S189" i="50"/>
  <c r="D190" i="50"/>
  <c r="J190" i="50"/>
  <c r="O190" i="50"/>
  <c r="T190" i="50"/>
  <c r="F191" i="50"/>
  <c r="K191" i="50"/>
  <c r="P191" i="50"/>
  <c r="A192" i="50"/>
  <c r="E192" i="50"/>
  <c r="I192" i="50"/>
  <c r="M192" i="50"/>
  <c r="Q192" i="50"/>
  <c r="A193" i="50"/>
  <c r="E193" i="50"/>
  <c r="I193" i="50"/>
  <c r="M193" i="50"/>
  <c r="Q193" i="50"/>
  <c r="A194" i="50"/>
  <c r="E194" i="50"/>
  <c r="I194" i="50"/>
  <c r="M194" i="50"/>
  <c r="Q194" i="50"/>
  <c r="A195" i="50"/>
  <c r="E195" i="50"/>
  <c r="I195" i="50"/>
  <c r="M195" i="50"/>
  <c r="Q195" i="50"/>
  <c r="A196" i="50"/>
  <c r="E196" i="50"/>
  <c r="I196" i="50"/>
  <c r="M196" i="50"/>
  <c r="B130" i="50"/>
  <c r="C131" i="50"/>
  <c r="D132" i="50"/>
  <c r="F133" i="50"/>
  <c r="G134" i="50"/>
  <c r="H135" i="50"/>
  <c r="J136" i="50"/>
  <c r="K137" i="50"/>
  <c r="L138" i="50"/>
  <c r="N139" i="50"/>
  <c r="O140" i="50"/>
  <c r="P141" i="50"/>
  <c r="R142" i="50"/>
  <c r="S143" i="50"/>
  <c r="S144" i="50"/>
  <c r="O145" i="50"/>
  <c r="K146" i="50"/>
  <c r="G147" i="50"/>
  <c r="C148" i="50"/>
  <c r="S148" i="50"/>
  <c r="O149" i="50"/>
  <c r="K150" i="50"/>
  <c r="G151" i="50"/>
  <c r="C152" i="50"/>
  <c r="S152" i="50"/>
  <c r="O153" i="50"/>
  <c r="K154" i="50"/>
  <c r="G155" i="50"/>
  <c r="P155" i="50"/>
  <c r="D156" i="50"/>
  <c r="L156" i="50"/>
  <c r="T156" i="50"/>
  <c r="H157" i="50"/>
  <c r="P157" i="50"/>
  <c r="D158" i="50"/>
  <c r="L158" i="50"/>
  <c r="T158" i="50"/>
  <c r="H159" i="50"/>
  <c r="P159" i="50"/>
  <c r="D160" i="50"/>
  <c r="L160" i="50"/>
  <c r="T160" i="50"/>
  <c r="H161" i="50"/>
  <c r="P161" i="50"/>
  <c r="D162" i="50"/>
  <c r="L162" i="50"/>
  <c r="T162" i="50"/>
  <c r="H163" i="50"/>
  <c r="P163" i="50"/>
  <c r="D164" i="50"/>
  <c r="L164" i="50"/>
  <c r="T164" i="50"/>
  <c r="H165" i="50"/>
  <c r="P165" i="50"/>
  <c r="D166" i="50"/>
  <c r="L166" i="50"/>
  <c r="T166" i="50"/>
  <c r="H167" i="50"/>
  <c r="P167" i="50"/>
  <c r="D168" i="50"/>
  <c r="L168" i="50"/>
  <c r="T168" i="50"/>
  <c r="H169" i="50"/>
  <c r="P169" i="50"/>
  <c r="D170" i="50"/>
  <c r="K170" i="50"/>
  <c r="P170" i="50"/>
  <c r="B171" i="50"/>
  <c r="G171" i="50"/>
  <c r="L171" i="50"/>
  <c r="R171" i="50"/>
  <c r="C172" i="50"/>
  <c r="H172" i="50"/>
  <c r="N172" i="50"/>
  <c r="S172" i="50"/>
  <c r="D173" i="50"/>
  <c r="J173" i="50"/>
  <c r="O173" i="50"/>
  <c r="T173" i="50"/>
  <c r="F174" i="50"/>
  <c r="K174" i="50"/>
  <c r="P174" i="50"/>
  <c r="B175" i="50"/>
  <c r="G175" i="50"/>
  <c r="L175" i="50"/>
  <c r="R175" i="50"/>
  <c r="C176" i="50"/>
  <c r="H176" i="50"/>
  <c r="N176" i="50"/>
  <c r="S176" i="50"/>
  <c r="D177" i="50"/>
  <c r="J177" i="50"/>
  <c r="O177" i="50"/>
  <c r="T177" i="50"/>
  <c r="F178" i="50"/>
  <c r="K178" i="50"/>
  <c r="P178" i="50"/>
  <c r="B179" i="50"/>
  <c r="G179" i="50"/>
  <c r="L179" i="50"/>
  <c r="R179" i="50"/>
  <c r="C180" i="50"/>
  <c r="H180" i="50"/>
  <c r="N180" i="50"/>
  <c r="S180" i="50"/>
  <c r="D181" i="50"/>
  <c r="J181" i="50"/>
  <c r="O181" i="50"/>
  <c r="T181" i="50"/>
  <c r="F182" i="50"/>
  <c r="K182" i="50"/>
  <c r="P182" i="50"/>
  <c r="B183" i="50"/>
  <c r="G183" i="50"/>
  <c r="L183" i="50"/>
  <c r="R183" i="50"/>
  <c r="C184" i="50"/>
  <c r="H184" i="50"/>
  <c r="N184" i="50"/>
  <c r="S184" i="50"/>
  <c r="D185" i="50"/>
  <c r="J185" i="50"/>
  <c r="O185" i="50"/>
  <c r="T185" i="50"/>
  <c r="F186" i="50"/>
  <c r="K186" i="50"/>
  <c r="P186" i="50"/>
  <c r="B187" i="50"/>
  <c r="G187" i="50"/>
  <c r="L187" i="50"/>
  <c r="R187" i="50"/>
  <c r="C188" i="50"/>
  <c r="H188" i="50"/>
  <c r="N188" i="50"/>
  <c r="S188" i="50"/>
  <c r="D189" i="50"/>
  <c r="J189" i="50"/>
  <c r="O189" i="50"/>
  <c r="T189" i="50"/>
  <c r="F190" i="50"/>
  <c r="K190" i="50"/>
  <c r="P190" i="50"/>
  <c r="B191" i="50"/>
  <c r="G191" i="50"/>
  <c r="L191" i="50"/>
  <c r="R191" i="50"/>
  <c r="N192" i="50"/>
  <c r="J193" i="50"/>
  <c r="F194" i="50"/>
  <c r="B195" i="50"/>
  <c r="R195" i="50"/>
  <c r="N196" i="50"/>
  <c r="B197" i="50"/>
  <c r="J197" i="50"/>
  <c r="R197" i="50"/>
  <c r="F198" i="50"/>
  <c r="N198" i="50"/>
  <c r="B199" i="50"/>
  <c r="J199" i="50"/>
  <c r="R199" i="50"/>
  <c r="F200" i="50"/>
  <c r="N200" i="50"/>
  <c r="B201" i="50"/>
  <c r="J201" i="50"/>
  <c r="Q201" i="50"/>
  <c r="B202" i="50"/>
  <c r="H202" i="50"/>
  <c r="M202" i="50"/>
  <c r="R202" i="50"/>
  <c r="D203" i="50"/>
  <c r="I203" i="50"/>
  <c r="N203" i="50"/>
  <c r="T203" i="50"/>
  <c r="E204" i="50"/>
  <c r="J204" i="50"/>
  <c r="P204" i="50"/>
  <c r="A205" i="50"/>
  <c r="F205" i="50"/>
  <c r="L205" i="50"/>
  <c r="Q205" i="50"/>
  <c r="B206" i="50"/>
  <c r="H206" i="50"/>
  <c r="M206" i="50"/>
  <c r="R206" i="50"/>
  <c r="D207" i="50"/>
  <c r="I207" i="50"/>
  <c r="N207" i="50"/>
  <c r="T207" i="50"/>
  <c r="E208" i="50"/>
  <c r="J208" i="50"/>
  <c r="P208" i="50"/>
  <c r="A209" i="50"/>
  <c r="F209" i="50"/>
  <c r="L209" i="50"/>
  <c r="Q209" i="50"/>
  <c r="B210" i="50"/>
  <c r="H210" i="50"/>
  <c r="M210" i="50"/>
  <c r="R210" i="50"/>
  <c r="D211" i="50"/>
  <c r="I211" i="50"/>
  <c r="N211" i="50"/>
  <c r="T211" i="50"/>
  <c r="E212" i="50"/>
  <c r="J212" i="50"/>
  <c r="P212" i="50"/>
  <c r="A213" i="50"/>
  <c r="F213" i="50"/>
  <c r="L213" i="50"/>
  <c r="Q213" i="50"/>
  <c r="B214" i="50"/>
  <c r="H214" i="50"/>
  <c r="M214" i="50"/>
  <c r="R214" i="50"/>
  <c r="D215" i="50"/>
  <c r="I215" i="50"/>
  <c r="N215" i="50"/>
  <c r="T215" i="50"/>
  <c r="E216" i="50"/>
  <c r="J216" i="50"/>
  <c r="P216" i="50"/>
  <c r="A217" i="50"/>
  <c r="F217" i="50"/>
  <c r="L217" i="50"/>
  <c r="Q217" i="50"/>
  <c r="B218" i="50"/>
  <c r="H218" i="50"/>
  <c r="M218" i="50"/>
  <c r="R218" i="50"/>
  <c r="D219" i="50"/>
  <c r="I219" i="50"/>
  <c r="N219" i="50"/>
  <c r="T219" i="50"/>
  <c r="E220" i="50"/>
  <c r="J220" i="50"/>
  <c r="P220" i="50"/>
  <c r="A221" i="50"/>
  <c r="F221" i="50"/>
  <c r="L221" i="50"/>
  <c r="Q221" i="50"/>
  <c r="B222" i="50"/>
  <c r="H222" i="50"/>
  <c r="M222" i="50"/>
  <c r="R222" i="50"/>
  <c r="D223" i="50"/>
  <c r="I223" i="50"/>
  <c r="N223" i="50"/>
  <c r="T223" i="50"/>
  <c r="E224" i="50"/>
  <c r="J224" i="50"/>
  <c r="P224" i="50"/>
  <c r="A225" i="50"/>
  <c r="E225" i="50"/>
  <c r="I225" i="50"/>
  <c r="M225" i="50"/>
  <c r="Q225" i="50"/>
  <c r="A226" i="50"/>
  <c r="E226" i="50"/>
  <c r="I226" i="50"/>
  <c r="M226" i="50"/>
  <c r="Q226" i="50"/>
  <c r="A227" i="50"/>
  <c r="E227" i="50"/>
  <c r="I227" i="50"/>
  <c r="M227" i="50"/>
  <c r="Q227" i="50"/>
  <c r="A228" i="50"/>
  <c r="E228" i="50"/>
  <c r="I228" i="50"/>
  <c r="M228" i="50"/>
  <c r="Q228" i="50"/>
  <c r="A229" i="50"/>
  <c r="E229" i="50"/>
  <c r="I229" i="50"/>
  <c r="M229" i="50"/>
  <c r="Q229" i="50"/>
  <c r="A230" i="50"/>
  <c r="E230" i="50"/>
  <c r="I230" i="50"/>
  <c r="M230" i="50"/>
  <c r="Q230" i="50"/>
  <c r="A231" i="50"/>
  <c r="E231" i="50"/>
  <c r="I231" i="50"/>
  <c r="M231" i="50"/>
  <c r="Q231" i="50"/>
  <c r="A232" i="50"/>
  <c r="E232" i="50"/>
  <c r="I232" i="50"/>
  <c r="M232" i="50"/>
  <c r="Q232" i="50"/>
  <c r="A233" i="50"/>
  <c r="E233" i="50"/>
  <c r="I233" i="50"/>
  <c r="M233" i="50"/>
  <c r="Q233" i="50"/>
  <c r="A234" i="50"/>
  <c r="E234" i="50"/>
  <c r="I234" i="50"/>
  <c r="M234" i="50"/>
  <c r="Q234" i="50"/>
  <c r="A235" i="50"/>
  <c r="E235" i="50"/>
  <c r="I235" i="50"/>
  <c r="M235" i="50"/>
  <c r="Q235" i="50"/>
  <c r="A236" i="50"/>
  <c r="E236" i="50"/>
  <c r="I236" i="50"/>
  <c r="M236" i="50"/>
  <c r="Q236" i="50"/>
  <c r="A237" i="50"/>
  <c r="E237" i="50"/>
  <c r="I237" i="50"/>
  <c r="M237" i="50"/>
  <c r="Q237" i="50"/>
  <c r="A238" i="50"/>
  <c r="E238" i="50"/>
  <c r="I238" i="50"/>
  <c r="M238" i="50"/>
  <c r="Q238" i="50"/>
  <c r="A239" i="50"/>
  <c r="E239" i="50"/>
  <c r="I239" i="50"/>
  <c r="M239" i="50"/>
  <c r="Q239" i="50"/>
  <c r="A240" i="50"/>
  <c r="E240" i="50"/>
  <c r="I240" i="50"/>
  <c r="M240" i="50"/>
  <c r="Q240" i="50"/>
  <c r="A241" i="50"/>
  <c r="E241" i="50"/>
  <c r="I241" i="50"/>
  <c r="M241" i="50"/>
  <c r="Q241" i="50"/>
  <c r="A242" i="50"/>
  <c r="E242" i="50"/>
  <c r="I242" i="50"/>
  <c r="M242" i="50"/>
  <c r="Q242" i="50"/>
  <c r="A243" i="50"/>
  <c r="E243" i="50"/>
  <c r="I243" i="50"/>
  <c r="M243" i="50"/>
  <c r="Q243" i="50"/>
  <c r="A244" i="50"/>
  <c r="E244" i="50"/>
  <c r="I244" i="50"/>
  <c r="M244" i="50"/>
  <c r="Q244" i="50"/>
  <c r="A245" i="50"/>
  <c r="E245" i="50"/>
  <c r="I245" i="50"/>
  <c r="M245" i="50"/>
  <c r="Q245" i="50"/>
  <c r="A246" i="50"/>
  <c r="E246" i="50"/>
  <c r="I246" i="50"/>
  <c r="M246" i="50"/>
  <c r="Q246" i="50"/>
  <c r="A247" i="50"/>
  <c r="E247" i="50"/>
  <c r="I247" i="50"/>
  <c r="M247" i="50"/>
  <c r="Q247" i="50"/>
  <c r="A248" i="50"/>
  <c r="E248" i="50"/>
  <c r="I248" i="50"/>
  <c r="M248" i="50"/>
  <c r="Q248" i="50"/>
  <c r="A249" i="50"/>
  <c r="E249" i="50"/>
  <c r="I249" i="50"/>
  <c r="M249" i="50"/>
  <c r="Q249" i="50"/>
  <c r="A250" i="50"/>
  <c r="E250" i="50"/>
  <c r="I250" i="50"/>
  <c r="M250" i="50"/>
  <c r="Q250" i="50"/>
  <c r="A251" i="50"/>
  <c r="E251" i="50"/>
  <c r="I251" i="50"/>
  <c r="M251" i="50"/>
  <c r="Q251" i="50"/>
  <c r="A252" i="50"/>
  <c r="E252" i="50"/>
  <c r="I252" i="50"/>
  <c r="M252" i="50"/>
  <c r="Q252" i="50"/>
  <c r="A253" i="50"/>
  <c r="E253" i="50"/>
  <c r="I253" i="50"/>
  <c r="M253" i="50"/>
  <c r="Q253" i="50"/>
  <c r="A254" i="50"/>
  <c r="E254" i="50"/>
  <c r="I254" i="50"/>
  <c r="M254" i="50"/>
  <c r="Q254" i="50"/>
  <c r="A255" i="50"/>
  <c r="E255" i="50"/>
  <c r="I255" i="50"/>
  <c r="M255" i="50"/>
  <c r="Q255" i="50"/>
  <c r="A256" i="50"/>
  <c r="E256" i="50"/>
  <c r="I256" i="50"/>
  <c r="M256" i="50"/>
  <c r="Q256" i="50"/>
  <c r="A257" i="50"/>
  <c r="E257" i="50"/>
  <c r="I257" i="50"/>
  <c r="M257" i="50"/>
  <c r="Q257" i="50"/>
  <c r="A258" i="50"/>
  <c r="E258" i="50"/>
  <c r="I258" i="50"/>
  <c r="M258" i="50"/>
  <c r="Q258" i="50"/>
  <c r="A259" i="50"/>
  <c r="E259" i="50"/>
  <c r="I259" i="50"/>
  <c r="M259" i="50"/>
  <c r="Q259" i="50"/>
  <c r="A260" i="50"/>
  <c r="E260" i="50"/>
  <c r="I260" i="50"/>
  <c r="M260" i="50"/>
  <c r="Q260" i="50"/>
  <c r="A261" i="50"/>
  <c r="E261" i="50"/>
  <c r="I261" i="50"/>
  <c r="M261" i="50"/>
  <c r="Q261" i="50"/>
  <c r="A262" i="50"/>
  <c r="E262" i="50"/>
  <c r="I262" i="50"/>
  <c r="M262" i="50"/>
  <c r="Q262" i="50"/>
  <c r="A263" i="50"/>
  <c r="E263" i="50"/>
  <c r="I263" i="50"/>
  <c r="M263" i="50"/>
  <c r="Q263" i="50"/>
  <c r="A264" i="50"/>
  <c r="E264" i="50"/>
  <c r="I264" i="50"/>
  <c r="M264" i="50"/>
  <c r="Q264" i="50"/>
  <c r="A265" i="50"/>
  <c r="E265" i="50"/>
  <c r="I265" i="50"/>
  <c r="M265" i="50"/>
  <c r="Q265" i="50"/>
  <c r="A266" i="50"/>
  <c r="E266" i="50"/>
  <c r="I266" i="50"/>
  <c r="M266" i="50"/>
  <c r="Q266" i="50"/>
  <c r="A267" i="50"/>
  <c r="E267" i="50"/>
  <c r="I267" i="50"/>
  <c r="M267" i="50"/>
  <c r="Q267" i="50"/>
  <c r="A268" i="50"/>
  <c r="E268" i="50"/>
  <c r="I268" i="50"/>
  <c r="M268" i="50"/>
  <c r="Q268" i="50"/>
  <c r="A269" i="50"/>
  <c r="E269" i="50"/>
  <c r="I269" i="50"/>
  <c r="M269" i="50"/>
  <c r="Q269" i="50"/>
  <c r="A270" i="50"/>
  <c r="E270" i="50"/>
  <c r="I270" i="50"/>
  <c r="M270" i="50"/>
  <c r="Q270" i="50"/>
  <c r="A271" i="50"/>
  <c r="E271" i="50"/>
  <c r="I271" i="50"/>
  <c r="M271" i="50"/>
  <c r="Q271" i="50"/>
  <c r="A272" i="50"/>
  <c r="E272" i="50"/>
  <c r="I272" i="50"/>
  <c r="M272" i="50"/>
  <c r="B192" i="50"/>
  <c r="R192" i="50"/>
  <c r="N193" i="50"/>
  <c r="J194" i="50"/>
  <c r="F195" i="50"/>
  <c r="B196" i="50"/>
  <c r="Q196" i="50"/>
  <c r="E197" i="50"/>
  <c r="M197" i="50"/>
  <c r="A198" i="50"/>
  <c r="I198" i="50"/>
  <c r="Q198" i="50"/>
  <c r="E199" i="50"/>
  <c r="M199" i="50"/>
  <c r="A200" i="50"/>
  <c r="I200" i="50"/>
  <c r="Q200" i="50"/>
  <c r="E201" i="50"/>
  <c r="M201" i="50"/>
  <c r="R201" i="50"/>
  <c r="D202" i="50"/>
  <c r="I202" i="50"/>
  <c r="N202" i="50"/>
  <c r="T202" i="50"/>
  <c r="E203" i="50"/>
  <c r="J203" i="50"/>
  <c r="P203" i="50"/>
  <c r="A204" i="50"/>
  <c r="F204" i="50"/>
  <c r="L204" i="50"/>
  <c r="Q204" i="50"/>
  <c r="B205" i="50"/>
  <c r="H205" i="50"/>
  <c r="M205" i="50"/>
  <c r="R205" i="50"/>
  <c r="D206" i="50"/>
  <c r="I206" i="50"/>
  <c r="N206" i="50"/>
  <c r="T206" i="50"/>
  <c r="E207" i="50"/>
  <c r="J207" i="50"/>
  <c r="P207" i="50"/>
  <c r="A208" i="50"/>
  <c r="F208" i="50"/>
  <c r="L208" i="50"/>
  <c r="Q208" i="50"/>
  <c r="B209" i="50"/>
  <c r="H209" i="50"/>
  <c r="M209" i="50"/>
  <c r="R209" i="50"/>
  <c r="D210" i="50"/>
  <c r="I210" i="50"/>
  <c r="N210" i="50"/>
  <c r="T210" i="50"/>
  <c r="E211" i="50"/>
  <c r="J211" i="50"/>
  <c r="P211" i="50"/>
  <c r="A212" i="50"/>
  <c r="F212" i="50"/>
  <c r="L212" i="50"/>
  <c r="Q212" i="50"/>
  <c r="B213" i="50"/>
  <c r="H213" i="50"/>
  <c r="M213" i="50"/>
  <c r="R213" i="50"/>
  <c r="D214" i="50"/>
  <c r="I214" i="50"/>
  <c r="N214" i="50"/>
  <c r="T214" i="50"/>
  <c r="E215" i="50"/>
  <c r="J215" i="50"/>
  <c r="P215" i="50"/>
  <c r="A216" i="50"/>
  <c r="F216" i="50"/>
  <c r="L216" i="50"/>
  <c r="Q216" i="50"/>
  <c r="B217" i="50"/>
  <c r="H217" i="50"/>
  <c r="M217" i="50"/>
  <c r="R217" i="50"/>
  <c r="D218" i="50"/>
  <c r="I218" i="50"/>
  <c r="N218" i="50"/>
  <c r="T218" i="50"/>
  <c r="E219" i="50"/>
  <c r="J219" i="50"/>
  <c r="P219" i="50"/>
  <c r="A220" i="50"/>
  <c r="F220" i="50"/>
  <c r="L220" i="50"/>
  <c r="Q220" i="50"/>
  <c r="B221" i="50"/>
  <c r="H221" i="50"/>
  <c r="M221" i="50"/>
  <c r="R221" i="50"/>
  <c r="D222" i="50"/>
  <c r="I222" i="50"/>
  <c r="N222" i="50"/>
  <c r="T222" i="50"/>
  <c r="E223" i="50"/>
  <c r="J223" i="50"/>
  <c r="P223" i="50"/>
  <c r="A224" i="50"/>
  <c r="F224" i="50"/>
  <c r="L224" i="50"/>
  <c r="Q224" i="50"/>
  <c r="B225" i="50"/>
  <c r="F225" i="50"/>
  <c r="J225" i="50"/>
  <c r="N225" i="50"/>
  <c r="R225" i="50"/>
  <c r="B226" i="50"/>
  <c r="F226" i="50"/>
  <c r="J226" i="50"/>
  <c r="N226" i="50"/>
  <c r="R226" i="50"/>
  <c r="B227" i="50"/>
  <c r="F227" i="50"/>
  <c r="J227" i="50"/>
  <c r="N227" i="50"/>
  <c r="R227" i="50"/>
  <c r="B228" i="50"/>
  <c r="F228" i="50"/>
  <c r="J228" i="50"/>
  <c r="N228" i="50"/>
  <c r="R228" i="50"/>
  <c r="B229" i="50"/>
  <c r="F229" i="50"/>
  <c r="J229" i="50"/>
  <c r="N229" i="50"/>
  <c r="R229" i="50"/>
  <c r="B230" i="50"/>
  <c r="F230" i="50"/>
  <c r="J230" i="50"/>
  <c r="N230" i="50"/>
  <c r="R230" i="50"/>
  <c r="B231" i="50"/>
  <c r="F231" i="50"/>
  <c r="J231" i="50"/>
  <c r="N231" i="50"/>
  <c r="R231" i="50"/>
  <c r="B232" i="50"/>
  <c r="F232" i="50"/>
  <c r="J232" i="50"/>
  <c r="N232" i="50"/>
  <c r="R232" i="50"/>
  <c r="B233" i="50"/>
  <c r="F233" i="50"/>
  <c r="J233" i="50"/>
  <c r="N233" i="50"/>
  <c r="R233" i="50"/>
  <c r="B234" i="50"/>
  <c r="F234" i="50"/>
  <c r="J234" i="50"/>
  <c r="N234" i="50"/>
  <c r="R234" i="50"/>
  <c r="B235" i="50"/>
  <c r="F235" i="50"/>
  <c r="J235" i="50"/>
  <c r="N235" i="50"/>
  <c r="R235" i="50"/>
  <c r="B236" i="50"/>
  <c r="F236" i="50"/>
  <c r="J236" i="50"/>
  <c r="N236" i="50"/>
  <c r="R236" i="50"/>
  <c r="B237" i="50"/>
  <c r="F237" i="50"/>
  <c r="J237" i="50"/>
  <c r="N237" i="50"/>
  <c r="R237" i="50"/>
  <c r="B238" i="50"/>
  <c r="F238" i="50"/>
  <c r="J238" i="50"/>
  <c r="N238" i="50"/>
  <c r="R238" i="50"/>
  <c r="B239" i="50"/>
  <c r="F239" i="50"/>
  <c r="J239" i="50"/>
  <c r="N239" i="50"/>
  <c r="R239" i="50"/>
  <c r="B240" i="50"/>
  <c r="F240" i="50"/>
  <c r="J240" i="50"/>
  <c r="N240" i="50"/>
  <c r="R240" i="50"/>
  <c r="B241" i="50"/>
  <c r="F241" i="50"/>
  <c r="J241" i="50"/>
  <c r="N241" i="50"/>
  <c r="R241" i="50"/>
  <c r="B242" i="50"/>
  <c r="F242" i="50"/>
  <c r="J242" i="50"/>
  <c r="N242" i="50"/>
  <c r="R242" i="50"/>
  <c r="B243" i="50"/>
  <c r="F243" i="50"/>
  <c r="J243" i="50"/>
  <c r="N243" i="50"/>
  <c r="R243" i="50"/>
  <c r="B244" i="50"/>
  <c r="F244" i="50"/>
  <c r="J244" i="50"/>
  <c r="N244" i="50"/>
  <c r="R244" i="50"/>
  <c r="B245" i="50"/>
  <c r="F245" i="50"/>
  <c r="J245" i="50"/>
  <c r="N245" i="50"/>
  <c r="R245" i="50"/>
  <c r="B246" i="50"/>
  <c r="F246" i="50"/>
  <c r="J246" i="50"/>
  <c r="N246" i="50"/>
  <c r="R246" i="50"/>
  <c r="B247" i="50"/>
  <c r="F247" i="50"/>
  <c r="J247" i="50"/>
  <c r="N247" i="50"/>
  <c r="R247" i="50"/>
  <c r="B248" i="50"/>
  <c r="F248" i="50"/>
  <c r="J248" i="50"/>
  <c r="F192" i="50"/>
  <c r="B193" i="50"/>
  <c r="R193" i="50"/>
  <c r="N194" i="50"/>
  <c r="J195" i="50"/>
  <c r="F196" i="50"/>
  <c r="R196" i="50"/>
  <c r="F197" i="50"/>
  <c r="N197" i="50"/>
  <c r="B198" i="50"/>
  <c r="J198" i="50"/>
  <c r="R198" i="50"/>
  <c r="F199" i="50"/>
  <c r="N199" i="50"/>
  <c r="B200" i="50"/>
  <c r="J200" i="50"/>
  <c r="R200" i="50"/>
  <c r="F201" i="50"/>
  <c r="N201" i="50"/>
  <c r="T201" i="50"/>
  <c r="E202" i="50"/>
  <c r="J202" i="50"/>
  <c r="P202" i="50"/>
  <c r="A203" i="50"/>
  <c r="F203" i="50"/>
  <c r="L203" i="50"/>
  <c r="Q203" i="50"/>
  <c r="B204" i="50"/>
  <c r="H204" i="50"/>
  <c r="M204" i="50"/>
  <c r="R204" i="50"/>
  <c r="D205" i="50"/>
  <c r="I205" i="50"/>
  <c r="N205" i="50"/>
  <c r="T205" i="50"/>
  <c r="E206" i="50"/>
  <c r="J206" i="50"/>
  <c r="P206" i="50"/>
  <c r="A207" i="50"/>
  <c r="F207" i="50"/>
  <c r="L207" i="50"/>
  <c r="Q207" i="50"/>
  <c r="B208" i="50"/>
  <c r="H208" i="50"/>
  <c r="M208" i="50"/>
  <c r="R208" i="50"/>
  <c r="D209" i="50"/>
  <c r="I209" i="50"/>
  <c r="N209" i="50"/>
  <c r="T209" i="50"/>
  <c r="E210" i="50"/>
  <c r="J210" i="50"/>
  <c r="P210" i="50"/>
  <c r="A211" i="50"/>
  <c r="F211" i="50"/>
  <c r="L211" i="50"/>
  <c r="Q211" i="50"/>
  <c r="B212" i="50"/>
  <c r="H212" i="50"/>
  <c r="M212" i="50"/>
  <c r="R212" i="50"/>
  <c r="D213" i="50"/>
  <c r="I213" i="50"/>
  <c r="N213" i="50"/>
  <c r="T213" i="50"/>
  <c r="E214" i="50"/>
  <c r="J214" i="50"/>
  <c r="P214" i="50"/>
  <c r="A215" i="50"/>
  <c r="F215" i="50"/>
  <c r="L215" i="50"/>
  <c r="Q215" i="50"/>
  <c r="B216" i="50"/>
  <c r="H216" i="50"/>
  <c r="M216" i="50"/>
  <c r="R216" i="50"/>
  <c r="D217" i="50"/>
  <c r="I217" i="50"/>
  <c r="N217" i="50"/>
  <c r="T217" i="50"/>
  <c r="E218" i="50"/>
  <c r="J218" i="50"/>
  <c r="P218" i="50"/>
  <c r="A219" i="50"/>
  <c r="F219" i="50"/>
  <c r="L219" i="50"/>
  <c r="Q219" i="50"/>
  <c r="B220" i="50"/>
  <c r="H220" i="50"/>
  <c r="M220" i="50"/>
  <c r="R220" i="50"/>
  <c r="D221" i="50"/>
  <c r="I221" i="50"/>
  <c r="N221" i="50"/>
  <c r="T221" i="50"/>
  <c r="E222" i="50"/>
  <c r="J222" i="50"/>
  <c r="P222" i="50"/>
  <c r="A223" i="50"/>
  <c r="F223" i="50"/>
  <c r="L223" i="50"/>
  <c r="Q223" i="50"/>
  <c r="B224" i="50"/>
  <c r="H224" i="50"/>
  <c r="M224" i="50"/>
  <c r="R224" i="50"/>
  <c r="C225" i="50"/>
  <c r="G225" i="50"/>
  <c r="K225" i="50"/>
  <c r="O225" i="50"/>
  <c r="S225" i="50"/>
  <c r="C226" i="50"/>
  <c r="G226" i="50"/>
  <c r="K226" i="50"/>
  <c r="O226" i="50"/>
  <c r="S226" i="50"/>
  <c r="C227" i="50"/>
  <c r="G227" i="50"/>
  <c r="K227" i="50"/>
  <c r="O227" i="50"/>
  <c r="S227" i="50"/>
  <c r="C228" i="50"/>
  <c r="G228" i="50"/>
  <c r="K228" i="50"/>
  <c r="O228" i="50"/>
  <c r="S228" i="50"/>
  <c r="C229" i="50"/>
  <c r="G229" i="50"/>
  <c r="K229" i="50"/>
  <c r="O229" i="50"/>
  <c r="S229" i="50"/>
  <c r="C230" i="50"/>
  <c r="G230" i="50"/>
  <c r="K230" i="50"/>
  <c r="O230" i="50"/>
  <c r="S230" i="50"/>
  <c r="C231" i="50"/>
  <c r="G231" i="50"/>
  <c r="K231" i="50"/>
  <c r="O231" i="50"/>
  <c r="S231" i="50"/>
  <c r="C232" i="50"/>
  <c r="G232" i="50"/>
  <c r="K232" i="50"/>
  <c r="O232" i="50"/>
  <c r="S232" i="50"/>
  <c r="C233" i="50"/>
  <c r="G233" i="50"/>
  <c r="K233" i="50"/>
  <c r="O233" i="50"/>
  <c r="S233" i="50"/>
  <c r="C234" i="50"/>
  <c r="G234" i="50"/>
  <c r="K234" i="50"/>
  <c r="O234" i="50"/>
  <c r="S234" i="50"/>
  <c r="C235" i="50"/>
  <c r="G235" i="50"/>
  <c r="K235" i="50"/>
  <c r="O235" i="50"/>
  <c r="S235" i="50"/>
  <c r="C236" i="50"/>
  <c r="G236" i="50"/>
  <c r="K236" i="50"/>
  <c r="O236" i="50"/>
  <c r="S236" i="50"/>
  <c r="C237" i="50"/>
  <c r="G237" i="50"/>
  <c r="K237" i="50"/>
  <c r="O237" i="50"/>
  <c r="S237" i="50"/>
  <c r="C238" i="50"/>
  <c r="G238" i="50"/>
  <c r="K238" i="50"/>
  <c r="O238" i="50"/>
  <c r="S238" i="50"/>
  <c r="C239" i="50"/>
  <c r="G239" i="50"/>
  <c r="K239" i="50"/>
  <c r="O239" i="50"/>
  <c r="S239" i="50"/>
  <c r="C240" i="50"/>
  <c r="G240" i="50"/>
  <c r="K240" i="50"/>
  <c r="O240" i="50"/>
  <c r="S240" i="50"/>
  <c r="C241" i="50"/>
  <c r="G241" i="50"/>
  <c r="K241" i="50"/>
  <c r="O241" i="50"/>
  <c r="S241" i="50"/>
  <c r="C242" i="50"/>
  <c r="G242" i="50"/>
  <c r="K242" i="50"/>
  <c r="O242" i="50"/>
  <c r="S242" i="50"/>
  <c r="C243" i="50"/>
  <c r="G243" i="50"/>
  <c r="K243" i="50"/>
  <c r="O243" i="50"/>
  <c r="S243" i="50"/>
  <c r="C244" i="50"/>
  <c r="G244" i="50"/>
  <c r="K244" i="50"/>
  <c r="O244" i="50"/>
  <c r="S244" i="50"/>
  <c r="C245" i="50"/>
  <c r="G245" i="50"/>
  <c r="K245" i="50"/>
  <c r="O245" i="50"/>
  <c r="S245" i="50"/>
  <c r="C246" i="50"/>
  <c r="J192" i="50"/>
  <c r="F193" i="50"/>
  <c r="B194" i="50"/>
  <c r="R194" i="50"/>
  <c r="N195" i="50"/>
  <c r="J196" i="50"/>
  <c r="A197" i="50"/>
  <c r="I197" i="50"/>
  <c r="Q197" i="50"/>
  <c r="E198" i="50"/>
  <c r="M198" i="50"/>
  <c r="A199" i="50"/>
  <c r="I199" i="50"/>
  <c r="Q199" i="50"/>
  <c r="E200" i="50"/>
  <c r="M200" i="50"/>
  <c r="A201" i="50"/>
  <c r="I201" i="50"/>
  <c r="P201" i="50"/>
  <c r="A202" i="50"/>
  <c r="F202" i="50"/>
  <c r="L202" i="50"/>
  <c r="Q202" i="50"/>
  <c r="B203" i="50"/>
  <c r="H203" i="50"/>
  <c r="M203" i="50"/>
  <c r="R203" i="50"/>
  <c r="D204" i="50"/>
  <c r="I204" i="50"/>
  <c r="N204" i="50"/>
  <c r="T204" i="50"/>
  <c r="E205" i="50"/>
  <c r="J205" i="50"/>
  <c r="P205" i="50"/>
  <c r="A206" i="50"/>
  <c r="F206" i="50"/>
  <c r="L206" i="50"/>
  <c r="Q206" i="50"/>
  <c r="B207" i="50"/>
  <c r="H207" i="50"/>
  <c r="M207" i="50"/>
  <c r="R207" i="50"/>
  <c r="D208" i="50"/>
  <c r="I208" i="50"/>
  <c r="N208" i="50"/>
  <c r="T208" i="50"/>
  <c r="E209" i="50"/>
  <c r="J209" i="50"/>
  <c r="P209" i="50"/>
  <c r="A210" i="50"/>
  <c r="F210" i="50"/>
  <c r="L210" i="50"/>
  <c r="Q210" i="50"/>
  <c r="B211" i="50"/>
  <c r="H211" i="50"/>
  <c r="M211" i="50"/>
  <c r="R211" i="50"/>
  <c r="D212" i="50"/>
  <c r="I212" i="50"/>
  <c r="N212" i="50"/>
  <c r="T212" i="50"/>
  <c r="E213" i="50"/>
  <c r="J213" i="50"/>
  <c r="P213" i="50"/>
  <c r="A214" i="50"/>
  <c r="F214" i="50"/>
  <c r="L214" i="50"/>
  <c r="Q214" i="50"/>
  <c r="B215" i="50"/>
  <c r="H215" i="50"/>
  <c r="M215" i="50"/>
  <c r="R215" i="50"/>
  <c r="D216" i="50"/>
  <c r="I216" i="50"/>
  <c r="N216" i="50"/>
  <c r="T216" i="50"/>
  <c r="E217" i="50"/>
  <c r="J217" i="50"/>
  <c r="P217" i="50"/>
  <c r="A218" i="50"/>
  <c r="F218" i="50"/>
  <c r="L218" i="50"/>
  <c r="Q218" i="50"/>
  <c r="B219" i="50"/>
  <c r="H219" i="50"/>
  <c r="M219" i="50"/>
  <c r="R219" i="50"/>
  <c r="D220" i="50"/>
  <c r="I220" i="50"/>
  <c r="N220" i="50"/>
  <c r="T220" i="50"/>
  <c r="E221" i="50"/>
  <c r="J221" i="50"/>
  <c r="P221" i="50"/>
  <c r="A222" i="50"/>
  <c r="F222" i="50"/>
  <c r="L222" i="50"/>
  <c r="Q222" i="50"/>
  <c r="B223" i="50"/>
  <c r="H223" i="50"/>
  <c r="M223" i="50"/>
  <c r="R223" i="50"/>
  <c r="D224" i="50"/>
  <c r="I224" i="50"/>
  <c r="N224" i="50"/>
  <c r="T224" i="50"/>
  <c r="D225" i="50"/>
  <c r="H225" i="50"/>
  <c r="L225" i="50"/>
  <c r="P225" i="50"/>
  <c r="T225" i="50"/>
  <c r="D226" i="50"/>
  <c r="H226" i="50"/>
  <c r="L226" i="50"/>
  <c r="P226" i="50"/>
  <c r="T226" i="50"/>
  <c r="D227" i="50"/>
  <c r="H227" i="50"/>
  <c r="L227" i="50"/>
  <c r="P227" i="50"/>
  <c r="T227" i="50"/>
  <c r="D228" i="50"/>
  <c r="H228" i="50"/>
  <c r="L228" i="50"/>
  <c r="P228" i="50"/>
  <c r="T228" i="50"/>
  <c r="D229" i="50"/>
  <c r="H229" i="50"/>
  <c r="L229" i="50"/>
  <c r="P229" i="50"/>
  <c r="T229" i="50"/>
  <c r="D230" i="50"/>
  <c r="H230" i="50"/>
  <c r="L230" i="50"/>
  <c r="P230" i="50"/>
  <c r="T230" i="50"/>
  <c r="D231" i="50"/>
  <c r="H231" i="50"/>
  <c r="L231" i="50"/>
  <c r="P231" i="50"/>
  <c r="T231" i="50"/>
  <c r="D232" i="50"/>
  <c r="H232" i="50"/>
  <c r="L232" i="50"/>
  <c r="P232" i="50"/>
  <c r="T232" i="50"/>
  <c r="D233" i="50"/>
  <c r="H233" i="50"/>
  <c r="L233" i="50"/>
  <c r="P233" i="50"/>
  <c r="T233" i="50"/>
  <c r="D234" i="50"/>
  <c r="H234" i="50"/>
  <c r="L234" i="50"/>
  <c r="P234" i="50"/>
  <c r="T234" i="50"/>
  <c r="D235" i="50"/>
  <c r="H235" i="50"/>
  <c r="L235" i="50"/>
  <c r="P235" i="50"/>
  <c r="T235" i="50"/>
  <c r="D236" i="50"/>
  <c r="H236" i="50"/>
  <c r="L236" i="50"/>
  <c r="P236" i="50"/>
  <c r="T236" i="50"/>
  <c r="D237" i="50"/>
  <c r="H237" i="50"/>
  <c r="L237" i="50"/>
  <c r="P237" i="50"/>
  <c r="T237" i="50"/>
  <c r="P238" i="50"/>
  <c r="L239" i="50"/>
  <c r="H240" i="50"/>
  <c r="D241" i="50"/>
  <c r="T241" i="50"/>
  <c r="P242" i="50"/>
  <c r="L243" i="50"/>
  <c r="H244" i="50"/>
  <c r="D245" i="50"/>
  <c r="T245" i="50"/>
  <c r="K246" i="50"/>
  <c r="S246" i="50"/>
  <c r="G247" i="50"/>
  <c r="O247" i="50"/>
  <c r="C248" i="50"/>
  <c r="K248" i="50"/>
  <c r="P248" i="50"/>
  <c r="B249" i="50"/>
  <c r="G249" i="50"/>
  <c r="L249" i="50"/>
  <c r="R249" i="50"/>
  <c r="C250" i="50"/>
  <c r="H250" i="50"/>
  <c r="N250" i="50"/>
  <c r="S250" i="50"/>
  <c r="D251" i="50"/>
  <c r="J251" i="50"/>
  <c r="O251" i="50"/>
  <c r="T251" i="50"/>
  <c r="F252" i="50"/>
  <c r="K252" i="50"/>
  <c r="P252" i="50"/>
  <c r="B253" i="50"/>
  <c r="G253" i="50"/>
  <c r="L253" i="50"/>
  <c r="R253" i="50"/>
  <c r="C254" i="50"/>
  <c r="H254" i="50"/>
  <c r="N254" i="50"/>
  <c r="S254" i="50"/>
  <c r="D255" i="50"/>
  <c r="J255" i="50"/>
  <c r="O255" i="50"/>
  <c r="T255" i="50"/>
  <c r="F256" i="50"/>
  <c r="K256" i="50"/>
  <c r="P256" i="50"/>
  <c r="B257" i="50"/>
  <c r="G257" i="50"/>
  <c r="L257" i="50"/>
  <c r="R257" i="50"/>
  <c r="C258" i="50"/>
  <c r="H258" i="50"/>
  <c r="N258" i="50"/>
  <c r="S258" i="50"/>
  <c r="D259" i="50"/>
  <c r="J259" i="50"/>
  <c r="O259" i="50"/>
  <c r="T259" i="50"/>
  <c r="F260" i="50"/>
  <c r="K260" i="50"/>
  <c r="P260" i="50"/>
  <c r="B261" i="50"/>
  <c r="G261" i="50"/>
  <c r="L261" i="50"/>
  <c r="R261" i="50"/>
  <c r="C262" i="50"/>
  <c r="H262" i="50"/>
  <c r="N262" i="50"/>
  <c r="S262" i="50"/>
  <c r="D263" i="50"/>
  <c r="J263" i="50"/>
  <c r="O263" i="50"/>
  <c r="T263" i="50"/>
  <c r="F264" i="50"/>
  <c r="K264" i="50"/>
  <c r="P264" i="50"/>
  <c r="B265" i="50"/>
  <c r="G265" i="50"/>
  <c r="L265" i="50"/>
  <c r="R265" i="50"/>
  <c r="C266" i="50"/>
  <c r="H266" i="50"/>
  <c r="N266" i="50"/>
  <c r="S266" i="50"/>
  <c r="D267" i="50"/>
  <c r="J267" i="50"/>
  <c r="O267" i="50"/>
  <c r="T267" i="50"/>
  <c r="F268" i="50"/>
  <c r="K268" i="50"/>
  <c r="P268" i="50"/>
  <c r="B269" i="50"/>
  <c r="G269" i="50"/>
  <c r="L269" i="50"/>
  <c r="R269" i="50"/>
  <c r="C270" i="50"/>
  <c r="H270" i="50"/>
  <c r="N270" i="50"/>
  <c r="S270" i="50"/>
  <c r="D271" i="50"/>
  <c r="J271" i="50"/>
  <c r="O271" i="50"/>
  <c r="T271" i="50"/>
  <c r="F272" i="50"/>
  <c r="K272" i="50"/>
  <c r="P272" i="50"/>
  <c r="T272" i="50"/>
  <c r="D273" i="50"/>
  <c r="H273" i="50"/>
  <c r="L273" i="50"/>
  <c r="P273" i="50"/>
  <c r="T273" i="50"/>
  <c r="D274" i="50"/>
  <c r="H274" i="50"/>
  <c r="L274" i="50"/>
  <c r="P274" i="50"/>
  <c r="T274" i="50"/>
  <c r="D275" i="50"/>
  <c r="H275" i="50"/>
  <c r="L275" i="50"/>
  <c r="P275" i="50"/>
  <c r="T275" i="50"/>
  <c r="D276" i="50"/>
  <c r="H276" i="50"/>
  <c r="L276" i="50"/>
  <c r="P276" i="50"/>
  <c r="T276" i="50"/>
  <c r="D277" i="50"/>
  <c r="H277" i="50"/>
  <c r="L277" i="50"/>
  <c r="P277" i="50"/>
  <c r="T277" i="50"/>
  <c r="D278" i="50"/>
  <c r="H278" i="50"/>
  <c r="L278" i="50"/>
  <c r="P278" i="50"/>
  <c r="T278" i="50"/>
  <c r="D279" i="50"/>
  <c r="H279" i="50"/>
  <c r="L279" i="50"/>
  <c r="P279" i="50"/>
  <c r="T279" i="50"/>
  <c r="D280" i="50"/>
  <c r="H280" i="50"/>
  <c r="L280" i="50"/>
  <c r="P280" i="50"/>
  <c r="T280" i="50"/>
  <c r="D281" i="50"/>
  <c r="H281" i="50"/>
  <c r="L281" i="50"/>
  <c r="P281" i="50"/>
  <c r="T281" i="50"/>
  <c r="D282" i="50"/>
  <c r="H282" i="50"/>
  <c r="L282" i="50"/>
  <c r="P282" i="50"/>
  <c r="T282" i="50"/>
  <c r="D283" i="50"/>
  <c r="H283" i="50"/>
  <c r="L283" i="50"/>
  <c r="P283" i="50"/>
  <c r="T283" i="50"/>
  <c r="D284" i="50"/>
  <c r="H284" i="50"/>
  <c r="L284" i="50"/>
  <c r="P284" i="50"/>
  <c r="T284" i="50"/>
  <c r="D285" i="50"/>
  <c r="H285" i="50"/>
  <c r="L285" i="50"/>
  <c r="P285" i="50"/>
  <c r="T285" i="50"/>
  <c r="D286" i="50"/>
  <c r="H286" i="50"/>
  <c r="L286" i="50"/>
  <c r="P286" i="50"/>
  <c r="T286" i="50"/>
  <c r="D287" i="50"/>
  <c r="H287" i="50"/>
  <c r="L287" i="50"/>
  <c r="P287" i="50"/>
  <c r="T287" i="50"/>
  <c r="D288" i="50"/>
  <c r="H288" i="50"/>
  <c r="L288" i="50"/>
  <c r="P288" i="50"/>
  <c r="T288" i="50"/>
  <c r="D289" i="50"/>
  <c r="H289" i="50"/>
  <c r="L289" i="50"/>
  <c r="P289" i="50"/>
  <c r="T289" i="50"/>
  <c r="D290" i="50"/>
  <c r="H290" i="50"/>
  <c r="L290" i="50"/>
  <c r="P290" i="50"/>
  <c r="T290" i="50"/>
  <c r="D291" i="50"/>
  <c r="H291" i="50"/>
  <c r="L291" i="50"/>
  <c r="P291" i="50"/>
  <c r="T291" i="50"/>
  <c r="D292" i="50"/>
  <c r="H292" i="50"/>
  <c r="L292" i="50"/>
  <c r="P292" i="50"/>
  <c r="T292" i="50"/>
  <c r="D293" i="50"/>
  <c r="H293" i="50"/>
  <c r="L293" i="50"/>
  <c r="P293" i="50"/>
  <c r="T293" i="50"/>
  <c r="D294" i="50"/>
  <c r="H294" i="50"/>
  <c r="L294" i="50"/>
  <c r="P294" i="50"/>
  <c r="T294" i="50"/>
  <c r="D295" i="50"/>
  <c r="H295" i="50"/>
  <c r="L295" i="50"/>
  <c r="P295" i="50"/>
  <c r="T295" i="50"/>
  <c r="D296" i="50"/>
  <c r="H296" i="50"/>
  <c r="L296" i="50"/>
  <c r="P296" i="50"/>
  <c r="T296" i="50"/>
  <c r="D297" i="50"/>
  <c r="H297" i="50"/>
  <c r="L297" i="50"/>
  <c r="P297" i="50"/>
  <c r="T297" i="50"/>
  <c r="D298" i="50"/>
  <c r="H298" i="50"/>
  <c r="L298" i="50"/>
  <c r="P298" i="50"/>
  <c r="T298" i="50"/>
  <c r="D299" i="50"/>
  <c r="H299" i="50"/>
  <c r="L299" i="50"/>
  <c r="P299" i="50"/>
  <c r="T299" i="50"/>
  <c r="D300" i="50"/>
  <c r="H300" i="50"/>
  <c r="L300" i="50"/>
  <c r="P300" i="50"/>
  <c r="T300" i="50"/>
  <c r="D301" i="50"/>
  <c r="H301" i="50"/>
  <c r="L301" i="50"/>
  <c r="P301" i="50"/>
  <c r="T301" i="50"/>
  <c r="D302" i="50"/>
  <c r="H302" i="50"/>
  <c r="L302" i="50"/>
  <c r="P302" i="50"/>
  <c r="T302" i="50"/>
  <c r="D303" i="50"/>
  <c r="H303" i="50"/>
  <c r="L303" i="50"/>
  <c r="P303" i="50"/>
  <c r="T303" i="50"/>
  <c r="D304" i="50"/>
  <c r="H304" i="50"/>
  <c r="L304" i="50"/>
  <c r="P304" i="50"/>
  <c r="T304" i="50"/>
  <c r="D305" i="50"/>
  <c r="H305" i="50"/>
  <c r="L305" i="50"/>
  <c r="P305" i="50"/>
  <c r="T305" i="50"/>
  <c r="D306" i="50"/>
  <c r="H306" i="50"/>
  <c r="L306" i="50"/>
  <c r="P306" i="50"/>
  <c r="T306" i="50"/>
  <c r="D307" i="50"/>
  <c r="H307" i="50"/>
  <c r="L307" i="50"/>
  <c r="P307" i="50"/>
  <c r="T307" i="50"/>
  <c r="D308" i="50"/>
  <c r="H308" i="50"/>
  <c r="L308" i="50"/>
  <c r="P308" i="50"/>
  <c r="T308" i="50"/>
  <c r="D309" i="50"/>
  <c r="H309" i="50"/>
  <c r="L309" i="50"/>
  <c r="P309" i="50"/>
  <c r="T309" i="50"/>
  <c r="D310" i="50"/>
  <c r="H310" i="50"/>
  <c r="L310" i="50"/>
  <c r="P310" i="50"/>
  <c r="T310" i="50"/>
  <c r="D311" i="50"/>
  <c r="H311" i="50"/>
  <c r="L311" i="50"/>
  <c r="P311" i="50"/>
  <c r="T311" i="50"/>
  <c r="D312" i="50"/>
  <c r="H312" i="50"/>
  <c r="L312" i="50"/>
  <c r="P312" i="50"/>
  <c r="T312" i="50"/>
  <c r="D313" i="50"/>
  <c r="H313" i="50"/>
  <c r="L313" i="50"/>
  <c r="P313" i="50"/>
  <c r="T313" i="50"/>
  <c r="D314" i="50"/>
  <c r="H314" i="50"/>
  <c r="L314" i="50"/>
  <c r="P314" i="50"/>
  <c r="T314" i="50"/>
  <c r="D315" i="50"/>
  <c r="H315" i="50"/>
  <c r="L315" i="50"/>
  <c r="P315" i="50"/>
  <c r="T315" i="50"/>
  <c r="D316" i="50"/>
  <c r="H316" i="50"/>
  <c r="L316" i="50"/>
  <c r="P316" i="50"/>
  <c r="T316" i="50"/>
  <c r="D317" i="50"/>
  <c r="H317" i="50"/>
  <c r="L317" i="50"/>
  <c r="P317" i="50"/>
  <c r="T317" i="50"/>
  <c r="D318" i="50"/>
  <c r="H318" i="50"/>
  <c r="L318" i="50"/>
  <c r="P318" i="50"/>
  <c r="T318" i="50"/>
  <c r="D319" i="50"/>
  <c r="H319" i="50"/>
  <c r="L319" i="50"/>
  <c r="P319" i="50"/>
  <c r="T319" i="50"/>
  <c r="D320" i="50"/>
  <c r="H320" i="50"/>
  <c r="L320" i="50"/>
  <c r="P320" i="50"/>
  <c r="T320" i="50"/>
  <c r="D321" i="50"/>
  <c r="H321" i="50"/>
  <c r="L321" i="50"/>
  <c r="P321" i="50"/>
  <c r="T321" i="50"/>
  <c r="D322" i="50"/>
  <c r="H322" i="50"/>
  <c r="L322" i="50"/>
  <c r="P322" i="50"/>
  <c r="T322" i="50"/>
  <c r="D323" i="50"/>
  <c r="H323" i="50"/>
  <c r="L323" i="50"/>
  <c r="P323" i="50"/>
  <c r="T323" i="50"/>
  <c r="D324" i="50"/>
  <c r="H324" i="50"/>
  <c r="L324" i="50"/>
  <c r="P324" i="50"/>
  <c r="T324" i="50"/>
  <c r="D325" i="50"/>
  <c r="H325" i="50"/>
  <c r="L325" i="50"/>
  <c r="P325" i="50"/>
  <c r="T325" i="50"/>
  <c r="D326" i="50"/>
  <c r="H326" i="50"/>
  <c r="L326" i="50"/>
  <c r="P326" i="50"/>
  <c r="T326" i="50"/>
  <c r="D327" i="50"/>
  <c r="H327" i="50"/>
  <c r="L327" i="50"/>
  <c r="P327" i="50"/>
  <c r="T327" i="50"/>
  <c r="D328" i="50"/>
  <c r="H328" i="50"/>
  <c r="L328" i="50"/>
  <c r="P328" i="50"/>
  <c r="T328" i="50"/>
  <c r="D329" i="50"/>
  <c r="H329" i="50"/>
  <c r="L329" i="50"/>
  <c r="P329" i="50"/>
  <c r="T329" i="50"/>
  <c r="D330" i="50"/>
  <c r="H330" i="50"/>
  <c r="L330" i="50"/>
  <c r="P330" i="50"/>
  <c r="T330" i="50"/>
  <c r="D331" i="50"/>
  <c r="H331" i="50"/>
  <c r="L331" i="50"/>
  <c r="P331" i="50"/>
  <c r="T331" i="50"/>
  <c r="D332" i="50"/>
  <c r="H332" i="50"/>
  <c r="L332" i="50"/>
  <c r="P332" i="50"/>
  <c r="T332" i="50"/>
  <c r="D333" i="50"/>
  <c r="H333" i="50"/>
  <c r="L333" i="50"/>
  <c r="P333" i="50"/>
  <c r="T333" i="50"/>
  <c r="D334" i="50"/>
  <c r="H334" i="50"/>
  <c r="L334" i="50"/>
  <c r="P334" i="50"/>
  <c r="T334" i="50"/>
  <c r="D335" i="50"/>
  <c r="H335" i="50"/>
  <c r="L335" i="50"/>
  <c r="P335" i="50"/>
  <c r="T335" i="50"/>
  <c r="D336" i="50"/>
  <c r="H336" i="50"/>
  <c r="L336" i="50"/>
  <c r="P336" i="50"/>
  <c r="T336" i="50"/>
  <c r="D337" i="50"/>
  <c r="H337" i="50"/>
  <c r="L337" i="50"/>
  <c r="P337" i="50"/>
  <c r="T337" i="50"/>
  <c r="D338" i="50"/>
  <c r="H338" i="50"/>
  <c r="L338" i="50"/>
  <c r="P338" i="50"/>
  <c r="T338" i="50"/>
  <c r="D339" i="50"/>
  <c r="H339" i="50"/>
  <c r="L339" i="50"/>
  <c r="P339" i="50"/>
  <c r="T339" i="50"/>
  <c r="D340" i="50"/>
  <c r="H340" i="50"/>
  <c r="L340" i="50"/>
  <c r="P340" i="50"/>
  <c r="T340" i="50"/>
  <c r="D341" i="50"/>
  <c r="H341" i="50"/>
  <c r="L341" i="50"/>
  <c r="P341" i="50"/>
  <c r="T341" i="50"/>
  <c r="D342" i="50"/>
  <c r="H342" i="50"/>
  <c r="L342" i="50"/>
  <c r="D238" i="50"/>
  <c r="T238" i="50"/>
  <c r="P239" i="50"/>
  <c r="L240" i="50"/>
  <c r="H241" i="50"/>
  <c r="D242" i="50"/>
  <c r="T242" i="50"/>
  <c r="P243" i="50"/>
  <c r="L244" i="50"/>
  <c r="H245" i="50"/>
  <c r="D246" i="50"/>
  <c r="L246" i="50"/>
  <c r="T246" i="50"/>
  <c r="H247" i="50"/>
  <c r="P247" i="50"/>
  <c r="D248" i="50"/>
  <c r="L248" i="50"/>
  <c r="R248" i="50"/>
  <c r="C249" i="50"/>
  <c r="H249" i="50"/>
  <c r="N249" i="50"/>
  <c r="S249" i="50"/>
  <c r="D250" i="50"/>
  <c r="J250" i="50"/>
  <c r="O250" i="50"/>
  <c r="T250" i="50"/>
  <c r="F251" i="50"/>
  <c r="K251" i="50"/>
  <c r="P251" i="50"/>
  <c r="B252" i="50"/>
  <c r="G252" i="50"/>
  <c r="L252" i="50"/>
  <c r="R252" i="50"/>
  <c r="C253" i="50"/>
  <c r="H253" i="50"/>
  <c r="N253" i="50"/>
  <c r="S253" i="50"/>
  <c r="D254" i="50"/>
  <c r="J254" i="50"/>
  <c r="O254" i="50"/>
  <c r="T254" i="50"/>
  <c r="F255" i="50"/>
  <c r="K255" i="50"/>
  <c r="P255" i="50"/>
  <c r="B256" i="50"/>
  <c r="G256" i="50"/>
  <c r="L256" i="50"/>
  <c r="R256" i="50"/>
  <c r="C257" i="50"/>
  <c r="H257" i="50"/>
  <c r="N257" i="50"/>
  <c r="S257" i="50"/>
  <c r="D258" i="50"/>
  <c r="J258" i="50"/>
  <c r="O258" i="50"/>
  <c r="T258" i="50"/>
  <c r="F259" i="50"/>
  <c r="K259" i="50"/>
  <c r="P259" i="50"/>
  <c r="B260" i="50"/>
  <c r="G260" i="50"/>
  <c r="L260" i="50"/>
  <c r="R260" i="50"/>
  <c r="C261" i="50"/>
  <c r="H261" i="50"/>
  <c r="N261" i="50"/>
  <c r="S261" i="50"/>
  <c r="D262" i="50"/>
  <c r="J262" i="50"/>
  <c r="O262" i="50"/>
  <c r="T262" i="50"/>
  <c r="F263" i="50"/>
  <c r="K263" i="50"/>
  <c r="P263" i="50"/>
  <c r="B264" i="50"/>
  <c r="G264" i="50"/>
  <c r="L264" i="50"/>
  <c r="R264" i="50"/>
  <c r="C265" i="50"/>
  <c r="H265" i="50"/>
  <c r="N265" i="50"/>
  <c r="S265" i="50"/>
  <c r="D266" i="50"/>
  <c r="J266" i="50"/>
  <c r="O266" i="50"/>
  <c r="T266" i="50"/>
  <c r="F267" i="50"/>
  <c r="K267" i="50"/>
  <c r="P267" i="50"/>
  <c r="B268" i="50"/>
  <c r="G268" i="50"/>
  <c r="L268" i="50"/>
  <c r="R268" i="50"/>
  <c r="C269" i="50"/>
  <c r="H269" i="50"/>
  <c r="N269" i="50"/>
  <c r="S269" i="50"/>
  <c r="D270" i="50"/>
  <c r="J270" i="50"/>
  <c r="O270" i="50"/>
  <c r="T270" i="50"/>
  <c r="F271" i="50"/>
  <c r="K271" i="50"/>
  <c r="P271" i="50"/>
  <c r="B272" i="50"/>
  <c r="G272" i="50"/>
  <c r="L272" i="50"/>
  <c r="Q272" i="50"/>
  <c r="A273" i="50"/>
  <c r="E273" i="50"/>
  <c r="I273" i="50"/>
  <c r="M273" i="50"/>
  <c r="Q273" i="50"/>
  <c r="A274" i="50"/>
  <c r="E274" i="50"/>
  <c r="I274" i="50"/>
  <c r="M274" i="50"/>
  <c r="Q274" i="50"/>
  <c r="A275" i="50"/>
  <c r="E275" i="50"/>
  <c r="I275" i="50"/>
  <c r="M275" i="50"/>
  <c r="Q275" i="50"/>
  <c r="A276" i="50"/>
  <c r="E276" i="50"/>
  <c r="I276" i="50"/>
  <c r="M276" i="50"/>
  <c r="Q276" i="50"/>
  <c r="A277" i="50"/>
  <c r="E277" i="50"/>
  <c r="I277" i="50"/>
  <c r="M277" i="50"/>
  <c r="Q277" i="50"/>
  <c r="A278" i="50"/>
  <c r="E278" i="50"/>
  <c r="I278" i="50"/>
  <c r="M278" i="50"/>
  <c r="Q278" i="50"/>
  <c r="A279" i="50"/>
  <c r="E279" i="50"/>
  <c r="I279" i="50"/>
  <c r="M279" i="50"/>
  <c r="Q279" i="50"/>
  <c r="A280" i="50"/>
  <c r="E280" i="50"/>
  <c r="I280" i="50"/>
  <c r="M280" i="50"/>
  <c r="Q280" i="50"/>
  <c r="A281" i="50"/>
  <c r="E281" i="50"/>
  <c r="I281" i="50"/>
  <c r="M281" i="50"/>
  <c r="Q281" i="50"/>
  <c r="A282" i="50"/>
  <c r="E282" i="50"/>
  <c r="I282" i="50"/>
  <c r="M282" i="50"/>
  <c r="Q282" i="50"/>
  <c r="A283" i="50"/>
  <c r="E283" i="50"/>
  <c r="I283" i="50"/>
  <c r="M283" i="50"/>
  <c r="Q283" i="50"/>
  <c r="A284" i="50"/>
  <c r="E284" i="50"/>
  <c r="I284" i="50"/>
  <c r="M284" i="50"/>
  <c r="Q284" i="50"/>
  <c r="A285" i="50"/>
  <c r="E285" i="50"/>
  <c r="I285" i="50"/>
  <c r="M285" i="50"/>
  <c r="Q285" i="50"/>
  <c r="A286" i="50"/>
  <c r="E286" i="50"/>
  <c r="I286" i="50"/>
  <c r="M286" i="50"/>
  <c r="Q286" i="50"/>
  <c r="A287" i="50"/>
  <c r="E287" i="50"/>
  <c r="I287" i="50"/>
  <c r="M287" i="50"/>
  <c r="Q287" i="50"/>
  <c r="A288" i="50"/>
  <c r="E288" i="50"/>
  <c r="I288" i="50"/>
  <c r="M288" i="50"/>
  <c r="Q288" i="50"/>
  <c r="A289" i="50"/>
  <c r="E289" i="50"/>
  <c r="I289" i="50"/>
  <c r="M289" i="50"/>
  <c r="Q289" i="50"/>
  <c r="A290" i="50"/>
  <c r="E290" i="50"/>
  <c r="I290" i="50"/>
  <c r="M290" i="50"/>
  <c r="Q290" i="50"/>
  <c r="A291" i="50"/>
  <c r="E291" i="50"/>
  <c r="I291" i="50"/>
  <c r="M291" i="50"/>
  <c r="Q291" i="50"/>
  <c r="A292" i="50"/>
  <c r="E292" i="50"/>
  <c r="I292" i="50"/>
  <c r="M292" i="50"/>
  <c r="Q292" i="50"/>
  <c r="A293" i="50"/>
  <c r="E293" i="50"/>
  <c r="I293" i="50"/>
  <c r="M293" i="50"/>
  <c r="Q293" i="50"/>
  <c r="A294" i="50"/>
  <c r="E294" i="50"/>
  <c r="I294" i="50"/>
  <c r="M294" i="50"/>
  <c r="Q294" i="50"/>
  <c r="A295" i="50"/>
  <c r="E295" i="50"/>
  <c r="I295" i="50"/>
  <c r="M295" i="50"/>
  <c r="Q295" i="50"/>
  <c r="A296" i="50"/>
  <c r="E296" i="50"/>
  <c r="I296" i="50"/>
  <c r="M296" i="50"/>
  <c r="Q296" i="50"/>
  <c r="A297" i="50"/>
  <c r="E297" i="50"/>
  <c r="I297" i="50"/>
  <c r="M297" i="50"/>
  <c r="Q297" i="50"/>
  <c r="A298" i="50"/>
  <c r="E298" i="50"/>
  <c r="I298" i="50"/>
  <c r="M298" i="50"/>
  <c r="Q298" i="50"/>
  <c r="A299" i="50"/>
  <c r="E299" i="50"/>
  <c r="I299" i="50"/>
  <c r="M299" i="50"/>
  <c r="Q299" i="50"/>
  <c r="A300" i="50"/>
  <c r="E300" i="50"/>
  <c r="I300" i="50"/>
  <c r="M300" i="50"/>
  <c r="Q300" i="50"/>
  <c r="A301" i="50"/>
  <c r="E301" i="50"/>
  <c r="I301" i="50"/>
  <c r="M301" i="50"/>
  <c r="Q301" i="50"/>
  <c r="A302" i="50"/>
  <c r="E302" i="50"/>
  <c r="I302" i="50"/>
  <c r="M302" i="50"/>
  <c r="Q302" i="50"/>
  <c r="A303" i="50"/>
  <c r="E303" i="50"/>
  <c r="I303" i="50"/>
  <c r="M303" i="50"/>
  <c r="Q303" i="50"/>
  <c r="A304" i="50"/>
  <c r="E304" i="50"/>
  <c r="I304" i="50"/>
  <c r="M304" i="50"/>
  <c r="Q304" i="50"/>
  <c r="A305" i="50"/>
  <c r="E305" i="50"/>
  <c r="I305" i="50"/>
  <c r="M305" i="50"/>
  <c r="Q305" i="50"/>
  <c r="A306" i="50"/>
  <c r="E306" i="50"/>
  <c r="I306" i="50"/>
  <c r="M306" i="50"/>
  <c r="Q306" i="50"/>
  <c r="A307" i="50"/>
  <c r="E307" i="50"/>
  <c r="I307" i="50"/>
  <c r="M307" i="50"/>
  <c r="Q307" i="50"/>
  <c r="A308" i="50"/>
  <c r="E308" i="50"/>
  <c r="I308" i="50"/>
  <c r="M308" i="50"/>
  <c r="Q308" i="50"/>
  <c r="A309" i="50"/>
  <c r="E309" i="50"/>
  <c r="I309" i="50"/>
  <c r="M309" i="50"/>
  <c r="Q309" i="50"/>
  <c r="A310" i="50"/>
  <c r="E310" i="50"/>
  <c r="I310" i="50"/>
  <c r="M310" i="50"/>
  <c r="Q310" i="50"/>
  <c r="A311" i="50"/>
  <c r="E311" i="50"/>
  <c r="I311" i="50"/>
  <c r="M311" i="50"/>
  <c r="Q311" i="50"/>
  <c r="A312" i="50"/>
  <c r="E312" i="50"/>
  <c r="I312" i="50"/>
  <c r="M312" i="50"/>
  <c r="Q312" i="50"/>
  <c r="A313" i="50"/>
  <c r="E313" i="50"/>
  <c r="I313" i="50"/>
  <c r="M313" i="50"/>
  <c r="Q313" i="50"/>
  <c r="H238" i="50"/>
  <c r="D239" i="50"/>
  <c r="T239" i="50"/>
  <c r="P240" i="50"/>
  <c r="L241" i="50"/>
  <c r="H242" i="50"/>
  <c r="D243" i="50"/>
  <c r="T243" i="50"/>
  <c r="P244" i="50"/>
  <c r="L245" i="50"/>
  <c r="G246" i="50"/>
  <c r="O246" i="50"/>
  <c r="C247" i="50"/>
  <c r="K247" i="50"/>
  <c r="S247" i="50"/>
  <c r="G248" i="50"/>
  <c r="N248" i="50"/>
  <c r="S248" i="50"/>
  <c r="D249" i="50"/>
  <c r="J249" i="50"/>
  <c r="O249" i="50"/>
  <c r="T249" i="50"/>
  <c r="F250" i="50"/>
  <c r="K250" i="50"/>
  <c r="P250" i="50"/>
  <c r="B251" i="50"/>
  <c r="G251" i="50"/>
  <c r="L251" i="50"/>
  <c r="R251" i="50"/>
  <c r="C252" i="50"/>
  <c r="H252" i="50"/>
  <c r="N252" i="50"/>
  <c r="S252" i="50"/>
  <c r="D253" i="50"/>
  <c r="J253" i="50"/>
  <c r="O253" i="50"/>
  <c r="T253" i="50"/>
  <c r="F254" i="50"/>
  <c r="K254" i="50"/>
  <c r="P254" i="50"/>
  <c r="B255" i="50"/>
  <c r="G255" i="50"/>
  <c r="L255" i="50"/>
  <c r="R255" i="50"/>
  <c r="C256" i="50"/>
  <c r="H256" i="50"/>
  <c r="N256" i="50"/>
  <c r="S256" i="50"/>
  <c r="D257" i="50"/>
  <c r="J257" i="50"/>
  <c r="O257" i="50"/>
  <c r="T257" i="50"/>
  <c r="F258" i="50"/>
  <c r="K258" i="50"/>
  <c r="P258" i="50"/>
  <c r="B259" i="50"/>
  <c r="G259" i="50"/>
  <c r="L259" i="50"/>
  <c r="R259" i="50"/>
  <c r="C260" i="50"/>
  <c r="H260" i="50"/>
  <c r="N260" i="50"/>
  <c r="S260" i="50"/>
  <c r="D261" i="50"/>
  <c r="J261" i="50"/>
  <c r="O261" i="50"/>
  <c r="T261" i="50"/>
  <c r="F262" i="50"/>
  <c r="K262" i="50"/>
  <c r="P262" i="50"/>
  <c r="B263" i="50"/>
  <c r="G263" i="50"/>
  <c r="L263" i="50"/>
  <c r="R263" i="50"/>
  <c r="C264" i="50"/>
  <c r="H264" i="50"/>
  <c r="N264" i="50"/>
  <c r="S264" i="50"/>
  <c r="D265" i="50"/>
  <c r="J265" i="50"/>
  <c r="O265" i="50"/>
  <c r="T265" i="50"/>
  <c r="F266" i="50"/>
  <c r="K266" i="50"/>
  <c r="P266" i="50"/>
  <c r="B267" i="50"/>
  <c r="G267" i="50"/>
  <c r="L267" i="50"/>
  <c r="R267" i="50"/>
  <c r="C268" i="50"/>
  <c r="H268" i="50"/>
  <c r="N268" i="50"/>
  <c r="S268" i="50"/>
  <c r="D269" i="50"/>
  <c r="J269" i="50"/>
  <c r="O269" i="50"/>
  <c r="T269" i="50"/>
  <c r="F270" i="50"/>
  <c r="K270" i="50"/>
  <c r="P270" i="50"/>
  <c r="B271" i="50"/>
  <c r="G271" i="50"/>
  <c r="L271" i="50"/>
  <c r="R271" i="50"/>
  <c r="C272" i="50"/>
  <c r="H272" i="50"/>
  <c r="N272" i="50"/>
  <c r="R272" i="50"/>
  <c r="B273" i="50"/>
  <c r="F273" i="50"/>
  <c r="J273" i="50"/>
  <c r="N273" i="50"/>
  <c r="R273" i="50"/>
  <c r="B274" i="50"/>
  <c r="F274" i="50"/>
  <c r="J274" i="50"/>
  <c r="N274" i="50"/>
  <c r="R274" i="50"/>
  <c r="B275" i="50"/>
  <c r="F275" i="50"/>
  <c r="J275" i="50"/>
  <c r="N275" i="50"/>
  <c r="R275" i="50"/>
  <c r="B276" i="50"/>
  <c r="F276" i="50"/>
  <c r="J276" i="50"/>
  <c r="N276" i="50"/>
  <c r="R276" i="50"/>
  <c r="B277" i="50"/>
  <c r="F277" i="50"/>
  <c r="J277" i="50"/>
  <c r="N277" i="50"/>
  <c r="R277" i="50"/>
  <c r="B278" i="50"/>
  <c r="F278" i="50"/>
  <c r="J278" i="50"/>
  <c r="N278" i="50"/>
  <c r="R278" i="50"/>
  <c r="B279" i="50"/>
  <c r="F279" i="50"/>
  <c r="J279" i="50"/>
  <c r="N279" i="50"/>
  <c r="R279" i="50"/>
  <c r="B280" i="50"/>
  <c r="F280" i="50"/>
  <c r="J280" i="50"/>
  <c r="N280" i="50"/>
  <c r="R280" i="50"/>
  <c r="B281" i="50"/>
  <c r="F281" i="50"/>
  <c r="J281" i="50"/>
  <c r="N281" i="50"/>
  <c r="R281" i="50"/>
  <c r="B282" i="50"/>
  <c r="F282" i="50"/>
  <c r="J282" i="50"/>
  <c r="N282" i="50"/>
  <c r="R282" i="50"/>
  <c r="B283" i="50"/>
  <c r="F283" i="50"/>
  <c r="J283" i="50"/>
  <c r="N283" i="50"/>
  <c r="R283" i="50"/>
  <c r="B284" i="50"/>
  <c r="F284" i="50"/>
  <c r="J284" i="50"/>
  <c r="N284" i="50"/>
  <c r="R284" i="50"/>
  <c r="B285" i="50"/>
  <c r="F285" i="50"/>
  <c r="J285" i="50"/>
  <c r="N285" i="50"/>
  <c r="R285" i="50"/>
  <c r="B286" i="50"/>
  <c r="F286" i="50"/>
  <c r="J286" i="50"/>
  <c r="N286" i="50"/>
  <c r="R286" i="50"/>
  <c r="B287" i="50"/>
  <c r="F287" i="50"/>
  <c r="J287" i="50"/>
  <c r="N287" i="50"/>
  <c r="R287" i="50"/>
  <c r="B288" i="50"/>
  <c r="F288" i="50"/>
  <c r="J288" i="50"/>
  <c r="N288" i="50"/>
  <c r="R288" i="50"/>
  <c r="B289" i="50"/>
  <c r="F289" i="50"/>
  <c r="J289" i="50"/>
  <c r="N289" i="50"/>
  <c r="R289" i="50"/>
  <c r="B290" i="50"/>
  <c r="F290" i="50"/>
  <c r="J290" i="50"/>
  <c r="N290" i="50"/>
  <c r="R290" i="50"/>
  <c r="B291" i="50"/>
  <c r="F291" i="50"/>
  <c r="J291" i="50"/>
  <c r="N291" i="50"/>
  <c r="R291" i="50"/>
  <c r="B292" i="50"/>
  <c r="F292" i="50"/>
  <c r="J292" i="50"/>
  <c r="N292" i="50"/>
  <c r="R292" i="50"/>
  <c r="B293" i="50"/>
  <c r="F293" i="50"/>
  <c r="J293" i="50"/>
  <c r="N293" i="50"/>
  <c r="R293" i="50"/>
  <c r="B294" i="50"/>
  <c r="F294" i="50"/>
  <c r="J294" i="50"/>
  <c r="N294" i="50"/>
  <c r="R294" i="50"/>
  <c r="B295" i="50"/>
  <c r="F295" i="50"/>
  <c r="J295" i="50"/>
  <c r="N295" i="50"/>
  <c r="R295" i="50"/>
  <c r="B296" i="50"/>
  <c r="F296" i="50"/>
  <c r="J296" i="50"/>
  <c r="N296" i="50"/>
  <c r="R296" i="50"/>
  <c r="B297" i="50"/>
  <c r="F297" i="50"/>
  <c r="J297" i="50"/>
  <c r="N297" i="50"/>
  <c r="R297" i="50"/>
  <c r="B298" i="50"/>
  <c r="F298" i="50"/>
  <c r="J298" i="50"/>
  <c r="N298" i="50"/>
  <c r="R298" i="50"/>
  <c r="B299" i="50"/>
  <c r="F299" i="50"/>
  <c r="J299" i="50"/>
  <c r="N299" i="50"/>
  <c r="R299" i="50"/>
  <c r="B300" i="50"/>
  <c r="F300" i="50"/>
  <c r="J300" i="50"/>
  <c r="N300" i="50"/>
  <c r="R300" i="50"/>
  <c r="B301" i="50"/>
  <c r="F301" i="50"/>
  <c r="J301" i="50"/>
  <c r="N301" i="50"/>
  <c r="R301" i="50"/>
  <c r="B302" i="50"/>
  <c r="F302" i="50"/>
  <c r="J302" i="50"/>
  <c r="N302" i="50"/>
  <c r="R302" i="50"/>
  <c r="B303" i="50"/>
  <c r="F303" i="50"/>
  <c r="J303" i="50"/>
  <c r="N303" i="50"/>
  <c r="R303" i="50"/>
  <c r="B304" i="50"/>
  <c r="F304" i="50"/>
  <c r="J304" i="50"/>
  <c r="N304" i="50"/>
  <c r="R304" i="50"/>
  <c r="B305" i="50"/>
  <c r="F305" i="50"/>
  <c r="J305" i="50"/>
  <c r="N305" i="50"/>
  <c r="R305" i="50"/>
  <c r="B306" i="50"/>
  <c r="F306" i="50"/>
  <c r="J306" i="50"/>
  <c r="N306" i="50"/>
  <c r="R306" i="50"/>
  <c r="B307" i="50"/>
  <c r="F307" i="50"/>
  <c r="J307" i="50"/>
  <c r="N307" i="50"/>
  <c r="R307" i="50"/>
  <c r="B308" i="50"/>
  <c r="F308" i="50"/>
  <c r="J308" i="50"/>
  <c r="N308" i="50"/>
  <c r="R308" i="50"/>
  <c r="B309" i="50"/>
  <c r="F309" i="50"/>
  <c r="J309" i="50"/>
  <c r="N309" i="50"/>
  <c r="R309" i="50"/>
  <c r="B310" i="50"/>
  <c r="F310" i="50"/>
  <c r="J310" i="50"/>
  <c r="N310" i="50"/>
  <c r="R310" i="50"/>
  <c r="B311" i="50"/>
  <c r="F311" i="50"/>
  <c r="J311" i="50"/>
  <c r="N311" i="50"/>
  <c r="R311" i="50"/>
  <c r="B312" i="50"/>
  <c r="F312" i="50"/>
  <c r="J312" i="50"/>
  <c r="N312" i="50"/>
  <c r="R312" i="50"/>
  <c r="B313" i="50"/>
  <c r="F313" i="50"/>
  <c r="J313" i="50"/>
  <c r="N313" i="50"/>
  <c r="R313" i="50"/>
  <c r="B314" i="50"/>
  <c r="F314" i="50"/>
  <c r="J314" i="50"/>
  <c r="N314" i="50"/>
  <c r="R314" i="50"/>
  <c r="B315" i="50"/>
  <c r="F315" i="50"/>
  <c r="J315" i="50"/>
  <c r="N315" i="50"/>
  <c r="R315" i="50"/>
  <c r="B316" i="50"/>
  <c r="F316" i="50"/>
  <c r="J316" i="50"/>
  <c r="N316" i="50"/>
  <c r="R316" i="50"/>
  <c r="B317" i="50"/>
  <c r="F317" i="50"/>
  <c r="J317" i="50"/>
  <c r="N317" i="50"/>
  <c r="R317" i="50"/>
  <c r="B318" i="50"/>
  <c r="F318" i="50"/>
  <c r="J318" i="50"/>
  <c r="N318" i="50"/>
  <c r="R318" i="50"/>
  <c r="B319" i="50"/>
  <c r="F319" i="50"/>
  <c r="J319" i="50"/>
  <c r="L238" i="50"/>
  <c r="H239" i="50"/>
  <c r="D240" i="50"/>
  <c r="T240" i="50"/>
  <c r="P241" i="50"/>
  <c r="L242" i="50"/>
  <c r="H243" i="50"/>
  <c r="D244" i="50"/>
  <c r="T244" i="50"/>
  <c r="P245" i="50"/>
  <c r="H246" i="50"/>
  <c r="P246" i="50"/>
  <c r="D247" i="50"/>
  <c r="L247" i="50"/>
  <c r="T247" i="50"/>
  <c r="H248" i="50"/>
  <c r="O248" i="50"/>
  <c r="T248" i="50"/>
  <c r="F249" i="50"/>
  <c r="K249" i="50"/>
  <c r="P249" i="50"/>
  <c r="B250" i="50"/>
  <c r="G250" i="50"/>
  <c r="L250" i="50"/>
  <c r="R250" i="50"/>
  <c r="C251" i="50"/>
  <c r="H251" i="50"/>
  <c r="N251" i="50"/>
  <c r="S251" i="50"/>
  <c r="D252" i="50"/>
  <c r="J252" i="50"/>
  <c r="O252" i="50"/>
  <c r="T252" i="50"/>
  <c r="F253" i="50"/>
  <c r="K253" i="50"/>
  <c r="P253" i="50"/>
  <c r="B254" i="50"/>
  <c r="G254" i="50"/>
  <c r="L254" i="50"/>
  <c r="R254" i="50"/>
  <c r="C255" i="50"/>
  <c r="H255" i="50"/>
  <c r="N255" i="50"/>
  <c r="S255" i="50"/>
  <c r="D256" i="50"/>
  <c r="J256" i="50"/>
  <c r="O256" i="50"/>
  <c r="T256" i="50"/>
  <c r="F257" i="50"/>
  <c r="K257" i="50"/>
  <c r="P257" i="50"/>
  <c r="B258" i="50"/>
  <c r="G258" i="50"/>
  <c r="L258" i="50"/>
  <c r="R258" i="50"/>
  <c r="C259" i="50"/>
  <c r="H259" i="50"/>
  <c r="N259" i="50"/>
  <c r="S259" i="50"/>
  <c r="D260" i="50"/>
  <c r="J260" i="50"/>
  <c r="O260" i="50"/>
  <c r="T260" i="50"/>
  <c r="F261" i="50"/>
  <c r="K261" i="50"/>
  <c r="P261" i="50"/>
  <c r="B262" i="50"/>
  <c r="G262" i="50"/>
  <c r="L262" i="50"/>
  <c r="R262" i="50"/>
  <c r="C263" i="50"/>
  <c r="H263" i="50"/>
  <c r="N263" i="50"/>
  <c r="S263" i="50"/>
  <c r="D264" i="50"/>
  <c r="J264" i="50"/>
  <c r="O264" i="50"/>
  <c r="T264" i="50"/>
  <c r="F265" i="50"/>
  <c r="K265" i="50"/>
  <c r="P265" i="50"/>
  <c r="B266" i="50"/>
  <c r="G266" i="50"/>
  <c r="L266" i="50"/>
  <c r="R266" i="50"/>
  <c r="C267" i="50"/>
  <c r="H267" i="50"/>
  <c r="N267" i="50"/>
  <c r="S267" i="50"/>
  <c r="D268" i="50"/>
  <c r="J268" i="50"/>
  <c r="O268" i="50"/>
  <c r="T268" i="50"/>
  <c r="F269" i="50"/>
  <c r="K269" i="50"/>
  <c r="P269" i="50"/>
  <c r="B270" i="50"/>
  <c r="G270" i="50"/>
  <c r="L270" i="50"/>
  <c r="R270" i="50"/>
  <c r="C271" i="50"/>
  <c r="H271" i="50"/>
  <c r="N271" i="50"/>
  <c r="S271" i="50"/>
  <c r="D272" i="50"/>
  <c r="J272" i="50"/>
  <c r="O272" i="50"/>
  <c r="S272" i="50"/>
  <c r="C273" i="50"/>
  <c r="G273" i="50"/>
  <c r="K273" i="50"/>
  <c r="O273" i="50"/>
  <c r="S273" i="50"/>
  <c r="C274" i="50"/>
  <c r="G274" i="50"/>
  <c r="K274" i="50"/>
  <c r="O274" i="50"/>
  <c r="S274" i="50"/>
  <c r="C275" i="50"/>
  <c r="G275" i="50"/>
  <c r="K275" i="50"/>
  <c r="O275" i="50"/>
  <c r="S275" i="50"/>
  <c r="C276" i="50"/>
  <c r="G276" i="50"/>
  <c r="K276" i="50"/>
  <c r="O276" i="50"/>
  <c r="S276" i="50"/>
  <c r="C277" i="50"/>
  <c r="G277" i="50"/>
  <c r="K277" i="50"/>
  <c r="O277" i="50"/>
  <c r="S277" i="50"/>
  <c r="C278" i="50"/>
  <c r="G278" i="50"/>
  <c r="K278" i="50"/>
  <c r="O278" i="50"/>
  <c r="S278" i="50"/>
  <c r="C279" i="50"/>
  <c r="G279" i="50"/>
  <c r="K279" i="50"/>
  <c r="O279" i="50"/>
  <c r="S279" i="50"/>
  <c r="C280" i="50"/>
  <c r="G280" i="50"/>
  <c r="K280" i="50"/>
  <c r="O280" i="50"/>
  <c r="S280" i="50"/>
  <c r="C281" i="50"/>
  <c r="G281" i="50"/>
  <c r="K281" i="50"/>
  <c r="O281" i="50"/>
  <c r="S281" i="50"/>
  <c r="C282" i="50"/>
  <c r="G282" i="50"/>
  <c r="K282" i="50"/>
  <c r="O282" i="50"/>
  <c r="S282" i="50"/>
  <c r="C283" i="50"/>
  <c r="G283" i="50"/>
  <c r="K283" i="50"/>
  <c r="O283" i="50"/>
  <c r="S283" i="50"/>
  <c r="C284" i="50"/>
  <c r="G284" i="50"/>
  <c r="K284" i="50"/>
  <c r="O284" i="50"/>
  <c r="S284" i="50"/>
  <c r="C285" i="50"/>
  <c r="G285" i="50"/>
  <c r="K285" i="50"/>
  <c r="O285" i="50"/>
  <c r="S285" i="50"/>
  <c r="C286" i="50"/>
  <c r="G286" i="50"/>
  <c r="K286" i="50"/>
  <c r="O286" i="50"/>
  <c r="S286" i="50"/>
  <c r="C287" i="50"/>
  <c r="G287" i="50"/>
  <c r="K287" i="50"/>
  <c r="O287" i="50"/>
  <c r="S287" i="50"/>
  <c r="C288" i="50"/>
  <c r="G288" i="50"/>
  <c r="K288" i="50"/>
  <c r="O288" i="50"/>
  <c r="S288" i="50"/>
  <c r="C289" i="50"/>
  <c r="G289" i="50"/>
  <c r="K289" i="50"/>
  <c r="O289" i="50"/>
  <c r="S289" i="50"/>
  <c r="C290" i="50"/>
  <c r="G290" i="50"/>
  <c r="K290" i="50"/>
  <c r="O290" i="50"/>
  <c r="S290" i="50"/>
  <c r="C291" i="50"/>
  <c r="G291" i="50"/>
  <c r="K291" i="50"/>
  <c r="O291" i="50"/>
  <c r="S291" i="50"/>
  <c r="C292" i="50"/>
  <c r="G292" i="50"/>
  <c r="K292" i="50"/>
  <c r="O292" i="50"/>
  <c r="S292" i="50"/>
  <c r="C293" i="50"/>
  <c r="G293" i="50"/>
  <c r="K293" i="50"/>
  <c r="O293" i="50"/>
  <c r="S293" i="50"/>
  <c r="C294" i="50"/>
  <c r="G294" i="50"/>
  <c r="K294" i="50"/>
  <c r="O294" i="50"/>
  <c r="S294" i="50"/>
  <c r="C295" i="50"/>
  <c r="G295" i="50"/>
  <c r="K295" i="50"/>
  <c r="O295" i="50"/>
  <c r="S295" i="50"/>
  <c r="C296" i="50"/>
  <c r="G296" i="50"/>
  <c r="K296" i="50"/>
  <c r="O296" i="50"/>
  <c r="S296" i="50"/>
  <c r="C297" i="50"/>
  <c r="G297" i="50"/>
  <c r="K297" i="50"/>
  <c r="O297" i="50"/>
  <c r="S297" i="50"/>
  <c r="C298" i="50"/>
  <c r="G298" i="50"/>
  <c r="K298" i="50"/>
  <c r="O298" i="50"/>
  <c r="S298" i="50"/>
  <c r="C299" i="50"/>
  <c r="G299" i="50"/>
  <c r="K299" i="50"/>
  <c r="O299" i="50"/>
  <c r="S299" i="50"/>
  <c r="C300" i="50"/>
  <c r="G300" i="50"/>
  <c r="K300" i="50"/>
  <c r="O300" i="50"/>
  <c r="S300" i="50"/>
  <c r="C301" i="50"/>
  <c r="G301" i="50"/>
  <c r="K301" i="50"/>
  <c r="O301" i="50"/>
  <c r="S301" i="50"/>
  <c r="C302" i="50"/>
  <c r="G302" i="50"/>
  <c r="K302" i="50"/>
  <c r="G303" i="50"/>
  <c r="C304" i="50"/>
  <c r="S304" i="50"/>
  <c r="O305" i="50"/>
  <c r="K306" i="50"/>
  <c r="G307" i="50"/>
  <c r="C308" i="50"/>
  <c r="S308" i="50"/>
  <c r="O309" i="50"/>
  <c r="K310" i="50"/>
  <c r="G311" i="50"/>
  <c r="C312" i="50"/>
  <c r="S312" i="50"/>
  <c r="O313" i="50"/>
  <c r="E314" i="50"/>
  <c r="M314" i="50"/>
  <c r="A315" i="50"/>
  <c r="I315" i="50"/>
  <c r="Q315" i="50"/>
  <c r="E316" i="50"/>
  <c r="M316" i="50"/>
  <c r="A317" i="50"/>
  <c r="I317" i="50"/>
  <c r="Q317" i="50"/>
  <c r="E318" i="50"/>
  <c r="M318" i="50"/>
  <c r="A319" i="50"/>
  <c r="I319" i="50"/>
  <c r="O319" i="50"/>
  <c r="A320" i="50"/>
  <c r="F320" i="50"/>
  <c r="K320" i="50"/>
  <c r="Q320" i="50"/>
  <c r="B321" i="50"/>
  <c r="G321" i="50"/>
  <c r="M321" i="50"/>
  <c r="R321" i="50"/>
  <c r="C322" i="50"/>
  <c r="I322" i="50"/>
  <c r="N322" i="50"/>
  <c r="S322" i="50"/>
  <c r="E323" i="50"/>
  <c r="J323" i="50"/>
  <c r="O323" i="50"/>
  <c r="A324" i="50"/>
  <c r="F324" i="50"/>
  <c r="K324" i="50"/>
  <c r="Q324" i="50"/>
  <c r="B325" i="50"/>
  <c r="G325" i="50"/>
  <c r="M325" i="50"/>
  <c r="R325" i="50"/>
  <c r="C326" i="50"/>
  <c r="I326" i="50"/>
  <c r="N326" i="50"/>
  <c r="S326" i="50"/>
  <c r="E327" i="50"/>
  <c r="J327" i="50"/>
  <c r="O327" i="50"/>
  <c r="A328" i="50"/>
  <c r="F328" i="50"/>
  <c r="K328" i="50"/>
  <c r="Q328" i="50"/>
  <c r="B329" i="50"/>
  <c r="G329" i="50"/>
  <c r="M329" i="50"/>
  <c r="R329" i="50"/>
  <c r="C330" i="50"/>
  <c r="I330" i="50"/>
  <c r="N330" i="50"/>
  <c r="S330" i="50"/>
  <c r="E331" i="50"/>
  <c r="J331" i="50"/>
  <c r="O331" i="50"/>
  <c r="A332" i="50"/>
  <c r="F332" i="50"/>
  <c r="K332" i="50"/>
  <c r="Q332" i="50"/>
  <c r="B333" i="50"/>
  <c r="G333" i="50"/>
  <c r="M333" i="50"/>
  <c r="R333" i="50"/>
  <c r="C334" i="50"/>
  <c r="I334" i="50"/>
  <c r="N334" i="50"/>
  <c r="S334" i="50"/>
  <c r="E335" i="50"/>
  <c r="J335" i="50"/>
  <c r="O335" i="50"/>
  <c r="A336" i="50"/>
  <c r="F336" i="50"/>
  <c r="K336" i="50"/>
  <c r="Q336" i="50"/>
  <c r="B337" i="50"/>
  <c r="G337" i="50"/>
  <c r="M337" i="50"/>
  <c r="R337" i="50"/>
  <c r="C338" i="50"/>
  <c r="I338" i="50"/>
  <c r="N338" i="50"/>
  <c r="S338" i="50"/>
  <c r="E339" i="50"/>
  <c r="J339" i="50"/>
  <c r="O339" i="50"/>
  <c r="A340" i="50"/>
  <c r="F340" i="50"/>
  <c r="K340" i="50"/>
  <c r="Q340" i="50"/>
  <c r="B341" i="50"/>
  <c r="G341" i="50"/>
  <c r="M341" i="50"/>
  <c r="R341" i="50"/>
  <c r="C342" i="50"/>
  <c r="I342" i="50"/>
  <c r="N342" i="50"/>
  <c r="R342" i="50"/>
  <c r="B343" i="50"/>
  <c r="F343" i="50"/>
  <c r="J343" i="50"/>
  <c r="N343" i="50"/>
  <c r="R343" i="50"/>
  <c r="B344" i="50"/>
  <c r="F344" i="50"/>
  <c r="J344" i="50"/>
  <c r="N344" i="50"/>
  <c r="R344" i="50"/>
  <c r="B345" i="50"/>
  <c r="F345" i="50"/>
  <c r="J345" i="50"/>
  <c r="N345" i="50"/>
  <c r="R345" i="50"/>
  <c r="B346" i="50"/>
  <c r="F346" i="50"/>
  <c r="J346" i="50"/>
  <c r="N346" i="50"/>
  <c r="R346" i="50"/>
  <c r="B347" i="50"/>
  <c r="F347" i="50"/>
  <c r="J347" i="50"/>
  <c r="N347" i="50"/>
  <c r="R347" i="50"/>
  <c r="B348" i="50"/>
  <c r="F348" i="50"/>
  <c r="J348" i="50"/>
  <c r="N348" i="50"/>
  <c r="R348" i="50"/>
  <c r="B349" i="50"/>
  <c r="F349" i="50"/>
  <c r="J349" i="50"/>
  <c r="N349" i="50"/>
  <c r="R349" i="50"/>
  <c r="B350" i="50"/>
  <c r="F350" i="50"/>
  <c r="J350" i="50"/>
  <c r="N350" i="50"/>
  <c r="R350" i="50"/>
  <c r="B351" i="50"/>
  <c r="F351" i="50"/>
  <c r="J351" i="50"/>
  <c r="N351" i="50"/>
  <c r="R351" i="50"/>
  <c r="B352" i="50"/>
  <c r="F352" i="50"/>
  <c r="J352" i="50"/>
  <c r="N352" i="50"/>
  <c r="R352" i="50"/>
  <c r="B353" i="50"/>
  <c r="F353" i="50"/>
  <c r="J353" i="50"/>
  <c r="N353" i="50"/>
  <c r="R353" i="50"/>
  <c r="B354" i="50"/>
  <c r="F354" i="50"/>
  <c r="J354" i="50"/>
  <c r="N354" i="50"/>
  <c r="R354" i="50"/>
  <c r="B355" i="50"/>
  <c r="F355" i="50"/>
  <c r="J355" i="50"/>
  <c r="N355" i="50"/>
  <c r="R355" i="50"/>
  <c r="B356" i="50"/>
  <c r="F356" i="50"/>
  <c r="J356" i="50"/>
  <c r="N356" i="50"/>
  <c r="R356" i="50"/>
  <c r="B357" i="50"/>
  <c r="F357" i="50"/>
  <c r="J357" i="50"/>
  <c r="N357" i="50"/>
  <c r="R357" i="50"/>
  <c r="B358" i="50"/>
  <c r="F358" i="50"/>
  <c r="J358" i="50"/>
  <c r="N358" i="50"/>
  <c r="R358" i="50"/>
  <c r="B359" i="50"/>
  <c r="F359" i="50"/>
  <c r="J359" i="50"/>
  <c r="N359" i="50"/>
  <c r="R359" i="50"/>
  <c r="B360" i="50"/>
  <c r="F360" i="50"/>
  <c r="J360" i="50"/>
  <c r="N360" i="50"/>
  <c r="R360" i="50"/>
  <c r="B361" i="50"/>
  <c r="F361" i="50"/>
  <c r="J361" i="50"/>
  <c r="N361" i="50"/>
  <c r="R361" i="50"/>
  <c r="B362" i="50"/>
  <c r="F362" i="50"/>
  <c r="J362" i="50"/>
  <c r="N362" i="50"/>
  <c r="R362" i="50"/>
  <c r="B363" i="50"/>
  <c r="F363" i="50"/>
  <c r="J363" i="50"/>
  <c r="N363" i="50"/>
  <c r="R363" i="50"/>
  <c r="B364" i="50"/>
  <c r="F364" i="50"/>
  <c r="J364" i="50"/>
  <c r="N364" i="50"/>
  <c r="R364" i="50"/>
  <c r="B365" i="50"/>
  <c r="F365" i="50"/>
  <c r="J365" i="50"/>
  <c r="N365" i="50"/>
  <c r="R365" i="50"/>
  <c r="B366" i="50"/>
  <c r="F366" i="50"/>
  <c r="J366" i="50"/>
  <c r="N366" i="50"/>
  <c r="R366" i="50"/>
  <c r="B367" i="50"/>
  <c r="F367" i="50"/>
  <c r="J367" i="50"/>
  <c r="N367" i="50"/>
  <c r="R367" i="50"/>
  <c r="B368" i="50"/>
  <c r="F368" i="50"/>
  <c r="J368" i="50"/>
  <c r="N368" i="50"/>
  <c r="R368" i="50"/>
  <c r="B369" i="50"/>
  <c r="F369" i="50"/>
  <c r="J369" i="50"/>
  <c r="N369" i="50"/>
  <c r="R369" i="50"/>
  <c r="B370" i="50"/>
  <c r="F370" i="50"/>
  <c r="J370" i="50"/>
  <c r="N370" i="50"/>
  <c r="R370" i="50"/>
  <c r="B371" i="50"/>
  <c r="F371" i="50"/>
  <c r="J371" i="50"/>
  <c r="N371" i="50"/>
  <c r="R371" i="50"/>
  <c r="B372" i="50"/>
  <c r="F372" i="50"/>
  <c r="J372" i="50"/>
  <c r="N372" i="50"/>
  <c r="R372" i="50"/>
  <c r="B373" i="50"/>
  <c r="F373" i="50"/>
  <c r="J373" i="50"/>
  <c r="N373" i="50"/>
  <c r="R373" i="50"/>
  <c r="B374" i="50"/>
  <c r="F374" i="50"/>
  <c r="J374" i="50"/>
  <c r="N374" i="50"/>
  <c r="R374" i="50"/>
  <c r="B375" i="50"/>
  <c r="F375" i="50"/>
  <c r="J375" i="50"/>
  <c r="N375" i="50"/>
  <c r="R375" i="50"/>
  <c r="B376" i="50"/>
  <c r="F376" i="50"/>
  <c r="J376" i="50"/>
  <c r="N376" i="50"/>
  <c r="R376" i="50"/>
  <c r="B377" i="50"/>
  <c r="F377" i="50"/>
  <c r="J377" i="50"/>
  <c r="N377" i="50"/>
  <c r="R377" i="50"/>
  <c r="B378" i="50"/>
  <c r="F378" i="50"/>
  <c r="J378" i="50"/>
  <c r="N378" i="50"/>
  <c r="R378" i="50"/>
  <c r="B379" i="50"/>
  <c r="F379" i="50"/>
  <c r="J379" i="50"/>
  <c r="N379" i="50"/>
  <c r="R379" i="50"/>
  <c r="B380" i="50"/>
  <c r="F380" i="50"/>
  <c r="J380" i="50"/>
  <c r="N380" i="50"/>
  <c r="R380" i="50"/>
  <c r="B381" i="50"/>
  <c r="F381" i="50"/>
  <c r="J381" i="50"/>
  <c r="N381" i="50"/>
  <c r="R381" i="50"/>
  <c r="B382" i="50"/>
  <c r="F382" i="50"/>
  <c r="J382" i="50"/>
  <c r="N382" i="50"/>
  <c r="R382" i="50"/>
  <c r="B383" i="50"/>
  <c r="F383" i="50"/>
  <c r="J383" i="50"/>
  <c r="N383" i="50"/>
  <c r="R383" i="50"/>
  <c r="B384" i="50"/>
  <c r="F384" i="50"/>
  <c r="J384" i="50"/>
  <c r="N384" i="50"/>
  <c r="R384" i="50"/>
  <c r="B385" i="50"/>
  <c r="F385" i="50"/>
  <c r="J385" i="50"/>
  <c r="N385" i="50"/>
  <c r="R385" i="50"/>
  <c r="B386" i="50"/>
  <c r="F386" i="50"/>
  <c r="J386" i="50"/>
  <c r="N386" i="50"/>
  <c r="R386" i="50"/>
  <c r="B387" i="50"/>
  <c r="F387" i="50"/>
  <c r="J387" i="50"/>
  <c r="N387" i="50"/>
  <c r="R387" i="50"/>
  <c r="B388" i="50"/>
  <c r="F388" i="50"/>
  <c r="J388" i="50"/>
  <c r="N388" i="50"/>
  <c r="R388" i="50"/>
  <c r="B389" i="50"/>
  <c r="F389" i="50"/>
  <c r="J389" i="50"/>
  <c r="N389" i="50"/>
  <c r="R389" i="50"/>
  <c r="B390" i="50"/>
  <c r="F390" i="50"/>
  <c r="J390" i="50"/>
  <c r="N390" i="50"/>
  <c r="R390" i="50"/>
  <c r="B391" i="50"/>
  <c r="F391" i="50"/>
  <c r="J391" i="50"/>
  <c r="N391" i="50"/>
  <c r="R391" i="50"/>
  <c r="B392" i="50"/>
  <c r="F392" i="50"/>
  <c r="J392" i="50"/>
  <c r="N392" i="50"/>
  <c r="R392" i="50"/>
  <c r="B393" i="50"/>
  <c r="F393" i="50"/>
  <c r="J393" i="50"/>
  <c r="N393" i="50"/>
  <c r="R393" i="50"/>
  <c r="B394" i="50"/>
  <c r="F394" i="50"/>
  <c r="J394" i="50"/>
  <c r="N394" i="50"/>
  <c r="R394" i="50"/>
  <c r="B395" i="50"/>
  <c r="F395" i="50"/>
  <c r="J395" i="50"/>
  <c r="N395" i="50"/>
  <c r="R395" i="50"/>
  <c r="B396" i="50"/>
  <c r="F396" i="50"/>
  <c r="J396" i="50"/>
  <c r="N396" i="50"/>
  <c r="R396" i="50"/>
  <c r="B397" i="50"/>
  <c r="F397" i="50"/>
  <c r="J397" i="50"/>
  <c r="N397" i="50"/>
  <c r="R397" i="50"/>
  <c r="B398" i="50"/>
  <c r="F398" i="50"/>
  <c r="J398" i="50"/>
  <c r="N398" i="50"/>
  <c r="R398" i="50"/>
  <c r="B399" i="50"/>
  <c r="F399" i="50"/>
  <c r="J399" i="50"/>
  <c r="N399" i="50"/>
  <c r="R399" i="50"/>
  <c r="B400" i="50"/>
  <c r="F400" i="50"/>
  <c r="J400" i="50"/>
  <c r="N400" i="50"/>
  <c r="R400" i="50"/>
  <c r="B401" i="50"/>
  <c r="F401" i="50"/>
  <c r="J401" i="50"/>
  <c r="N401" i="50"/>
  <c r="R401" i="50"/>
  <c r="B402" i="50"/>
  <c r="F402" i="50"/>
  <c r="J402" i="50"/>
  <c r="N402" i="50"/>
  <c r="R402" i="50"/>
  <c r="B403" i="50"/>
  <c r="F403" i="50"/>
  <c r="J403" i="50"/>
  <c r="N403" i="50"/>
  <c r="R403" i="50"/>
  <c r="B404" i="50"/>
  <c r="F404" i="50"/>
  <c r="J404" i="50"/>
  <c r="N404" i="50"/>
  <c r="R404" i="50"/>
  <c r="B405" i="50"/>
  <c r="F405" i="50"/>
  <c r="J405" i="50"/>
  <c r="N405" i="50"/>
  <c r="R405" i="50"/>
  <c r="B406" i="50"/>
  <c r="F406" i="50"/>
  <c r="J406" i="50"/>
  <c r="N406" i="50"/>
  <c r="R406" i="50"/>
  <c r="B407" i="50"/>
  <c r="F407" i="50"/>
  <c r="J407" i="50"/>
  <c r="N407" i="50"/>
  <c r="R407" i="50"/>
  <c r="B408" i="50"/>
  <c r="F408" i="50"/>
  <c r="J408" i="50"/>
  <c r="N408" i="50"/>
  <c r="R408" i="50"/>
  <c r="B409" i="50"/>
  <c r="F409" i="50"/>
  <c r="J409" i="50"/>
  <c r="N409" i="50"/>
  <c r="R409" i="50"/>
  <c r="B410" i="50"/>
  <c r="F410" i="50"/>
  <c r="J410" i="50"/>
  <c r="N410" i="50"/>
  <c r="R410" i="50"/>
  <c r="B411" i="50"/>
  <c r="F411" i="50"/>
  <c r="J411" i="50"/>
  <c r="N411" i="50"/>
  <c r="R411" i="50"/>
  <c r="B412" i="50"/>
  <c r="F412" i="50"/>
  <c r="J412" i="50"/>
  <c r="N412" i="50"/>
  <c r="R412" i="50"/>
  <c r="B413" i="50"/>
  <c r="F413" i="50"/>
  <c r="J413" i="50"/>
  <c r="N413" i="50"/>
  <c r="R413" i="50"/>
  <c r="B414" i="50"/>
  <c r="F414" i="50"/>
  <c r="J414" i="50"/>
  <c r="N414" i="50"/>
  <c r="R414" i="50"/>
  <c r="B415" i="50"/>
  <c r="F415" i="50"/>
  <c r="J415" i="50"/>
  <c r="N415" i="50"/>
  <c r="R415" i="50"/>
  <c r="B416" i="50"/>
  <c r="F416" i="50"/>
  <c r="J416" i="50"/>
  <c r="N416" i="50"/>
  <c r="R416" i="50"/>
  <c r="B417" i="50"/>
  <c r="F417" i="50"/>
  <c r="J417" i="50"/>
  <c r="N417" i="50"/>
  <c r="R417" i="50"/>
  <c r="B418" i="50"/>
  <c r="F418" i="50"/>
  <c r="J418" i="50"/>
  <c r="N418" i="50"/>
  <c r="R418" i="50"/>
  <c r="B419" i="50"/>
  <c r="F419" i="50"/>
  <c r="J419" i="50"/>
  <c r="N419" i="50"/>
  <c r="R419" i="50"/>
  <c r="B420" i="50"/>
  <c r="F420" i="50"/>
  <c r="J420" i="50"/>
  <c r="N420" i="50"/>
  <c r="R420" i="50"/>
  <c r="B421" i="50"/>
  <c r="F421" i="50"/>
  <c r="J421" i="50"/>
  <c r="N421" i="50"/>
  <c r="R421" i="50"/>
  <c r="B422" i="50"/>
  <c r="F422" i="50"/>
  <c r="J422" i="50"/>
  <c r="N422" i="50"/>
  <c r="R422" i="50"/>
  <c r="B423" i="50"/>
  <c r="F423" i="50"/>
  <c r="J423" i="50"/>
  <c r="N423" i="50"/>
  <c r="R423" i="50"/>
  <c r="B424" i="50"/>
  <c r="F424" i="50"/>
  <c r="J424" i="50"/>
  <c r="N424" i="50"/>
  <c r="R424" i="50"/>
  <c r="B425" i="50"/>
  <c r="O302" i="50"/>
  <c r="K303" i="50"/>
  <c r="G304" i="50"/>
  <c r="C305" i="50"/>
  <c r="S305" i="50"/>
  <c r="O306" i="50"/>
  <c r="K307" i="50"/>
  <c r="G308" i="50"/>
  <c r="C309" i="50"/>
  <c r="S309" i="50"/>
  <c r="O310" i="50"/>
  <c r="K311" i="50"/>
  <c r="G312" i="50"/>
  <c r="C313" i="50"/>
  <c r="S313" i="50"/>
  <c r="G314" i="50"/>
  <c r="O314" i="50"/>
  <c r="C315" i="50"/>
  <c r="K315" i="50"/>
  <c r="S315" i="50"/>
  <c r="G316" i="50"/>
  <c r="O316" i="50"/>
  <c r="C317" i="50"/>
  <c r="K317" i="50"/>
  <c r="S317" i="50"/>
  <c r="G318" i="50"/>
  <c r="O318" i="50"/>
  <c r="C319" i="50"/>
  <c r="K319" i="50"/>
  <c r="Q319" i="50"/>
  <c r="B320" i="50"/>
  <c r="G320" i="50"/>
  <c r="M320" i="50"/>
  <c r="R320" i="50"/>
  <c r="C321" i="50"/>
  <c r="I321" i="50"/>
  <c r="N321" i="50"/>
  <c r="S321" i="50"/>
  <c r="E322" i="50"/>
  <c r="J322" i="50"/>
  <c r="O322" i="50"/>
  <c r="A323" i="50"/>
  <c r="F323" i="50"/>
  <c r="K323" i="50"/>
  <c r="Q323" i="50"/>
  <c r="B324" i="50"/>
  <c r="G324" i="50"/>
  <c r="M324" i="50"/>
  <c r="R324" i="50"/>
  <c r="C325" i="50"/>
  <c r="I325" i="50"/>
  <c r="N325" i="50"/>
  <c r="S325" i="50"/>
  <c r="E326" i="50"/>
  <c r="J326" i="50"/>
  <c r="O326" i="50"/>
  <c r="A327" i="50"/>
  <c r="F327" i="50"/>
  <c r="K327" i="50"/>
  <c r="Q327" i="50"/>
  <c r="B328" i="50"/>
  <c r="G328" i="50"/>
  <c r="M328" i="50"/>
  <c r="R328" i="50"/>
  <c r="C329" i="50"/>
  <c r="I329" i="50"/>
  <c r="N329" i="50"/>
  <c r="S329" i="50"/>
  <c r="E330" i="50"/>
  <c r="J330" i="50"/>
  <c r="O330" i="50"/>
  <c r="A331" i="50"/>
  <c r="F331" i="50"/>
  <c r="K331" i="50"/>
  <c r="Q331" i="50"/>
  <c r="B332" i="50"/>
  <c r="G332" i="50"/>
  <c r="M332" i="50"/>
  <c r="R332" i="50"/>
  <c r="C333" i="50"/>
  <c r="I333" i="50"/>
  <c r="N333" i="50"/>
  <c r="S333" i="50"/>
  <c r="E334" i="50"/>
  <c r="J334" i="50"/>
  <c r="O334" i="50"/>
  <c r="A335" i="50"/>
  <c r="F335" i="50"/>
  <c r="K335" i="50"/>
  <c r="Q335" i="50"/>
  <c r="B336" i="50"/>
  <c r="G336" i="50"/>
  <c r="M336" i="50"/>
  <c r="R336" i="50"/>
  <c r="C337" i="50"/>
  <c r="I337" i="50"/>
  <c r="N337" i="50"/>
  <c r="S337" i="50"/>
  <c r="E338" i="50"/>
  <c r="J338" i="50"/>
  <c r="O338" i="50"/>
  <c r="A339" i="50"/>
  <c r="F339" i="50"/>
  <c r="K339" i="50"/>
  <c r="Q339" i="50"/>
  <c r="B340" i="50"/>
  <c r="G340" i="50"/>
  <c r="M340" i="50"/>
  <c r="R340" i="50"/>
  <c r="C341" i="50"/>
  <c r="I341" i="50"/>
  <c r="N341" i="50"/>
  <c r="S341" i="50"/>
  <c r="E342" i="50"/>
  <c r="J342" i="50"/>
  <c r="O342" i="50"/>
  <c r="S342" i="50"/>
  <c r="C343" i="50"/>
  <c r="G343" i="50"/>
  <c r="K343" i="50"/>
  <c r="O343" i="50"/>
  <c r="S343" i="50"/>
  <c r="C344" i="50"/>
  <c r="G344" i="50"/>
  <c r="K344" i="50"/>
  <c r="O344" i="50"/>
  <c r="S344" i="50"/>
  <c r="C345" i="50"/>
  <c r="G345" i="50"/>
  <c r="K345" i="50"/>
  <c r="O345" i="50"/>
  <c r="S345" i="50"/>
  <c r="C346" i="50"/>
  <c r="G346" i="50"/>
  <c r="K346" i="50"/>
  <c r="O346" i="50"/>
  <c r="S346" i="50"/>
  <c r="C347" i="50"/>
  <c r="G347" i="50"/>
  <c r="K347" i="50"/>
  <c r="O347" i="50"/>
  <c r="S347" i="50"/>
  <c r="C348" i="50"/>
  <c r="G348" i="50"/>
  <c r="K348" i="50"/>
  <c r="O348" i="50"/>
  <c r="S348" i="50"/>
  <c r="C349" i="50"/>
  <c r="G349" i="50"/>
  <c r="K349" i="50"/>
  <c r="O349" i="50"/>
  <c r="S349" i="50"/>
  <c r="C350" i="50"/>
  <c r="G350" i="50"/>
  <c r="K350" i="50"/>
  <c r="O350" i="50"/>
  <c r="S350" i="50"/>
  <c r="C351" i="50"/>
  <c r="G351" i="50"/>
  <c r="K351" i="50"/>
  <c r="O351" i="50"/>
  <c r="S351" i="50"/>
  <c r="C352" i="50"/>
  <c r="G352" i="50"/>
  <c r="K352" i="50"/>
  <c r="O352" i="50"/>
  <c r="S352" i="50"/>
  <c r="C353" i="50"/>
  <c r="G353" i="50"/>
  <c r="K353" i="50"/>
  <c r="O353" i="50"/>
  <c r="S353" i="50"/>
  <c r="C354" i="50"/>
  <c r="G354" i="50"/>
  <c r="K354" i="50"/>
  <c r="O354" i="50"/>
  <c r="S354" i="50"/>
  <c r="C355" i="50"/>
  <c r="G355" i="50"/>
  <c r="K355" i="50"/>
  <c r="O355" i="50"/>
  <c r="S355" i="50"/>
  <c r="C356" i="50"/>
  <c r="G356" i="50"/>
  <c r="K356" i="50"/>
  <c r="O356" i="50"/>
  <c r="S356" i="50"/>
  <c r="C357" i="50"/>
  <c r="G357" i="50"/>
  <c r="K357" i="50"/>
  <c r="O357" i="50"/>
  <c r="S357" i="50"/>
  <c r="C358" i="50"/>
  <c r="G358" i="50"/>
  <c r="K358" i="50"/>
  <c r="O358" i="50"/>
  <c r="S358" i="50"/>
  <c r="C359" i="50"/>
  <c r="G359" i="50"/>
  <c r="K359" i="50"/>
  <c r="O359" i="50"/>
  <c r="S359" i="50"/>
  <c r="C360" i="50"/>
  <c r="G360" i="50"/>
  <c r="K360" i="50"/>
  <c r="O360" i="50"/>
  <c r="S360" i="50"/>
  <c r="C361" i="50"/>
  <c r="G361" i="50"/>
  <c r="K361" i="50"/>
  <c r="O361" i="50"/>
  <c r="S361" i="50"/>
  <c r="C362" i="50"/>
  <c r="G362" i="50"/>
  <c r="K362" i="50"/>
  <c r="O362" i="50"/>
  <c r="S362" i="50"/>
  <c r="C363" i="50"/>
  <c r="G363" i="50"/>
  <c r="K363" i="50"/>
  <c r="O363" i="50"/>
  <c r="S363" i="50"/>
  <c r="C364" i="50"/>
  <c r="G364" i="50"/>
  <c r="K364" i="50"/>
  <c r="O364" i="50"/>
  <c r="S364" i="50"/>
  <c r="C365" i="50"/>
  <c r="G365" i="50"/>
  <c r="K365" i="50"/>
  <c r="O365" i="50"/>
  <c r="S365" i="50"/>
  <c r="C366" i="50"/>
  <c r="G366" i="50"/>
  <c r="K366" i="50"/>
  <c r="O366" i="50"/>
  <c r="S366" i="50"/>
  <c r="C367" i="50"/>
  <c r="G367" i="50"/>
  <c r="K367" i="50"/>
  <c r="O367" i="50"/>
  <c r="S367" i="50"/>
  <c r="C368" i="50"/>
  <c r="G368" i="50"/>
  <c r="K368" i="50"/>
  <c r="O368" i="50"/>
  <c r="S368" i="50"/>
  <c r="C369" i="50"/>
  <c r="G369" i="50"/>
  <c r="K369" i="50"/>
  <c r="O369" i="50"/>
  <c r="S369" i="50"/>
  <c r="C370" i="50"/>
  <c r="G370" i="50"/>
  <c r="K370" i="50"/>
  <c r="O370" i="50"/>
  <c r="S370" i="50"/>
  <c r="C371" i="50"/>
  <c r="G371" i="50"/>
  <c r="K371" i="50"/>
  <c r="O371" i="50"/>
  <c r="S371" i="50"/>
  <c r="C372" i="50"/>
  <c r="G372" i="50"/>
  <c r="K372" i="50"/>
  <c r="O372" i="50"/>
  <c r="S372" i="50"/>
  <c r="C373" i="50"/>
  <c r="G373" i="50"/>
  <c r="K373" i="50"/>
  <c r="O373" i="50"/>
  <c r="S373" i="50"/>
  <c r="C374" i="50"/>
  <c r="G374" i="50"/>
  <c r="K374" i="50"/>
  <c r="O374" i="50"/>
  <c r="S374" i="50"/>
  <c r="C375" i="50"/>
  <c r="G375" i="50"/>
  <c r="K375" i="50"/>
  <c r="O375" i="50"/>
  <c r="S375" i="50"/>
  <c r="C376" i="50"/>
  <c r="G376" i="50"/>
  <c r="K376" i="50"/>
  <c r="O376" i="50"/>
  <c r="S376" i="50"/>
  <c r="C377" i="50"/>
  <c r="G377" i="50"/>
  <c r="K377" i="50"/>
  <c r="O377" i="50"/>
  <c r="S377" i="50"/>
  <c r="C378" i="50"/>
  <c r="G378" i="50"/>
  <c r="K378" i="50"/>
  <c r="O378" i="50"/>
  <c r="S378" i="50"/>
  <c r="C379" i="50"/>
  <c r="G379" i="50"/>
  <c r="K379" i="50"/>
  <c r="O379" i="50"/>
  <c r="S379" i="50"/>
  <c r="C380" i="50"/>
  <c r="G380" i="50"/>
  <c r="K380" i="50"/>
  <c r="O380" i="50"/>
  <c r="S380" i="50"/>
  <c r="C381" i="50"/>
  <c r="G381" i="50"/>
  <c r="K381" i="50"/>
  <c r="O381" i="50"/>
  <c r="S381" i="50"/>
  <c r="C382" i="50"/>
  <c r="G382" i="50"/>
  <c r="K382" i="50"/>
  <c r="O382" i="50"/>
  <c r="S382" i="50"/>
  <c r="C383" i="50"/>
  <c r="G383" i="50"/>
  <c r="K383" i="50"/>
  <c r="O383" i="50"/>
  <c r="S383" i="50"/>
  <c r="C384" i="50"/>
  <c r="G384" i="50"/>
  <c r="K384" i="50"/>
  <c r="O384" i="50"/>
  <c r="S384" i="50"/>
  <c r="C385" i="50"/>
  <c r="G385" i="50"/>
  <c r="K385" i="50"/>
  <c r="O385" i="50"/>
  <c r="S385" i="50"/>
  <c r="C386" i="50"/>
  <c r="G386" i="50"/>
  <c r="K386" i="50"/>
  <c r="O386" i="50"/>
  <c r="S386" i="50"/>
  <c r="C387" i="50"/>
  <c r="G387" i="50"/>
  <c r="K387" i="50"/>
  <c r="O387" i="50"/>
  <c r="S302" i="50"/>
  <c r="O303" i="50"/>
  <c r="K304" i="50"/>
  <c r="G305" i="50"/>
  <c r="C306" i="50"/>
  <c r="S306" i="50"/>
  <c r="O307" i="50"/>
  <c r="K308" i="50"/>
  <c r="G309" i="50"/>
  <c r="C310" i="50"/>
  <c r="S310" i="50"/>
  <c r="O311" i="50"/>
  <c r="K312" i="50"/>
  <c r="G313" i="50"/>
  <c r="A314" i="50"/>
  <c r="I314" i="50"/>
  <c r="Q314" i="50"/>
  <c r="E315" i="50"/>
  <c r="M315" i="50"/>
  <c r="A316" i="50"/>
  <c r="I316" i="50"/>
  <c r="Q316" i="50"/>
  <c r="E317" i="50"/>
  <c r="M317" i="50"/>
  <c r="A318" i="50"/>
  <c r="I318" i="50"/>
  <c r="Q318" i="50"/>
  <c r="E319" i="50"/>
  <c r="M319" i="50"/>
  <c r="R319" i="50"/>
  <c r="C320" i="50"/>
  <c r="I320" i="50"/>
  <c r="N320" i="50"/>
  <c r="S320" i="50"/>
  <c r="E321" i="50"/>
  <c r="J321" i="50"/>
  <c r="O321" i="50"/>
  <c r="A322" i="50"/>
  <c r="F322" i="50"/>
  <c r="K322" i="50"/>
  <c r="Q322" i="50"/>
  <c r="B323" i="50"/>
  <c r="G323" i="50"/>
  <c r="M323" i="50"/>
  <c r="R323" i="50"/>
  <c r="C324" i="50"/>
  <c r="I324" i="50"/>
  <c r="N324" i="50"/>
  <c r="S324" i="50"/>
  <c r="E325" i="50"/>
  <c r="J325" i="50"/>
  <c r="O325" i="50"/>
  <c r="A326" i="50"/>
  <c r="F326" i="50"/>
  <c r="K326" i="50"/>
  <c r="Q326" i="50"/>
  <c r="B327" i="50"/>
  <c r="G327" i="50"/>
  <c r="M327" i="50"/>
  <c r="R327" i="50"/>
  <c r="C328" i="50"/>
  <c r="I328" i="50"/>
  <c r="N328" i="50"/>
  <c r="S328" i="50"/>
  <c r="E329" i="50"/>
  <c r="J329" i="50"/>
  <c r="O329" i="50"/>
  <c r="A330" i="50"/>
  <c r="F330" i="50"/>
  <c r="K330" i="50"/>
  <c r="Q330" i="50"/>
  <c r="B331" i="50"/>
  <c r="G331" i="50"/>
  <c r="M331" i="50"/>
  <c r="R331" i="50"/>
  <c r="C332" i="50"/>
  <c r="I332" i="50"/>
  <c r="N332" i="50"/>
  <c r="S332" i="50"/>
  <c r="E333" i="50"/>
  <c r="J333" i="50"/>
  <c r="O333" i="50"/>
  <c r="A334" i="50"/>
  <c r="F334" i="50"/>
  <c r="K334" i="50"/>
  <c r="Q334" i="50"/>
  <c r="B335" i="50"/>
  <c r="G335" i="50"/>
  <c r="M335" i="50"/>
  <c r="R335" i="50"/>
  <c r="C336" i="50"/>
  <c r="I336" i="50"/>
  <c r="N336" i="50"/>
  <c r="S336" i="50"/>
  <c r="E337" i="50"/>
  <c r="J337" i="50"/>
  <c r="O337" i="50"/>
  <c r="A338" i="50"/>
  <c r="F338" i="50"/>
  <c r="K338" i="50"/>
  <c r="Q338" i="50"/>
  <c r="B339" i="50"/>
  <c r="G339" i="50"/>
  <c r="M339" i="50"/>
  <c r="R339" i="50"/>
  <c r="C340" i="50"/>
  <c r="I340" i="50"/>
  <c r="N340" i="50"/>
  <c r="S340" i="50"/>
  <c r="E341" i="50"/>
  <c r="J341" i="50"/>
  <c r="O341" i="50"/>
  <c r="A342" i="50"/>
  <c r="F342" i="50"/>
  <c r="K342" i="50"/>
  <c r="P342" i="50"/>
  <c r="T342" i="50"/>
  <c r="D343" i="50"/>
  <c r="H343" i="50"/>
  <c r="L343" i="50"/>
  <c r="P343" i="50"/>
  <c r="T343" i="50"/>
  <c r="D344" i="50"/>
  <c r="H344" i="50"/>
  <c r="L344" i="50"/>
  <c r="P344" i="50"/>
  <c r="T344" i="50"/>
  <c r="D345" i="50"/>
  <c r="H345" i="50"/>
  <c r="L345" i="50"/>
  <c r="P345" i="50"/>
  <c r="T345" i="50"/>
  <c r="D346" i="50"/>
  <c r="H346" i="50"/>
  <c r="L346" i="50"/>
  <c r="P346" i="50"/>
  <c r="T346" i="50"/>
  <c r="D347" i="50"/>
  <c r="H347" i="50"/>
  <c r="L347" i="50"/>
  <c r="P347" i="50"/>
  <c r="T347" i="50"/>
  <c r="D348" i="50"/>
  <c r="H348" i="50"/>
  <c r="L348" i="50"/>
  <c r="P348" i="50"/>
  <c r="T348" i="50"/>
  <c r="D349" i="50"/>
  <c r="H349" i="50"/>
  <c r="L349" i="50"/>
  <c r="P349" i="50"/>
  <c r="T349" i="50"/>
  <c r="D350" i="50"/>
  <c r="H350" i="50"/>
  <c r="L350" i="50"/>
  <c r="P350" i="50"/>
  <c r="T350" i="50"/>
  <c r="D351" i="50"/>
  <c r="H351" i="50"/>
  <c r="L351" i="50"/>
  <c r="P351" i="50"/>
  <c r="T351" i="50"/>
  <c r="D352" i="50"/>
  <c r="H352" i="50"/>
  <c r="L352" i="50"/>
  <c r="P352" i="50"/>
  <c r="T352" i="50"/>
  <c r="D353" i="50"/>
  <c r="H353" i="50"/>
  <c r="L353" i="50"/>
  <c r="P353" i="50"/>
  <c r="T353" i="50"/>
  <c r="D354" i="50"/>
  <c r="H354" i="50"/>
  <c r="L354" i="50"/>
  <c r="P354" i="50"/>
  <c r="T354" i="50"/>
  <c r="D355" i="50"/>
  <c r="H355" i="50"/>
  <c r="L355" i="50"/>
  <c r="P355" i="50"/>
  <c r="T355" i="50"/>
  <c r="D356" i="50"/>
  <c r="H356" i="50"/>
  <c r="L356" i="50"/>
  <c r="P356" i="50"/>
  <c r="T356" i="50"/>
  <c r="D357" i="50"/>
  <c r="H357" i="50"/>
  <c r="L357" i="50"/>
  <c r="P357" i="50"/>
  <c r="T357" i="50"/>
  <c r="D358" i="50"/>
  <c r="H358" i="50"/>
  <c r="L358" i="50"/>
  <c r="P358" i="50"/>
  <c r="T358" i="50"/>
  <c r="D359" i="50"/>
  <c r="H359" i="50"/>
  <c r="L359" i="50"/>
  <c r="P359" i="50"/>
  <c r="T359" i="50"/>
  <c r="D360" i="50"/>
  <c r="H360" i="50"/>
  <c r="L360" i="50"/>
  <c r="P360" i="50"/>
  <c r="T360" i="50"/>
  <c r="D361" i="50"/>
  <c r="H361" i="50"/>
  <c r="L361" i="50"/>
  <c r="P361" i="50"/>
  <c r="T361" i="50"/>
  <c r="D362" i="50"/>
  <c r="H362" i="50"/>
  <c r="L362" i="50"/>
  <c r="P362" i="50"/>
  <c r="T362" i="50"/>
  <c r="D363" i="50"/>
  <c r="H363" i="50"/>
  <c r="L363" i="50"/>
  <c r="P363" i="50"/>
  <c r="T363" i="50"/>
  <c r="D364" i="50"/>
  <c r="H364" i="50"/>
  <c r="L364" i="50"/>
  <c r="P364" i="50"/>
  <c r="T364" i="50"/>
  <c r="D365" i="50"/>
  <c r="H365" i="50"/>
  <c r="L365" i="50"/>
  <c r="P365" i="50"/>
  <c r="T365" i="50"/>
  <c r="D366" i="50"/>
  <c r="H366" i="50"/>
  <c r="L366" i="50"/>
  <c r="P366" i="50"/>
  <c r="T366" i="50"/>
  <c r="D367" i="50"/>
  <c r="H367" i="50"/>
  <c r="L367" i="50"/>
  <c r="P367" i="50"/>
  <c r="T367" i="50"/>
  <c r="D368" i="50"/>
  <c r="H368" i="50"/>
  <c r="L368" i="50"/>
  <c r="P368" i="50"/>
  <c r="T368" i="50"/>
  <c r="D369" i="50"/>
  <c r="H369" i="50"/>
  <c r="L369" i="50"/>
  <c r="P369" i="50"/>
  <c r="T369" i="50"/>
  <c r="D370" i="50"/>
  <c r="H370" i="50"/>
  <c r="L370" i="50"/>
  <c r="P370" i="50"/>
  <c r="T370" i="50"/>
  <c r="D371" i="50"/>
  <c r="H371" i="50"/>
  <c r="L371" i="50"/>
  <c r="P371" i="50"/>
  <c r="T371" i="50"/>
  <c r="D372" i="50"/>
  <c r="H372" i="50"/>
  <c r="L372" i="50"/>
  <c r="P372" i="50"/>
  <c r="T372" i="50"/>
  <c r="D373" i="50"/>
  <c r="H373" i="50"/>
  <c r="L373" i="50"/>
  <c r="P373" i="50"/>
  <c r="T373" i="50"/>
  <c r="D374" i="50"/>
  <c r="H374" i="50"/>
  <c r="L374" i="50"/>
  <c r="P374" i="50"/>
  <c r="T374" i="50"/>
  <c r="D375" i="50"/>
  <c r="H375" i="50"/>
  <c r="L375" i="50"/>
  <c r="P375" i="50"/>
  <c r="T375" i="50"/>
  <c r="D376" i="50"/>
  <c r="H376" i="50"/>
  <c r="L376" i="50"/>
  <c r="P376" i="50"/>
  <c r="T376" i="50"/>
  <c r="D377" i="50"/>
  <c r="H377" i="50"/>
  <c r="L377" i="50"/>
  <c r="P377" i="50"/>
  <c r="T377" i="50"/>
  <c r="D378" i="50"/>
  <c r="H378" i="50"/>
  <c r="L378" i="50"/>
  <c r="P378" i="50"/>
  <c r="T378" i="50"/>
  <c r="D379" i="50"/>
  <c r="H379" i="50"/>
  <c r="L379" i="50"/>
  <c r="P379" i="50"/>
  <c r="T379" i="50"/>
  <c r="D380" i="50"/>
  <c r="H380" i="50"/>
  <c r="L380" i="50"/>
  <c r="P380" i="50"/>
  <c r="T380" i="50"/>
  <c r="D381" i="50"/>
  <c r="H381" i="50"/>
  <c r="L381" i="50"/>
  <c r="P381" i="50"/>
  <c r="T381" i="50"/>
  <c r="D382" i="50"/>
  <c r="H382" i="50"/>
  <c r="L382" i="50"/>
  <c r="P382" i="50"/>
  <c r="T382" i="50"/>
  <c r="D383" i="50"/>
  <c r="H383" i="50"/>
  <c r="L383" i="50"/>
  <c r="P383" i="50"/>
  <c r="T383" i="50"/>
  <c r="D384" i="50"/>
  <c r="H384" i="50"/>
  <c r="L384" i="50"/>
  <c r="P384" i="50"/>
  <c r="T384" i="50"/>
  <c r="D385" i="50"/>
  <c r="H385" i="50"/>
  <c r="L385" i="50"/>
  <c r="P385" i="50"/>
  <c r="T385" i="50"/>
  <c r="D386" i="50"/>
  <c r="H386" i="50"/>
  <c r="L386" i="50"/>
  <c r="P386" i="50"/>
  <c r="T386" i="50"/>
  <c r="D387" i="50"/>
  <c r="H387" i="50"/>
  <c r="L387" i="50"/>
  <c r="P387" i="50"/>
  <c r="T387" i="50"/>
  <c r="D388" i="50"/>
  <c r="H388" i="50"/>
  <c r="L388" i="50"/>
  <c r="P388" i="50"/>
  <c r="T388" i="50"/>
  <c r="D389" i="50"/>
  <c r="H389" i="50"/>
  <c r="L389" i="50"/>
  <c r="P389" i="50"/>
  <c r="T389" i="50"/>
  <c r="D390" i="50"/>
  <c r="H390" i="50"/>
  <c r="L390" i="50"/>
  <c r="P390" i="50"/>
  <c r="T390" i="50"/>
  <c r="D391" i="50"/>
  <c r="H391" i="50"/>
  <c r="L391" i="50"/>
  <c r="P391" i="50"/>
  <c r="T391" i="50"/>
  <c r="D392" i="50"/>
  <c r="H392" i="50"/>
  <c r="L392" i="50"/>
  <c r="P392" i="50"/>
  <c r="T392" i="50"/>
  <c r="D393" i="50"/>
  <c r="H393" i="50"/>
  <c r="L393" i="50"/>
  <c r="P393" i="50"/>
  <c r="T393" i="50"/>
  <c r="D394" i="50"/>
  <c r="H394" i="50"/>
  <c r="L394" i="50"/>
  <c r="P394" i="50"/>
  <c r="T394" i="50"/>
  <c r="D395" i="50"/>
  <c r="H395" i="50"/>
  <c r="L395" i="50"/>
  <c r="P395" i="50"/>
  <c r="T395" i="50"/>
  <c r="D396" i="50"/>
  <c r="H396" i="50"/>
  <c r="L396" i="50"/>
  <c r="P396" i="50"/>
  <c r="T396" i="50"/>
  <c r="D397" i="50"/>
  <c r="H397" i="50"/>
  <c r="L397" i="50"/>
  <c r="P397" i="50"/>
  <c r="T397" i="50"/>
  <c r="D398" i="50"/>
  <c r="H398" i="50"/>
  <c r="L398" i="50"/>
  <c r="P398" i="50"/>
  <c r="T398" i="50"/>
  <c r="D399" i="50"/>
  <c r="H399" i="50"/>
  <c r="L399" i="50"/>
  <c r="P399" i="50"/>
  <c r="C303" i="50"/>
  <c r="S303" i="50"/>
  <c r="O304" i="50"/>
  <c r="K305" i="50"/>
  <c r="G306" i="50"/>
  <c r="C307" i="50"/>
  <c r="S307" i="50"/>
  <c r="O308" i="50"/>
  <c r="K309" i="50"/>
  <c r="G310" i="50"/>
  <c r="C311" i="50"/>
  <c r="S311" i="50"/>
  <c r="O312" i="50"/>
  <c r="K313" i="50"/>
  <c r="C314" i="50"/>
  <c r="K314" i="50"/>
  <c r="S314" i="50"/>
  <c r="G315" i="50"/>
  <c r="O315" i="50"/>
  <c r="C316" i="50"/>
  <c r="K316" i="50"/>
  <c r="S316" i="50"/>
  <c r="G317" i="50"/>
  <c r="O317" i="50"/>
  <c r="C318" i="50"/>
  <c r="K318" i="50"/>
  <c r="S318" i="50"/>
  <c r="G319" i="50"/>
  <c r="N319" i="50"/>
  <c r="S319" i="50"/>
  <c r="E320" i="50"/>
  <c r="J320" i="50"/>
  <c r="O320" i="50"/>
  <c r="A321" i="50"/>
  <c r="F321" i="50"/>
  <c r="K321" i="50"/>
  <c r="Q321" i="50"/>
  <c r="B322" i="50"/>
  <c r="G322" i="50"/>
  <c r="M322" i="50"/>
  <c r="R322" i="50"/>
  <c r="C323" i="50"/>
  <c r="I323" i="50"/>
  <c r="N323" i="50"/>
  <c r="S323" i="50"/>
  <c r="E324" i="50"/>
  <c r="J324" i="50"/>
  <c r="O324" i="50"/>
  <c r="A325" i="50"/>
  <c r="F325" i="50"/>
  <c r="K325" i="50"/>
  <c r="Q325" i="50"/>
  <c r="B326" i="50"/>
  <c r="G326" i="50"/>
  <c r="M326" i="50"/>
  <c r="R326" i="50"/>
  <c r="C327" i="50"/>
  <c r="I327" i="50"/>
  <c r="N327" i="50"/>
  <c r="S327" i="50"/>
  <c r="E328" i="50"/>
  <c r="J328" i="50"/>
  <c r="O328" i="50"/>
  <c r="A329" i="50"/>
  <c r="F329" i="50"/>
  <c r="K329" i="50"/>
  <c r="Q329" i="50"/>
  <c r="B330" i="50"/>
  <c r="G330" i="50"/>
  <c r="M330" i="50"/>
  <c r="R330" i="50"/>
  <c r="C331" i="50"/>
  <c r="I331" i="50"/>
  <c r="N331" i="50"/>
  <c r="S331" i="50"/>
  <c r="E332" i="50"/>
  <c r="J332" i="50"/>
  <c r="O332" i="50"/>
  <c r="A333" i="50"/>
  <c r="F333" i="50"/>
  <c r="K333" i="50"/>
  <c r="Q333" i="50"/>
  <c r="B334" i="50"/>
  <c r="G334" i="50"/>
  <c r="M334" i="50"/>
  <c r="R334" i="50"/>
  <c r="C335" i="50"/>
  <c r="I335" i="50"/>
  <c r="N335" i="50"/>
  <c r="S335" i="50"/>
  <c r="E336" i="50"/>
  <c r="J336" i="50"/>
  <c r="O336" i="50"/>
  <c r="A337" i="50"/>
  <c r="F337" i="50"/>
  <c r="K337" i="50"/>
  <c r="Q337" i="50"/>
  <c r="B338" i="50"/>
  <c r="G338" i="50"/>
  <c r="M338" i="50"/>
  <c r="R338" i="50"/>
  <c r="C339" i="50"/>
  <c r="I339" i="50"/>
  <c r="N339" i="50"/>
  <c r="S339" i="50"/>
  <c r="E340" i="50"/>
  <c r="J340" i="50"/>
  <c r="O340" i="50"/>
  <c r="A341" i="50"/>
  <c r="F341" i="50"/>
  <c r="K341" i="50"/>
  <c r="Q341" i="50"/>
  <c r="B342" i="50"/>
  <c r="G342" i="50"/>
  <c r="M342" i="50"/>
  <c r="Q342" i="50"/>
  <c r="A343" i="50"/>
  <c r="E343" i="50"/>
  <c r="I343" i="50"/>
  <c r="M343" i="50"/>
  <c r="Q343" i="50"/>
  <c r="A344" i="50"/>
  <c r="E344" i="50"/>
  <c r="I344" i="50"/>
  <c r="M344" i="50"/>
  <c r="Q344" i="50"/>
  <c r="A345" i="50"/>
  <c r="E345" i="50"/>
  <c r="I345" i="50"/>
  <c r="M345" i="50"/>
  <c r="Q345" i="50"/>
  <c r="A346" i="50"/>
  <c r="E346" i="50"/>
  <c r="I346" i="50"/>
  <c r="M346" i="50"/>
  <c r="Q346" i="50"/>
  <c r="A347" i="50"/>
  <c r="E347" i="50"/>
  <c r="I347" i="50"/>
  <c r="M347" i="50"/>
  <c r="Q347" i="50"/>
  <c r="A348" i="50"/>
  <c r="E348" i="50"/>
  <c r="I348" i="50"/>
  <c r="M348" i="50"/>
  <c r="Q348" i="50"/>
  <c r="A349" i="50"/>
  <c r="E349" i="50"/>
  <c r="I349" i="50"/>
  <c r="M349" i="50"/>
  <c r="Q349" i="50"/>
  <c r="A350" i="50"/>
  <c r="E350" i="50"/>
  <c r="I350" i="50"/>
  <c r="M350" i="50"/>
  <c r="Q350" i="50"/>
  <c r="A351" i="50"/>
  <c r="E351" i="50"/>
  <c r="I351" i="50"/>
  <c r="M351" i="50"/>
  <c r="Q351" i="50"/>
  <c r="A352" i="50"/>
  <c r="E352" i="50"/>
  <c r="I352" i="50"/>
  <c r="M352" i="50"/>
  <c r="Q352" i="50"/>
  <c r="A353" i="50"/>
  <c r="E353" i="50"/>
  <c r="I353" i="50"/>
  <c r="M353" i="50"/>
  <c r="Q353" i="50"/>
  <c r="A354" i="50"/>
  <c r="E354" i="50"/>
  <c r="I354" i="50"/>
  <c r="M354" i="50"/>
  <c r="Q354" i="50"/>
  <c r="A355" i="50"/>
  <c r="E355" i="50"/>
  <c r="I355" i="50"/>
  <c r="M355" i="50"/>
  <c r="Q355" i="50"/>
  <c r="A356" i="50"/>
  <c r="E356" i="50"/>
  <c r="I356" i="50"/>
  <c r="M356" i="50"/>
  <c r="Q356" i="50"/>
  <c r="A357" i="50"/>
  <c r="E357" i="50"/>
  <c r="I357" i="50"/>
  <c r="M357" i="50"/>
  <c r="Q357" i="50"/>
  <c r="A358" i="50"/>
  <c r="E358" i="50"/>
  <c r="I358" i="50"/>
  <c r="M358" i="50"/>
  <c r="Q358" i="50"/>
  <c r="A359" i="50"/>
  <c r="E359" i="50"/>
  <c r="I359" i="50"/>
  <c r="M359" i="50"/>
  <c r="Q359" i="50"/>
  <c r="A360" i="50"/>
  <c r="E360" i="50"/>
  <c r="I360" i="50"/>
  <c r="M360" i="50"/>
  <c r="Q360" i="50"/>
  <c r="A361" i="50"/>
  <c r="E361" i="50"/>
  <c r="I361" i="50"/>
  <c r="M361" i="50"/>
  <c r="Q361" i="50"/>
  <c r="A362" i="50"/>
  <c r="E362" i="50"/>
  <c r="I362" i="50"/>
  <c r="M362" i="50"/>
  <c r="Q362" i="50"/>
  <c r="A363" i="50"/>
  <c r="E363" i="50"/>
  <c r="I363" i="50"/>
  <c r="M363" i="50"/>
  <c r="Q363" i="50"/>
  <c r="A364" i="50"/>
  <c r="E364" i="50"/>
  <c r="I364" i="50"/>
  <c r="M364" i="50"/>
  <c r="Q364" i="50"/>
  <c r="A365" i="50"/>
  <c r="E365" i="50"/>
  <c r="I365" i="50"/>
  <c r="M365" i="50"/>
  <c r="Q365" i="50"/>
  <c r="A366" i="50"/>
  <c r="E366" i="50"/>
  <c r="I366" i="50"/>
  <c r="M366" i="50"/>
  <c r="Q366" i="50"/>
  <c r="A367" i="50"/>
  <c r="E367" i="50"/>
  <c r="I367" i="50"/>
  <c r="M367" i="50"/>
  <c r="Q367" i="50"/>
  <c r="A368" i="50"/>
  <c r="E368" i="50"/>
  <c r="I368" i="50"/>
  <c r="M368" i="50"/>
  <c r="Q368" i="50"/>
  <c r="A369" i="50"/>
  <c r="E369" i="50"/>
  <c r="I369" i="50"/>
  <c r="M369" i="50"/>
  <c r="Q369" i="50"/>
  <c r="A370" i="50"/>
  <c r="E370" i="50"/>
  <c r="I370" i="50"/>
  <c r="M370" i="50"/>
  <c r="Q370" i="50"/>
  <c r="A371" i="50"/>
  <c r="E371" i="50"/>
  <c r="I371" i="50"/>
  <c r="M371" i="50"/>
  <c r="Q371" i="50"/>
  <c r="A372" i="50"/>
  <c r="E372" i="50"/>
  <c r="I372" i="50"/>
  <c r="M372" i="50"/>
  <c r="Q372" i="50"/>
  <c r="A373" i="50"/>
  <c r="E373" i="50"/>
  <c r="I373" i="50"/>
  <c r="M373" i="50"/>
  <c r="Q373" i="50"/>
  <c r="A374" i="50"/>
  <c r="E374" i="50"/>
  <c r="I374" i="50"/>
  <c r="M374" i="50"/>
  <c r="Q374" i="50"/>
  <c r="A375" i="50"/>
  <c r="E375" i="50"/>
  <c r="I375" i="50"/>
  <c r="M375" i="50"/>
  <c r="Q375" i="50"/>
  <c r="A376" i="50"/>
  <c r="E376" i="50"/>
  <c r="I376" i="50"/>
  <c r="E377" i="50"/>
  <c r="A378" i="50"/>
  <c r="Q378" i="50"/>
  <c r="M379" i="50"/>
  <c r="I380" i="50"/>
  <c r="E381" i="50"/>
  <c r="A382" i="50"/>
  <c r="Q382" i="50"/>
  <c r="M383" i="50"/>
  <c r="I384" i="50"/>
  <c r="E385" i="50"/>
  <c r="A386" i="50"/>
  <c r="Q386" i="50"/>
  <c r="M387" i="50"/>
  <c r="C388" i="50"/>
  <c r="K388" i="50"/>
  <c r="S388" i="50"/>
  <c r="G389" i="50"/>
  <c r="O389" i="50"/>
  <c r="C390" i="50"/>
  <c r="K390" i="50"/>
  <c r="S390" i="50"/>
  <c r="G391" i="50"/>
  <c r="O391" i="50"/>
  <c r="C392" i="50"/>
  <c r="K392" i="50"/>
  <c r="S392" i="50"/>
  <c r="G393" i="50"/>
  <c r="O393" i="50"/>
  <c r="C394" i="50"/>
  <c r="K394" i="50"/>
  <c r="S394" i="50"/>
  <c r="G395" i="50"/>
  <c r="O395" i="50"/>
  <c r="C396" i="50"/>
  <c r="K396" i="50"/>
  <c r="S396" i="50"/>
  <c r="G397" i="50"/>
  <c r="O397" i="50"/>
  <c r="C398" i="50"/>
  <c r="K398" i="50"/>
  <c r="S398" i="50"/>
  <c r="G399" i="50"/>
  <c r="O399" i="50"/>
  <c r="A400" i="50"/>
  <c r="G400" i="50"/>
  <c r="L400" i="50"/>
  <c r="Q400" i="50"/>
  <c r="C401" i="50"/>
  <c r="H401" i="50"/>
  <c r="M401" i="50"/>
  <c r="S401" i="50"/>
  <c r="D402" i="50"/>
  <c r="I402" i="50"/>
  <c r="O402" i="50"/>
  <c r="T402" i="50"/>
  <c r="E403" i="50"/>
  <c r="K403" i="50"/>
  <c r="P403" i="50"/>
  <c r="A404" i="50"/>
  <c r="G404" i="50"/>
  <c r="L404" i="50"/>
  <c r="Q404" i="50"/>
  <c r="C405" i="50"/>
  <c r="H405" i="50"/>
  <c r="M405" i="50"/>
  <c r="S405" i="50"/>
  <c r="D406" i="50"/>
  <c r="I406" i="50"/>
  <c r="O406" i="50"/>
  <c r="T406" i="50"/>
  <c r="E407" i="50"/>
  <c r="K407" i="50"/>
  <c r="P407" i="50"/>
  <c r="A408" i="50"/>
  <c r="G408" i="50"/>
  <c r="L408" i="50"/>
  <c r="Q408" i="50"/>
  <c r="C409" i="50"/>
  <c r="H409" i="50"/>
  <c r="M409" i="50"/>
  <c r="S409" i="50"/>
  <c r="D410" i="50"/>
  <c r="I410" i="50"/>
  <c r="O410" i="50"/>
  <c r="T410" i="50"/>
  <c r="E411" i="50"/>
  <c r="K411" i="50"/>
  <c r="P411" i="50"/>
  <c r="A412" i="50"/>
  <c r="G412" i="50"/>
  <c r="L412" i="50"/>
  <c r="Q412" i="50"/>
  <c r="C413" i="50"/>
  <c r="H413" i="50"/>
  <c r="M413" i="50"/>
  <c r="S413" i="50"/>
  <c r="D414" i="50"/>
  <c r="I414" i="50"/>
  <c r="O414" i="50"/>
  <c r="T414" i="50"/>
  <c r="E415" i="50"/>
  <c r="K415" i="50"/>
  <c r="P415" i="50"/>
  <c r="A416" i="50"/>
  <c r="G416" i="50"/>
  <c r="L416" i="50"/>
  <c r="Q416" i="50"/>
  <c r="C417" i="50"/>
  <c r="H417" i="50"/>
  <c r="M417" i="50"/>
  <c r="S417" i="50"/>
  <c r="D418" i="50"/>
  <c r="I418" i="50"/>
  <c r="O418" i="50"/>
  <c r="T418" i="50"/>
  <c r="E419" i="50"/>
  <c r="K419" i="50"/>
  <c r="P419" i="50"/>
  <c r="A420" i="50"/>
  <c r="G420" i="50"/>
  <c r="L420" i="50"/>
  <c r="Q420" i="50"/>
  <c r="C421" i="50"/>
  <c r="H421" i="50"/>
  <c r="M421" i="50"/>
  <c r="S421" i="50"/>
  <c r="D422" i="50"/>
  <c r="I422" i="50"/>
  <c r="O422" i="50"/>
  <c r="T422" i="50"/>
  <c r="E423" i="50"/>
  <c r="K423" i="50"/>
  <c r="P423" i="50"/>
  <c r="A424" i="50"/>
  <c r="G424" i="50"/>
  <c r="L424" i="50"/>
  <c r="Q424" i="50"/>
  <c r="C425" i="50"/>
  <c r="G425" i="50"/>
  <c r="K425" i="50"/>
  <c r="O425" i="50"/>
  <c r="S425" i="50"/>
  <c r="C426" i="50"/>
  <c r="G426" i="50"/>
  <c r="K426" i="50"/>
  <c r="O426" i="50"/>
  <c r="S426" i="50"/>
  <c r="C427" i="50"/>
  <c r="G427" i="50"/>
  <c r="K427" i="50"/>
  <c r="O427" i="50"/>
  <c r="S427" i="50"/>
  <c r="C428" i="50"/>
  <c r="G428" i="50"/>
  <c r="K428" i="50"/>
  <c r="O428" i="50"/>
  <c r="S428" i="50"/>
  <c r="C429" i="50"/>
  <c r="G429" i="50"/>
  <c r="K429" i="50"/>
  <c r="O429" i="50"/>
  <c r="S429" i="50"/>
  <c r="C430" i="50"/>
  <c r="G430" i="50"/>
  <c r="K430" i="50"/>
  <c r="O430" i="50"/>
  <c r="S430" i="50"/>
  <c r="C431" i="50"/>
  <c r="G431" i="50"/>
  <c r="K431" i="50"/>
  <c r="O431" i="50"/>
  <c r="S431" i="50"/>
  <c r="C432" i="50"/>
  <c r="G432" i="50"/>
  <c r="K432" i="50"/>
  <c r="O432" i="50"/>
  <c r="S432" i="50"/>
  <c r="C433" i="50"/>
  <c r="G433" i="50"/>
  <c r="K433" i="50"/>
  <c r="O433" i="50"/>
  <c r="S433" i="50"/>
  <c r="C434" i="50"/>
  <c r="G434" i="50"/>
  <c r="K434" i="50"/>
  <c r="O434" i="50"/>
  <c r="S434" i="50"/>
  <c r="C435" i="50"/>
  <c r="G435" i="50"/>
  <c r="K435" i="50"/>
  <c r="O435" i="50"/>
  <c r="S435" i="50"/>
  <c r="C436" i="50"/>
  <c r="G436" i="50"/>
  <c r="K436" i="50"/>
  <c r="O436" i="50"/>
  <c r="S436" i="50"/>
  <c r="C437" i="50"/>
  <c r="G437" i="50"/>
  <c r="K437" i="50"/>
  <c r="O437" i="50"/>
  <c r="S437" i="50"/>
  <c r="C438" i="50"/>
  <c r="G438" i="50"/>
  <c r="K438" i="50"/>
  <c r="O438" i="50"/>
  <c r="S438" i="50"/>
  <c r="C439" i="50"/>
  <c r="G439" i="50"/>
  <c r="K439" i="50"/>
  <c r="O439" i="50"/>
  <c r="S439" i="50"/>
  <c r="C440" i="50"/>
  <c r="G440" i="50"/>
  <c r="K440" i="50"/>
  <c r="O440" i="50"/>
  <c r="S440" i="50"/>
  <c r="C441" i="50"/>
  <c r="G441" i="50"/>
  <c r="K441" i="50"/>
  <c r="O441" i="50"/>
  <c r="S441" i="50"/>
  <c r="C442" i="50"/>
  <c r="G442" i="50"/>
  <c r="K442" i="50"/>
  <c r="O442" i="50"/>
  <c r="S442" i="50"/>
  <c r="C443" i="50"/>
  <c r="G443" i="50"/>
  <c r="K443" i="50"/>
  <c r="O443" i="50"/>
  <c r="S443" i="50"/>
  <c r="C444" i="50"/>
  <c r="G444" i="50"/>
  <c r="K444" i="50"/>
  <c r="O444" i="50"/>
  <c r="S444" i="50"/>
  <c r="C445" i="50"/>
  <c r="G445" i="50"/>
  <c r="K445" i="50"/>
  <c r="O445" i="50"/>
  <c r="S445" i="50"/>
  <c r="C446" i="50"/>
  <c r="G446" i="50"/>
  <c r="K446" i="50"/>
  <c r="O446" i="50"/>
  <c r="S446" i="50"/>
  <c r="C447" i="50"/>
  <c r="G447" i="50"/>
  <c r="K447" i="50"/>
  <c r="O447" i="50"/>
  <c r="S447" i="50"/>
  <c r="C448" i="50"/>
  <c r="G448" i="50"/>
  <c r="K448" i="50"/>
  <c r="O448" i="50"/>
  <c r="S448" i="50"/>
  <c r="C449" i="50"/>
  <c r="G449" i="50"/>
  <c r="K449" i="50"/>
  <c r="O449" i="50"/>
  <c r="S449" i="50"/>
  <c r="C450" i="50"/>
  <c r="G450" i="50"/>
  <c r="K450" i="50"/>
  <c r="O450" i="50"/>
  <c r="S450" i="50"/>
  <c r="C451" i="50"/>
  <c r="G451" i="50"/>
  <c r="K451" i="50"/>
  <c r="O451" i="50"/>
  <c r="S451" i="50"/>
  <c r="C452" i="50"/>
  <c r="G452" i="50"/>
  <c r="K452" i="50"/>
  <c r="O452" i="50"/>
  <c r="S452" i="50"/>
  <c r="C453" i="50"/>
  <c r="G453" i="50"/>
  <c r="K453" i="50"/>
  <c r="O453" i="50"/>
  <c r="S453" i="50"/>
  <c r="C454" i="50"/>
  <c r="G454" i="50"/>
  <c r="K454" i="50"/>
  <c r="O454" i="50"/>
  <c r="S454" i="50"/>
  <c r="C455" i="50"/>
  <c r="G455" i="50"/>
  <c r="K455" i="50"/>
  <c r="O455" i="50"/>
  <c r="S455" i="50"/>
  <c r="C456" i="50"/>
  <c r="G456" i="50"/>
  <c r="K456" i="50"/>
  <c r="O456" i="50"/>
  <c r="S456" i="50"/>
  <c r="C457" i="50"/>
  <c r="G457" i="50"/>
  <c r="K457" i="50"/>
  <c r="O457" i="50"/>
  <c r="S457" i="50"/>
  <c r="C458" i="50"/>
  <c r="G458" i="50"/>
  <c r="K458" i="50"/>
  <c r="O458" i="50"/>
  <c r="S458" i="50"/>
  <c r="C459" i="50"/>
  <c r="G459" i="50"/>
  <c r="K459" i="50"/>
  <c r="O459" i="50"/>
  <c r="S459" i="50"/>
  <c r="C460" i="50"/>
  <c r="G460" i="50"/>
  <c r="K460" i="50"/>
  <c r="O460" i="50"/>
  <c r="S460" i="50"/>
  <c r="D436" i="50"/>
  <c r="L438" i="50"/>
  <c r="T438" i="50"/>
  <c r="D439" i="50"/>
  <c r="L439" i="50"/>
  <c r="P439" i="50"/>
  <c r="T439" i="50"/>
  <c r="H440" i="50"/>
  <c r="L440" i="50"/>
  <c r="P440" i="50"/>
  <c r="D441" i="50"/>
  <c r="H441" i="50"/>
  <c r="L441" i="50"/>
  <c r="P441" i="50"/>
  <c r="D442" i="50"/>
  <c r="H442" i="50"/>
  <c r="P442" i="50"/>
  <c r="T442" i="50"/>
  <c r="H443" i="50"/>
  <c r="L443" i="50"/>
  <c r="P443" i="50"/>
  <c r="D444" i="50"/>
  <c r="H444" i="50"/>
  <c r="L444" i="50"/>
  <c r="T444" i="50"/>
  <c r="D445" i="50"/>
  <c r="H445" i="50"/>
  <c r="L445" i="50"/>
  <c r="T445" i="50"/>
  <c r="D446" i="50"/>
  <c r="L446" i="50"/>
  <c r="P446" i="50"/>
  <c r="T446" i="50"/>
  <c r="H447" i="50"/>
  <c r="L447" i="50"/>
  <c r="T447" i="50"/>
  <c r="D448" i="50"/>
  <c r="L448" i="50"/>
  <c r="P448" i="50"/>
  <c r="T448" i="50"/>
  <c r="H449" i="50"/>
  <c r="L449" i="50"/>
  <c r="T449" i="50"/>
  <c r="D450" i="50"/>
  <c r="H450" i="50"/>
  <c r="P450" i="50"/>
  <c r="T450" i="50"/>
  <c r="H451" i="50"/>
  <c r="L451" i="50"/>
  <c r="T451" i="50"/>
  <c r="D452" i="50"/>
  <c r="L452" i="50"/>
  <c r="P452" i="50"/>
  <c r="T452" i="50"/>
  <c r="D453" i="50"/>
  <c r="L453" i="50"/>
  <c r="P453" i="50"/>
  <c r="T453" i="50"/>
  <c r="H454" i="50"/>
  <c r="L454" i="50"/>
  <c r="T454" i="50"/>
  <c r="D455" i="50"/>
  <c r="L455" i="50"/>
  <c r="P455" i="50"/>
  <c r="T455" i="50"/>
  <c r="H456" i="50"/>
  <c r="L456" i="50"/>
  <c r="T456" i="50"/>
  <c r="D457" i="50"/>
  <c r="L457" i="50"/>
  <c r="P457" i="50"/>
  <c r="D458" i="50"/>
  <c r="H458" i="50"/>
  <c r="P458" i="50"/>
  <c r="T458" i="50"/>
  <c r="H459" i="50"/>
  <c r="L459" i="50"/>
  <c r="T459" i="50"/>
  <c r="D460" i="50"/>
  <c r="L460" i="50"/>
  <c r="P460" i="50"/>
  <c r="R450" i="50"/>
  <c r="B452" i="50"/>
  <c r="B453" i="50"/>
  <c r="R453" i="50"/>
  <c r="J454" i="50"/>
  <c r="B455" i="50"/>
  <c r="N455" i="50"/>
  <c r="J456" i="50"/>
  <c r="F457" i="50"/>
  <c r="F458" i="50"/>
  <c r="B459" i="50"/>
  <c r="N459" i="50"/>
  <c r="J460" i="50"/>
  <c r="R460" i="50"/>
  <c r="M376" i="50"/>
  <c r="I377" i="50"/>
  <c r="E378" i="50"/>
  <c r="A379" i="50"/>
  <c r="Q379" i="50"/>
  <c r="M380" i="50"/>
  <c r="I381" i="50"/>
  <c r="E382" i="50"/>
  <c r="A383" i="50"/>
  <c r="Q383" i="50"/>
  <c r="M384" i="50"/>
  <c r="I385" i="50"/>
  <c r="E386" i="50"/>
  <c r="A387" i="50"/>
  <c r="Q387" i="50"/>
  <c r="E388" i="50"/>
  <c r="M388" i="50"/>
  <c r="A389" i="50"/>
  <c r="I389" i="50"/>
  <c r="Q389" i="50"/>
  <c r="E390" i="50"/>
  <c r="M390" i="50"/>
  <c r="A391" i="50"/>
  <c r="I391" i="50"/>
  <c r="Q391" i="50"/>
  <c r="E392" i="50"/>
  <c r="M392" i="50"/>
  <c r="A393" i="50"/>
  <c r="I393" i="50"/>
  <c r="Q393" i="50"/>
  <c r="E394" i="50"/>
  <c r="M394" i="50"/>
  <c r="A395" i="50"/>
  <c r="I395" i="50"/>
  <c r="Q395" i="50"/>
  <c r="E396" i="50"/>
  <c r="M396" i="50"/>
  <c r="A397" i="50"/>
  <c r="I397" i="50"/>
  <c r="Q397" i="50"/>
  <c r="E398" i="50"/>
  <c r="M398" i="50"/>
  <c r="A399" i="50"/>
  <c r="I399" i="50"/>
  <c r="Q399" i="50"/>
  <c r="C400" i="50"/>
  <c r="H400" i="50"/>
  <c r="M400" i="50"/>
  <c r="S400" i="50"/>
  <c r="D401" i="50"/>
  <c r="I401" i="50"/>
  <c r="O401" i="50"/>
  <c r="T401" i="50"/>
  <c r="E402" i="50"/>
  <c r="K402" i="50"/>
  <c r="P402" i="50"/>
  <c r="A403" i="50"/>
  <c r="G403" i="50"/>
  <c r="L403" i="50"/>
  <c r="Q403" i="50"/>
  <c r="C404" i="50"/>
  <c r="H404" i="50"/>
  <c r="M404" i="50"/>
  <c r="S404" i="50"/>
  <c r="D405" i="50"/>
  <c r="I405" i="50"/>
  <c r="O405" i="50"/>
  <c r="T405" i="50"/>
  <c r="E406" i="50"/>
  <c r="K406" i="50"/>
  <c r="P406" i="50"/>
  <c r="A407" i="50"/>
  <c r="G407" i="50"/>
  <c r="L407" i="50"/>
  <c r="Q407" i="50"/>
  <c r="C408" i="50"/>
  <c r="H408" i="50"/>
  <c r="M408" i="50"/>
  <c r="S408" i="50"/>
  <c r="D409" i="50"/>
  <c r="I409" i="50"/>
  <c r="O409" i="50"/>
  <c r="T409" i="50"/>
  <c r="E410" i="50"/>
  <c r="K410" i="50"/>
  <c r="P410" i="50"/>
  <c r="A411" i="50"/>
  <c r="G411" i="50"/>
  <c r="L411" i="50"/>
  <c r="Q411" i="50"/>
  <c r="C412" i="50"/>
  <c r="H412" i="50"/>
  <c r="M412" i="50"/>
  <c r="S412" i="50"/>
  <c r="D413" i="50"/>
  <c r="I413" i="50"/>
  <c r="O413" i="50"/>
  <c r="T413" i="50"/>
  <c r="E414" i="50"/>
  <c r="K414" i="50"/>
  <c r="P414" i="50"/>
  <c r="A415" i="50"/>
  <c r="G415" i="50"/>
  <c r="L415" i="50"/>
  <c r="Q415" i="50"/>
  <c r="C416" i="50"/>
  <c r="H416" i="50"/>
  <c r="M416" i="50"/>
  <c r="S416" i="50"/>
  <c r="D417" i="50"/>
  <c r="I417" i="50"/>
  <c r="O417" i="50"/>
  <c r="T417" i="50"/>
  <c r="E418" i="50"/>
  <c r="K418" i="50"/>
  <c r="P418" i="50"/>
  <c r="A419" i="50"/>
  <c r="G419" i="50"/>
  <c r="L419" i="50"/>
  <c r="Q419" i="50"/>
  <c r="C420" i="50"/>
  <c r="H420" i="50"/>
  <c r="M420" i="50"/>
  <c r="S420" i="50"/>
  <c r="D421" i="50"/>
  <c r="I421" i="50"/>
  <c r="O421" i="50"/>
  <c r="T421" i="50"/>
  <c r="E422" i="50"/>
  <c r="K422" i="50"/>
  <c r="P422" i="50"/>
  <c r="A423" i="50"/>
  <c r="G423" i="50"/>
  <c r="L423" i="50"/>
  <c r="Q423" i="50"/>
  <c r="C424" i="50"/>
  <c r="H424" i="50"/>
  <c r="M424" i="50"/>
  <c r="S424" i="50"/>
  <c r="D425" i="50"/>
  <c r="H425" i="50"/>
  <c r="L425" i="50"/>
  <c r="P425" i="50"/>
  <c r="T425" i="50"/>
  <c r="D426" i="50"/>
  <c r="H426" i="50"/>
  <c r="L426" i="50"/>
  <c r="P426" i="50"/>
  <c r="T426" i="50"/>
  <c r="D427" i="50"/>
  <c r="H427" i="50"/>
  <c r="L427" i="50"/>
  <c r="P427" i="50"/>
  <c r="T427" i="50"/>
  <c r="D428" i="50"/>
  <c r="H428" i="50"/>
  <c r="L428" i="50"/>
  <c r="P428" i="50"/>
  <c r="T428" i="50"/>
  <c r="D429" i="50"/>
  <c r="H429" i="50"/>
  <c r="L429" i="50"/>
  <c r="P429" i="50"/>
  <c r="T429" i="50"/>
  <c r="D430" i="50"/>
  <c r="H430" i="50"/>
  <c r="L430" i="50"/>
  <c r="P430" i="50"/>
  <c r="T430" i="50"/>
  <c r="D431" i="50"/>
  <c r="H431" i="50"/>
  <c r="L431" i="50"/>
  <c r="P431" i="50"/>
  <c r="T431" i="50"/>
  <c r="D432" i="50"/>
  <c r="H432" i="50"/>
  <c r="L432" i="50"/>
  <c r="P432" i="50"/>
  <c r="T432" i="50"/>
  <c r="D433" i="50"/>
  <c r="H433" i="50"/>
  <c r="L433" i="50"/>
  <c r="P433" i="50"/>
  <c r="T433" i="50"/>
  <c r="D434" i="50"/>
  <c r="H434" i="50"/>
  <c r="L434" i="50"/>
  <c r="P434" i="50"/>
  <c r="T434" i="50"/>
  <c r="D435" i="50"/>
  <c r="H435" i="50"/>
  <c r="L435" i="50"/>
  <c r="P435" i="50"/>
  <c r="T435" i="50"/>
  <c r="H436" i="50"/>
  <c r="L436" i="50"/>
  <c r="P436" i="50"/>
  <c r="T436" i="50"/>
  <c r="D437" i="50"/>
  <c r="H437" i="50"/>
  <c r="L437" i="50"/>
  <c r="P437" i="50"/>
  <c r="T437" i="50"/>
  <c r="D438" i="50"/>
  <c r="H438" i="50"/>
  <c r="P438" i="50"/>
  <c r="H439" i="50"/>
  <c r="D440" i="50"/>
  <c r="T440" i="50"/>
  <c r="T441" i="50"/>
  <c r="L442" i="50"/>
  <c r="D443" i="50"/>
  <c r="T443" i="50"/>
  <c r="P444" i="50"/>
  <c r="P445" i="50"/>
  <c r="H446" i="50"/>
  <c r="D447" i="50"/>
  <c r="P447" i="50"/>
  <c r="H448" i="50"/>
  <c r="D449" i="50"/>
  <c r="P449" i="50"/>
  <c r="L450" i="50"/>
  <c r="D451" i="50"/>
  <c r="P451" i="50"/>
  <c r="H452" i="50"/>
  <c r="H453" i="50"/>
  <c r="D454" i="50"/>
  <c r="P454" i="50"/>
  <c r="H455" i="50"/>
  <c r="D456" i="50"/>
  <c r="P456" i="50"/>
  <c r="H457" i="50"/>
  <c r="T457" i="50"/>
  <c r="L458" i="50"/>
  <c r="D459" i="50"/>
  <c r="P459" i="50"/>
  <c r="H460" i="50"/>
  <c r="T460" i="50"/>
  <c r="F451" i="50"/>
  <c r="N452" i="50"/>
  <c r="J453" i="50"/>
  <c r="F454" i="50"/>
  <c r="R454" i="50"/>
  <c r="J455" i="50"/>
  <c r="F456" i="50"/>
  <c r="R456" i="50"/>
  <c r="J457" i="50"/>
  <c r="B458" i="50"/>
  <c r="N458" i="50"/>
  <c r="R458" i="50"/>
  <c r="J459" i="50"/>
  <c r="F460" i="50"/>
  <c r="Q376" i="50"/>
  <c r="M377" i="50"/>
  <c r="I378" i="50"/>
  <c r="E379" i="50"/>
  <c r="A380" i="50"/>
  <c r="Q380" i="50"/>
  <c r="M381" i="50"/>
  <c r="I382" i="50"/>
  <c r="E383" i="50"/>
  <c r="A384" i="50"/>
  <c r="Q384" i="50"/>
  <c r="M385" i="50"/>
  <c r="I386" i="50"/>
  <c r="E387" i="50"/>
  <c r="S387" i="50"/>
  <c r="G388" i="50"/>
  <c r="O388" i="50"/>
  <c r="C389" i="50"/>
  <c r="K389" i="50"/>
  <c r="S389" i="50"/>
  <c r="G390" i="50"/>
  <c r="O390" i="50"/>
  <c r="C391" i="50"/>
  <c r="K391" i="50"/>
  <c r="S391" i="50"/>
  <c r="G392" i="50"/>
  <c r="O392" i="50"/>
  <c r="C393" i="50"/>
  <c r="K393" i="50"/>
  <c r="S393" i="50"/>
  <c r="G394" i="50"/>
  <c r="O394" i="50"/>
  <c r="C395" i="50"/>
  <c r="K395" i="50"/>
  <c r="S395" i="50"/>
  <c r="G396" i="50"/>
  <c r="O396" i="50"/>
  <c r="C397" i="50"/>
  <c r="K397" i="50"/>
  <c r="S397" i="50"/>
  <c r="G398" i="50"/>
  <c r="O398" i="50"/>
  <c r="C399" i="50"/>
  <c r="K399" i="50"/>
  <c r="S399" i="50"/>
  <c r="D400" i="50"/>
  <c r="I400" i="50"/>
  <c r="O400" i="50"/>
  <c r="T400" i="50"/>
  <c r="E401" i="50"/>
  <c r="K401" i="50"/>
  <c r="P401" i="50"/>
  <c r="A402" i="50"/>
  <c r="G402" i="50"/>
  <c r="L402" i="50"/>
  <c r="Q402" i="50"/>
  <c r="C403" i="50"/>
  <c r="H403" i="50"/>
  <c r="M403" i="50"/>
  <c r="S403" i="50"/>
  <c r="D404" i="50"/>
  <c r="I404" i="50"/>
  <c r="O404" i="50"/>
  <c r="T404" i="50"/>
  <c r="E405" i="50"/>
  <c r="K405" i="50"/>
  <c r="P405" i="50"/>
  <c r="A406" i="50"/>
  <c r="G406" i="50"/>
  <c r="L406" i="50"/>
  <c r="Q406" i="50"/>
  <c r="C407" i="50"/>
  <c r="H407" i="50"/>
  <c r="M407" i="50"/>
  <c r="S407" i="50"/>
  <c r="D408" i="50"/>
  <c r="I408" i="50"/>
  <c r="O408" i="50"/>
  <c r="T408" i="50"/>
  <c r="E409" i="50"/>
  <c r="K409" i="50"/>
  <c r="P409" i="50"/>
  <c r="A410" i="50"/>
  <c r="G410" i="50"/>
  <c r="L410" i="50"/>
  <c r="Q410" i="50"/>
  <c r="C411" i="50"/>
  <c r="H411" i="50"/>
  <c r="M411" i="50"/>
  <c r="S411" i="50"/>
  <c r="D412" i="50"/>
  <c r="I412" i="50"/>
  <c r="O412" i="50"/>
  <c r="T412" i="50"/>
  <c r="E413" i="50"/>
  <c r="K413" i="50"/>
  <c r="P413" i="50"/>
  <c r="A414" i="50"/>
  <c r="G414" i="50"/>
  <c r="L414" i="50"/>
  <c r="Q414" i="50"/>
  <c r="C415" i="50"/>
  <c r="H415" i="50"/>
  <c r="M415" i="50"/>
  <c r="S415" i="50"/>
  <c r="D416" i="50"/>
  <c r="I416" i="50"/>
  <c r="O416" i="50"/>
  <c r="T416" i="50"/>
  <c r="E417" i="50"/>
  <c r="K417" i="50"/>
  <c r="P417" i="50"/>
  <c r="A418" i="50"/>
  <c r="G418" i="50"/>
  <c r="L418" i="50"/>
  <c r="Q418" i="50"/>
  <c r="C419" i="50"/>
  <c r="H419" i="50"/>
  <c r="M419" i="50"/>
  <c r="S419" i="50"/>
  <c r="D420" i="50"/>
  <c r="I420" i="50"/>
  <c r="O420" i="50"/>
  <c r="T420" i="50"/>
  <c r="E421" i="50"/>
  <c r="K421" i="50"/>
  <c r="P421" i="50"/>
  <c r="A422" i="50"/>
  <c r="G422" i="50"/>
  <c r="L422" i="50"/>
  <c r="Q422" i="50"/>
  <c r="C423" i="50"/>
  <c r="H423" i="50"/>
  <c r="M423" i="50"/>
  <c r="S423" i="50"/>
  <c r="D424" i="50"/>
  <c r="I424" i="50"/>
  <c r="O424" i="50"/>
  <c r="T424" i="50"/>
  <c r="E425" i="50"/>
  <c r="I425" i="50"/>
  <c r="M425" i="50"/>
  <c r="Q425" i="50"/>
  <c r="A426" i="50"/>
  <c r="E426" i="50"/>
  <c r="I426" i="50"/>
  <c r="M426" i="50"/>
  <c r="Q426" i="50"/>
  <c r="A427" i="50"/>
  <c r="E427" i="50"/>
  <c r="I427" i="50"/>
  <c r="M427" i="50"/>
  <c r="Q427" i="50"/>
  <c r="A428" i="50"/>
  <c r="E428" i="50"/>
  <c r="I428" i="50"/>
  <c r="M428" i="50"/>
  <c r="Q428" i="50"/>
  <c r="A429" i="50"/>
  <c r="E429" i="50"/>
  <c r="I429" i="50"/>
  <c r="M429" i="50"/>
  <c r="Q429" i="50"/>
  <c r="A430" i="50"/>
  <c r="E430" i="50"/>
  <c r="I430" i="50"/>
  <c r="M430" i="50"/>
  <c r="Q430" i="50"/>
  <c r="A431" i="50"/>
  <c r="E431" i="50"/>
  <c r="I431" i="50"/>
  <c r="M431" i="50"/>
  <c r="Q431" i="50"/>
  <c r="A432" i="50"/>
  <c r="E432" i="50"/>
  <c r="I432" i="50"/>
  <c r="M432" i="50"/>
  <c r="Q432" i="50"/>
  <c r="A433" i="50"/>
  <c r="E433" i="50"/>
  <c r="I433" i="50"/>
  <c r="M433" i="50"/>
  <c r="Q433" i="50"/>
  <c r="A434" i="50"/>
  <c r="E434" i="50"/>
  <c r="I434" i="50"/>
  <c r="M434" i="50"/>
  <c r="Q434" i="50"/>
  <c r="A435" i="50"/>
  <c r="E435" i="50"/>
  <c r="I435" i="50"/>
  <c r="M435" i="50"/>
  <c r="Q435" i="50"/>
  <c r="A436" i="50"/>
  <c r="E436" i="50"/>
  <c r="I436" i="50"/>
  <c r="M436" i="50"/>
  <c r="Q436" i="50"/>
  <c r="A437" i="50"/>
  <c r="E437" i="50"/>
  <c r="I437" i="50"/>
  <c r="M437" i="50"/>
  <c r="Q437" i="50"/>
  <c r="A438" i="50"/>
  <c r="E438" i="50"/>
  <c r="I438" i="50"/>
  <c r="M438" i="50"/>
  <c r="Q438" i="50"/>
  <c r="A439" i="50"/>
  <c r="E439" i="50"/>
  <c r="I439" i="50"/>
  <c r="M439" i="50"/>
  <c r="Q439" i="50"/>
  <c r="A440" i="50"/>
  <c r="E440" i="50"/>
  <c r="I440" i="50"/>
  <c r="M440" i="50"/>
  <c r="Q440" i="50"/>
  <c r="A441" i="50"/>
  <c r="E441" i="50"/>
  <c r="I441" i="50"/>
  <c r="M441" i="50"/>
  <c r="Q441" i="50"/>
  <c r="A442" i="50"/>
  <c r="E442" i="50"/>
  <c r="I442" i="50"/>
  <c r="M442" i="50"/>
  <c r="Q442" i="50"/>
  <c r="A443" i="50"/>
  <c r="E443" i="50"/>
  <c r="I443" i="50"/>
  <c r="M443" i="50"/>
  <c r="Q443" i="50"/>
  <c r="A444" i="50"/>
  <c r="E444" i="50"/>
  <c r="I444" i="50"/>
  <c r="M444" i="50"/>
  <c r="Q444" i="50"/>
  <c r="A445" i="50"/>
  <c r="E445" i="50"/>
  <c r="I445" i="50"/>
  <c r="M445" i="50"/>
  <c r="Q445" i="50"/>
  <c r="A446" i="50"/>
  <c r="E446" i="50"/>
  <c r="I446" i="50"/>
  <c r="M446" i="50"/>
  <c r="Q446" i="50"/>
  <c r="A447" i="50"/>
  <c r="E447" i="50"/>
  <c r="I447" i="50"/>
  <c r="M447" i="50"/>
  <c r="Q447" i="50"/>
  <c r="A448" i="50"/>
  <c r="E448" i="50"/>
  <c r="I448" i="50"/>
  <c r="M448" i="50"/>
  <c r="Q448" i="50"/>
  <c r="A449" i="50"/>
  <c r="E449" i="50"/>
  <c r="I449" i="50"/>
  <c r="M449" i="50"/>
  <c r="Q449" i="50"/>
  <c r="A450" i="50"/>
  <c r="E450" i="50"/>
  <c r="I450" i="50"/>
  <c r="M450" i="50"/>
  <c r="Q450" i="50"/>
  <c r="A451" i="50"/>
  <c r="E451" i="50"/>
  <c r="I451" i="50"/>
  <c r="M451" i="50"/>
  <c r="Q451" i="50"/>
  <c r="A452" i="50"/>
  <c r="E452" i="50"/>
  <c r="I452" i="50"/>
  <c r="M452" i="50"/>
  <c r="Q452" i="50"/>
  <c r="A453" i="50"/>
  <c r="E453" i="50"/>
  <c r="I453" i="50"/>
  <c r="M453" i="50"/>
  <c r="Q453" i="50"/>
  <c r="A454" i="50"/>
  <c r="E454" i="50"/>
  <c r="I454" i="50"/>
  <c r="M454" i="50"/>
  <c r="Q454" i="50"/>
  <c r="A455" i="50"/>
  <c r="E455" i="50"/>
  <c r="I455" i="50"/>
  <c r="M455" i="50"/>
  <c r="Q455" i="50"/>
  <c r="A456" i="50"/>
  <c r="E456" i="50"/>
  <c r="I456" i="50"/>
  <c r="M456" i="50"/>
  <c r="Q456" i="50"/>
  <c r="A457" i="50"/>
  <c r="E457" i="50"/>
  <c r="I457" i="50"/>
  <c r="M457" i="50"/>
  <c r="Q457" i="50"/>
  <c r="A458" i="50"/>
  <c r="E458" i="50"/>
  <c r="I458" i="50"/>
  <c r="M458" i="50"/>
  <c r="Q458" i="50"/>
  <c r="A459" i="50"/>
  <c r="E459" i="50"/>
  <c r="I459" i="50"/>
  <c r="M459" i="50"/>
  <c r="Q459" i="50"/>
  <c r="A460" i="50"/>
  <c r="E460" i="50"/>
  <c r="I460" i="50"/>
  <c r="M460" i="50"/>
  <c r="Q460" i="50"/>
  <c r="N448" i="50"/>
  <c r="R449" i="50"/>
  <c r="F450" i="50"/>
  <c r="N450" i="50"/>
  <c r="J451" i="50"/>
  <c r="R451" i="50"/>
  <c r="F452" i="50"/>
  <c r="R452" i="50"/>
  <c r="F453" i="50"/>
  <c r="B454" i="50"/>
  <c r="N454" i="50"/>
  <c r="F455" i="50"/>
  <c r="B456" i="50"/>
  <c r="N456" i="50"/>
  <c r="B457" i="50"/>
  <c r="N457" i="50"/>
  <c r="J458" i="50"/>
  <c r="F459" i="50"/>
  <c r="R459" i="50"/>
  <c r="N460" i="50"/>
  <c r="A377" i="50"/>
  <c r="Q377" i="50"/>
  <c r="M378" i="50"/>
  <c r="I379" i="50"/>
  <c r="E380" i="50"/>
  <c r="A381" i="50"/>
  <c r="Q381" i="50"/>
  <c r="M382" i="50"/>
  <c r="I383" i="50"/>
  <c r="E384" i="50"/>
  <c r="A385" i="50"/>
  <c r="Q385" i="50"/>
  <c r="M386" i="50"/>
  <c r="I387" i="50"/>
  <c r="A388" i="50"/>
  <c r="I388" i="50"/>
  <c r="Q388" i="50"/>
  <c r="E389" i="50"/>
  <c r="M389" i="50"/>
  <c r="A390" i="50"/>
  <c r="I390" i="50"/>
  <c r="Q390" i="50"/>
  <c r="E391" i="50"/>
  <c r="M391" i="50"/>
  <c r="A392" i="50"/>
  <c r="I392" i="50"/>
  <c r="Q392" i="50"/>
  <c r="E393" i="50"/>
  <c r="M393" i="50"/>
  <c r="A394" i="50"/>
  <c r="I394" i="50"/>
  <c r="Q394" i="50"/>
  <c r="E395" i="50"/>
  <c r="M395" i="50"/>
  <c r="A396" i="50"/>
  <c r="I396" i="50"/>
  <c r="Q396" i="50"/>
  <c r="E397" i="50"/>
  <c r="M397" i="50"/>
  <c r="A398" i="50"/>
  <c r="I398" i="50"/>
  <c r="Q398" i="50"/>
  <c r="E399" i="50"/>
  <c r="M399" i="50"/>
  <c r="T399" i="50"/>
  <c r="E400" i="50"/>
  <c r="K400" i="50"/>
  <c r="P400" i="50"/>
  <c r="A401" i="50"/>
  <c r="G401" i="50"/>
  <c r="L401" i="50"/>
  <c r="Q401" i="50"/>
  <c r="C402" i="50"/>
  <c r="H402" i="50"/>
  <c r="M402" i="50"/>
  <c r="S402" i="50"/>
  <c r="D403" i="50"/>
  <c r="I403" i="50"/>
  <c r="O403" i="50"/>
  <c r="T403" i="50"/>
  <c r="E404" i="50"/>
  <c r="K404" i="50"/>
  <c r="P404" i="50"/>
  <c r="A405" i="50"/>
  <c r="G405" i="50"/>
  <c r="L405" i="50"/>
  <c r="Q405" i="50"/>
  <c r="C406" i="50"/>
  <c r="H406" i="50"/>
  <c r="M406" i="50"/>
  <c r="S406" i="50"/>
  <c r="D407" i="50"/>
  <c r="I407" i="50"/>
  <c r="O407" i="50"/>
  <c r="T407" i="50"/>
  <c r="E408" i="50"/>
  <c r="K408" i="50"/>
  <c r="P408" i="50"/>
  <c r="A409" i="50"/>
  <c r="G409" i="50"/>
  <c r="L409" i="50"/>
  <c r="Q409" i="50"/>
  <c r="C410" i="50"/>
  <c r="H410" i="50"/>
  <c r="M410" i="50"/>
  <c r="S410" i="50"/>
  <c r="D411" i="50"/>
  <c r="I411" i="50"/>
  <c r="O411" i="50"/>
  <c r="T411" i="50"/>
  <c r="E412" i="50"/>
  <c r="K412" i="50"/>
  <c r="P412" i="50"/>
  <c r="A413" i="50"/>
  <c r="G413" i="50"/>
  <c r="L413" i="50"/>
  <c r="Q413" i="50"/>
  <c r="C414" i="50"/>
  <c r="H414" i="50"/>
  <c r="M414" i="50"/>
  <c r="S414" i="50"/>
  <c r="D415" i="50"/>
  <c r="I415" i="50"/>
  <c r="O415" i="50"/>
  <c r="T415" i="50"/>
  <c r="E416" i="50"/>
  <c r="K416" i="50"/>
  <c r="P416" i="50"/>
  <c r="A417" i="50"/>
  <c r="G417" i="50"/>
  <c r="L417" i="50"/>
  <c r="Q417" i="50"/>
  <c r="C418" i="50"/>
  <c r="H418" i="50"/>
  <c r="M418" i="50"/>
  <c r="S418" i="50"/>
  <c r="D419" i="50"/>
  <c r="I419" i="50"/>
  <c r="O419" i="50"/>
  <c r="T419" i="50"/>
  <c r="E420" i="50"/>
  <c r="K420" i="50"/>
  <c r="P420" i="50"/>
  <c r="A421" i="50"/>
  <c r="G421" i="50"/>
  <c r="L421" i="50"/>
  <c r="Q421" i="50"/>
  <c r="C422" i="50"/>
  <c r="H422" i="50"/>
  <c r="M422" i="50"/>
  <c r="S422" i="50"/>
  <c r="D423" i="50"/>
  <c r="I423" i="50"/>
  <c r="O423" i="50"/>
  <c r="T423" i="50"/>
  <c r="E424" i="50"/>
  <c r="K424" i="50"/>
  <c r="P424" i="50"/>
  <c r="A425" i="50"/>
  <c r="F425" i="50"/>
  <c r="J425" i="50"/>
  <c r="N425" i="50"/>
  <c r="R425" i="50"/>
  <c r="B426" i="50"/>
  <c r="F426" i="50"/>
  <c r="J426" i="50"/>
  <c r="N426" i="50"/>
  <c r="R426" i="50"/>
  <c r="B427" i="50"/>
  <c r="F427" i="50"/>
  <c r="J427" i="50"/>
  <c r="N427" i="50"/>
  <c r="R427" i="50"/>
  <c r="B428" i="50"/>
  <c r="F428" i="50"/>
  <c r="J428" i="50"/>
  <c r="N428" i="50"/>
  <c r="R428" i="50"/>
  <c r="B429" i="50"/>
  <c r="F429" i="50"/>
  <c r="J429" i="50"/>
  <c r="N429" i="50"/>
  <c r="R429" i="50"/>
  <c r="B430" i="50"/>
  <c r="F430" i="50"/>
  <c r="J430" i="50"/>
  <c r="N430" i="50"/>
  <c r="R430" i="50"/>
  <c r="B431" i="50"/>
  <c r="F431" i="50"/>
  <c r="J431" i="50"/>
  <c r="N431" i="50"/>
  <c r="R431" i="50"/>
  <c r="B432" i="50"/>
  <c r="F432" i="50"/>
  <c r="J432" i="50"/>
  <c r="N432" i="50"/>
  <c r="R432" i="50"/>
  <c r="B433" i="50"/>
  <c r="F433" i="50"/>
  <c r="J433" i="50"/>
  <c r="N433" i="50"/>
  <c r="R433" i="50"/>
  <c r="B434" i="50"/>
  <c r="F434" i="50"/>
  <c r="J434" i="50"/>
  <c r="N434" i="50"/>
  <c r="R434" i="50"/>
  <c r="B435" i="50"/>
  <c r="F435" i="50"/>
  <c r="J435" i="50"/>
  <c r="N435" i="50"/>
  <c r="R435" i="50"/>
  <c r="B436" i="50"/>
  <c r="F436" i="50"/>
  <c r="J436" i="50"/>
  <c r="N436" i="50"/>
  <c r="R436" i="50"/>
  <c r="B437" i="50"/>
  <c r="F437" i="50"/>
  <c r="J437" i="50"/>
  <c r="N437" i="50"/>
  <c r="R437" i="50"/>
  <c r="B438" i="50"/>
  <c r="F438" i="50"/>
  <c r="J438" i="50"/>
  <c r="N438" i="50"/>
  <c r="R438" i="50"/>
  <c r="B439" i="50"/>
  <c r="F439" i="50"/>
  <c r="J439" i="50"/>
  <c r="N439" i="50"/>
  <c r="R439" i="50"/>
  <c r="B440" i="50"/>
  <c r="F440" i="50"/>
  <c r="J440" i="50"/>
  <c r="N440" i="50"/>
  <c r="R440" i="50"/>
  <c r="B441" i="50"/>
  <c r="F441" i="50"/>
  <c r="J441" i="50"/>
  <c r="N441" i="50"/>
  <c r="R441" i="50"/>
  <c r="B442" i="50"/>
  <c r="F442" i="50"/>
  <c r="J442" i="50"/>
  <c r="N442" i="50"/>
  <c r="R442" i="50"/>
  <c r="B443" i="50"/>
  <c r="F443" i="50"/>
  <c r="J443" i="50"/>
  <c r="N443" i="50"/>
  <c r="R443" i="50"/>
  <c r="B444" i="50"/>
  <c r="F444" i="50"/>
  <c r="J444" i="50"/>
  <c r="N444" i="50"/>
  <c r="R444" i="50"/>
  <c r="B445" i="50"/>
  <c r="F445" i="50"/>
  <c r="J445" i="50"/>
  <c r="N445" i="50"/>
  <c r="R445" i="50"/>
  <c r="B446" i="50"/>
  <c r="F446" i="50"/>
  <c r="J446" i="50"/>
  <c r="N446" i="50"/>
  <c r="R446" i="50"/>
  <c r="B447" i="50"/>
  <c r="F447" i="50"/>
  <c r="J447" i="50"/>
  <c r="N447" i="50"/>
  <c r="R447" i="50"/>
  <c r="B448" i="50"/>
  <c r="F448" i="50"/>
  <c r="J448" i="50"/>
  <c r="R448" i="50"/>
  <c r="B449" i="50"/>
  <c r="F449" i="50"/>
  <c r="J449" i="50"/>
  <c r="N449" i="50"/>
  <c r="B450" i="50"/>
  <c r="J450" i="50"/>
  <c r="B451" i="50"/>
  <c r="N451" i="50"/>
  <c r="J452" i="50"/>
  <c r="N453" i="50"/>
  <c r="R455" i="50"/>
  <c r="R457" i="50"/>
  <c r="B460" i="50"/>
  <c r="D1" i="41"/>
  <c r="Z35" i="50"/>
  <c r="Y713" i="50"/>
  <c r="X34" i="50"/>
  <c r="W32" i="50"/>
  <c r="AA34" i="50"/>
  <c r="V32" i="50"/>
  <c r="Y32" i="50"/>
  <c r="AA714" i="50"/>
  <c r="W714" i="50"/>
  <c r="Z715" i="50"/>
  <c r="Y715" i="50"/>
  <c r="W716" i="50"/>
  <c r="Z714" i="50"/>
  <c r="V707" i="50"/>
  <c r="Z716" i="50"/>
  <c r="Y28" i="50"/>
  <c r="Y708" i="50"/>
  <c r="W28" i="50"/>
  <c r="V708" i="50"/>
  <c r="X27" i="50"/>
  <c r="W779" i="50"/>
  <c r="V779" i="50"/>
  <c r="X41" i="50"/>
  <c r="Z34" i="50"/>
  <c r="V713" i="50"/>
  <c r="X33" i="50"/>
  <c r="X713" i="50"/>
  <c r="W35" i="50"/>
  <c r="AA33" i="50"/>
  <c r="V35" i="50"/>
  <c r="Z713" i="50"/>
  <c r="Y35" i="50"/>
  <c r="Y712" i="50"/>
  <c r="X716" i="50"/>
  <c r="X715" i="50"/>
  <c r="AA715" i="50"/>
  <c r="V716" i="50"/>
  <c r="V712" i="50"/>
  <c r="W715" i="50"/>
  <c r="Y27" i="50"/>
  <c r="X779" i="50"/>
  <c r="W27" i="50"/>
  <c r="Z44" i="50"/>
  <c r="X709" i="50"/>
  <c r="Y44" i="50"/>
  <c r="Z33" i="50"/>
  <c r="X32" i="50"/>
  <c r="W34" i="50"/>
  <c r="AA32" i="50"/>
  <c r="W713" i="50"/>
  <c r="V34" i="50"/>
  <c r="AA713" i="50"/>
  <c r="Y34" i="50"/>
  <c r="Z712" i="50"/>
  <c r="Y707" i="50"/>
  <c r="AA712" i="50"/>
  <c r="Y714" i="50"/>
  <c r="AA707" i="50"/>
  <c r="Z707" i="50"/>
  <c r="AA716" i="50"/>
  <c r="V715" i="50"/>
  <c r="W707" i="50"/>
  <c r="W709" i="50"/>
  <c r="V28" i="50"/>
  <c r="Z28" i="50"/>
  <c r="V44" i="50"/>
  <c r="W44" i="50"/>
  <c r="AA28" i="50"/>
  <c r="Z709" i="50"/>
  <c r="AA709" i="50"/>
  <c r="Z779" i="50"/>
  <c r="Z41" i="50"/>
  <c r="X708" i="50"/>
  <c r="AA44" i="50"/>
  <c r="Y41" i="50"/>
  <c r="Y779" i="50"/>
  <c r="Z32" i="50"/>
  <c r="X35" i="50"/>
  <c r="W33" i="50"/>
  <c r="AA35" i="50"/>
  <c r="V33" i="50"/>
  <c r="Y33" i="50"/>
  <c r="X707" i="50"/>
  <c r="V714" i="50"/>
  <c r="W712" i="50"/>
  <c r="X712" i="50"/>
  <c r="X714" i="50"/>
  <c r="Y716" i="50"/>
  <c r="W708" i="50"/>
  <c r="V41" i="50"/>
  <c r="AA27" i="50"/>
  <c r="AA708" i="50"/>
  <c r="X28" i="50"/>
  <c r="V27" i="50"/>
  <c r="V709" i="50"/>
  <c r="X44" i="50"/>
  <c r="Z27" i="50"/>
  <c r="W41" i="50"/>
  <c r="Y709" i="50"/>
  <c r="AA41" i="50"/>
  <c r="Z708" i="50"/>
  <c r="AA779" i="50"/>
  <c r="X824" i="50"/>
  <c r="Z824" i="50"/>
  <c r="AA711" i="50"/>
  <c r="X711" i="50"/>
  <c r="X858" i="50"/>
  <c r="AA38" i="50"/>
  <c r="Z38" i="50"/>
  <c r="AA862" i="50"/>
  <c r="Z790" i="50"/>
  <c r="Y790" i="50"/>
  <c r="V776" i="50"/>
  <c r="W751" i="50"/>
  <c r="Y751" i="50"/>
  <c r="Z742" i="50"/>
  <c r="X742" i="50"/>
  <c r="W871" i="50"/>
  <c r="Y758" i="50"/>
  <c r="X758" i="50"/>
  <c r="AA823" i="50"/>
  <c r="Z48" i="50"/>
  <c r="W48" i="50"/>
  <c r="W42" i="50"/>
  <c r="X869" i="50"/>
  <c r="W869" i="50"/>
  <c r="AA856" i="50"/>
  <c r="W856" i="50"/>
  <c r="V23" i="50"/>
  <c r="W23" i="50"/>
  <c r="Z791" i="50"/>
  <c r="X825" i="50"/>
  <c r="V825" i="50"/>
  <c r="W783" i="50"/>
  <c r="Z757" i="50"/>
  <c r="V788" i="50"/>
  <c r="AA746" i="50"/>
  <c r="X746" i="50"/>
  <c r="W827" i="50"/>
  <c r="AA864" i="50"/>
  <c r="Z864" i="50"/>
  <c r="W748" i="50"/>
  <c r="X748" i="50"/>
  <c r="X878" i="50"/>
  <c r="W878" i="50"/>
  <c r="W853" i="50"/>
  <c r="X853" i="50"/>
  <c r="V29" i="50"/>
  <c r="X29" i="50"/>
  <c r="V855" i="50"/>
  <c r="AA855" i="50"/>
  <c r="V782" i="50"/>
  <c r="Y747" i="50"/>
  <c r="AA747" i="50"/>
  <c r="Z741" i="50"/>
  <c r="X36" i="50"/>
  <c r="Y36" i="50"/>
  <c r="AA822" i="50"/>
  <c r="X822" i="50"/>
  <c r="Z711" i="50"/>
  <c r="Y858" i="50"/>
  <c r="Y38" i="50"/>
  <c r="V38" i="50"/>
  <c r="V862" i="50"/>
  <c r="W790" i="50"/>
  <c r="V790" i="50"/>
  <c r="X776" i="50"/>
  <c r="AA751" i="50"/>
  <c r="V742" i="50"/>
  <c r="X871" i="50"/>
  <c r="V758" i="50"/>
  <c r="Z758" i="50"/>
  <c r="V823" i="50"/>
  <c r="Y48" i="50"/>
  <c r="Y42" i="50"/>
  <c r="X42" i="50"/>
  <c r="V869" i="50"/>
  <c r="AA869" i="50"/>
  <c r="V856" i="50"/>
  <c r="X23" i="50"/>
  <c r="Y825" i="50"/>
  <c r="Z783" i="50"/>
  <c r="V757" i="50"/>
  <c r="X757" i="50"/>
  <c r="Z788" i="50"/>
  <c r="Z746" i="50"/>
  <c r="X827" i="50"/>
  <c r="AA827" i="50"/>
  <c r="Y748" i="50"/>
  <c r="Z878" i="50"/>
  <c r="Y853" i="50"/>
  <c r="Z853" i="50"/>
  <c r="Z29" i="50"/>
  <c r="W855" i="50"/>
  <c r="X855" i="50"/>
  <c r="Y782" i="50"/>
  <c r="X782" i="50"/>
  <c r="X741" i="50"/>
  <c r="W36" i="50"/>
  <c r="W822" i="50"/>
  <c r="Z45" i="50"/>
  <c r="V45" i="50"/>
  <c r="V865" i="50"/>
  <c r="W865" i="50"/>
  <c r="Z880" i="50"/>
  <c r="V51" i="50"/>
  <c r="Y51" i="50"/>
  <c r="Z829" i="50"/>
  <c r="X857" i="50"/>
  <c r="AA857" i="50"/>
  <c r="W882" i="50"/>
  <c r="AA752" i="50"/>
  <c r="X26" i="50"/>
  <c r="W26" i="50"/>
  <c r="Y849" i="50"/>
  <c r="Y47" i="50"/>
  <c r="W47" i="50"/>
  <c r="Z816" i="50"/>
  <c r="Y816" i="50"/>
  <c r="Y860" i="50"/>
  <c r="W828" i="50"/>
  <c r="Z828" i="50"/>
  <c r="X850" i="50"/>
  <c r="V850" i="50"/>
  <c r="X820" i="50"/>
  <c r="AA3" i="50"/>
  <c r="V3" i="50"/>
  <c r="X818" i="50"/>
  <c r="V818" i="50"/>
  <c r="Z43" i="50"/>
  <c r="V43" i="50"/>
  <c r="Z875" i="50"/>
  <c r="Y780" i="50"/>
  <c r="W780" i="50"/>
  <c r="Y789" i="50"/>
  <c r="X9" i="50"/>
  <c r="Z52" i="50"/>
  <c r="Y52" i="50"/>
  <c r="AA760" i="50"/>
  <c r="W760" i="50"/>
  <c r="W874" i="50"/>
  <c r="Y874" i="50"/>
  <c r="Z744" i="50"/>
  <c r="Y744" i="50"/>
  <c r="W4" i="50"/>
  <c r="V819" i="50"/>
  <c r="Y873" i="50"/>
  <c r="X873" i="50"/>
  <c r="AA40" i="50"/>
  <c r="W762" i="50"/>
  <c r="Z866" i="50"/>
  <c r="AA884" i="50"/>
  <c r="X884" i="50"/>
  <c r="X792" i="50"/>
  <c r="Y792" i="50"/>
  <c r="AA778" i="50"/>
  <c r="Z778" i="50"/>
  <c r="AA8" i="50"/>
  <c r="X24" i="50"/>
  <c r="V24" i="50"/>
  <c r="AA756" i="50"/>
  <c r="W46" i="50"/>
  <c r="X830" i="50"/>
  <c r="Z761" i="50"/>
  <c r="X37" i="50"/>
  <c r="Y37" i="50"/>
  <c r="Z781" i="50"/>
  <c r="X794" i="50"/>
  <c r="AA794" i="50"/>
  <c r="AA851" i="50"/>
  <c r="Y851" i="50"/>
  <c r="Z868" i="50"/>
  <c r="W6" i="50"/>
  <c r="Z883" i="50"/>
  <c r="Y883" i="50"/>
  <c r="W872" i="50"/>
  <c r="Y872" i="50"/>
  <c r="X49" i="50"/>
  <c r="V824" i="50"/>
  <c r="V711" i="50"/>
  <c r="AA858" i="50"/>
  <c r="W862" i="50"/>
  <c r="Z751" i="50"/>
  <c r="W742" i="50"/>
  <c r="AA871" i="50"/>
  <c r="AA758" i="50"/>
  <c r="X823" i="50"/>
  <c r="AA48" i="50"/>
  <c r="AA42" i="50"/>
  <c r="Z856" i="50"/>
  <c r="Y23" i="50"/>
  <c r="Y791" i="50"/>
  <c r="AA825" i="50"/>
  <c r="V783" i="50"/>
  <c r="Y788" i="50"/>
  <c r="W746" i="50"/>
  <c r="Y827" i="50"/>
  <c r="Y864" i="50"/>
  <c r="V878" i="50"/>
  <c r="Y29" i="50"/>
  <c r="X747" i="50"/>
  <c r="Y741" i="50"/>
  <c r="Z36" i="50"/>
  <c r="W45" i="50"/>
  <c r="X45" i="50"/>
  <c r="Y865" i="50"/>
  <c r="V880" i="50"/>
  <c r="W880" i="50"/>
  <c r="V829" i="50"/>
  <c r="Y857" i="50"/>
  <c r="Z882" i="50"/>
  <c r="Y26" i="50"/>
  <c r="X849" i="50"/>
  <c r="Z849" i="50"/>
  <c r="V47" i="50"/>
  <c r="V816" i="50"/>
  <c r="AA860" i="50"/>
  <c r="V860" i="50"/>
  <c r="X828" i="50"/>
  <c r="AA850" i="50"/>
  <c r="Y820" i="50"/>
  <c r="AA820" i="50"/>
  <c r="Y818" i="50"/>
  <c r="AA875" i="50"/>
  <c r="X876" i="50"/>
  <c r="Z780" i="50"/>
  <c r="X789" i="50"/>
  <c r="Z9" i="50"/>
  <c r="W52" i="50"/>
  <c r="W824" i="50"/>
  <c r="Z858" i="50"/>
  <c r="X862" i="50"/>
  <c r="AA790" i="50"/>
  <c r="Y776" i="50"/>
  <c r="AA742" i="50"/>
  <c r="W823" i="50"/>
  <c r="X48" i="50"/>
  <c r="Y856" i="50"/>
  <c r="AA23" i="50"/>
  <c r="AA791" i="50"/>
  <c r="W825" i="50"/>
  <c r="X783" i="50"/>
  <c r="AA757" i="50"/>
  <c r="W788" i="50"/>
  <c r="V827" i="50"/>
  <c r="V748" i="50"/>
  <c r="Y878" i="50"/>
  <c r="AA29" i="50"/>
  <c r="Y855" i="50"/>
  <c r="Z782" i="50"/>
  <c r="V747" i="50"/>
  <c r="V741" i="50"/>
  <c r="V822" i="50"/>
  <c r="Z865" i="50"/>
  <c r="AA51" i="50"/>
  <c r="AA829" i="50"/>
  <c r="Y882" i="50"/>
  <c r="Y752" i="50"/>
  <c r="Z752" i="50"/>
  <c r="AA26" i="50"/>
  <c r="W849" i="50"/>
  <c r="X47" i="50"/>
  <c r="AA816" i="50"/>
  <c r="X860" i="50"/>
  <c r="Y828" i="50"/>
  <c r="W820" i="50"/>
  <c r="Z3" i="50"/>
  <c r="W818" i="50"/>
  <c r="Y43" i="50"/>
  <c r="V875" i="50"/>
  <c r="Y876" i="50"/>
  <c r="V780" i="50"/>
  <c r="W789" i="50"/>
  <c r="V9" i="50"/>
  <c r="X52" i="50"/>
  <c r="V760" i="50"/>
  <c r="X874" i="50"/>
  <c r="Y4" i="50"/>
  <c r="AA4" i="50"/>
  <c r="W819" i="50"/>
  <c r="V873" i="50"/>
  <c r="W873" i="50"/>
  <c r="W40" i="50"/>
  <c r="Z762" i="50"/>
  <c r="AA866" i="50"/>
  <c r="W884" i="50"/>
  <c r="Z792" i="50"/>
  <c r="W778" i="50"/>
  <c r="W8" i="50"/>
  <c r="V8" i="50"/>
  <c r="Y24" i="50"/>
  <c r="AA24" i="50"/>
  <c r="Y756" i="50"/>
  <c r="V46" i="50"/>
  <c r="Y830" i="50"/>
  <c r="W830" i="50"/>
  <c r="X761" i="50"/>
  <c r="W37" i="50"/>
  <c r="AA37" i="50"/>
  <c r="Y794" i="50"/>
  <c r="X743" i="50"/>
  <c r="V743" i="50"/>
  <c r="Z851" i="50"/>
  <c r="Y868" i="50"/>
  <c r="X6" i="50"/>
  <c r="V883" i="50"/>
  <c r="Z872" i="50"/>
  <c r="Y49" i="50"/>
  <c r="AA49" i="50"/>
  <c r="V852" i="50"/>
  <c r="X5" i="50"/>
  <c r="AA710" i="50"/>
  <c r="Z710" i="50"/>
  <c r="Z821" i="50"/>
  <c r="V821" i="50"/>
  <c r="AA30" i="50"/>
  <c r="V781" i="50"/>
  <c r="Z759" i="50"/>
  <c r="V50" i="50"/>
  <c r="W50" i="50"/>
  <c r="AA755" i="50"/>
  <c r="W787" i="50"/>
  <c r="Z854" i="50"/>
  <c r="V746" i="50"/>
  <c r="AA750" i="50"/>
  <c r="Y750" i="50"/>
  <c r="W795" i="50"/>
  <c r="X826" i="50"/>
  <c r="Z826" i="50"/>
  <c r="W879" i="50"/>
  <c r="W877" i="50"/>
  <c r="Z877" i="50"/>
  <c r="W784" i="50"/>
  <c r="Z784" i="50"/>
  <c r="V785" i="50"/>
  <c r="Z881" i="50"/>
  <c r="Y754" i="50"/>
  <c r="W754" i="50"/>
  <c r="W31" i="50"/>
  <c r="Y31" i="50"/>
  <c r="V867" i="50"/>
  <c r="AA793" i="50"/>
  <c r="Y793" i="50"/>
  <c r="AA25" i="50"/>
  <c r="AA796" i="50"/>
  <c r="V796" i="50"/>
  <c r="W745" i="50"/>
  <c r="Y745" i="50"/>
  <c r="Z848" i="50"/>
  <c r="AA817" i="50"/>
  <c r="Z817" i="50"/>
  <c r="X847" i="50"/>
  <c r="AA847" i="50"/>
  <c r="V870" i="50"/>
  <c r="Y870" i="50"/>
  <c r="V863" i="50"/>
  <c r="Y711" i="50"/>
  <c r="X790" i="50"/>
  <c r="V871" i="50"/>
  <c r="V48" i="50"/>
  <c r="Z42" i="50"/>
  <c r="Y869" i="50"/>
  <c r="X856" i="50"/>
  <c r="W791" i="50"/>
  <c r="Y757" i="50"/>
  <c r="Y746" i="50"/>
  <c r="W864" i="50"/>
  <c r="W782" i="50"/>
  <c r="AA36" i="50"/>
  <c r="Y45" i="50"/>
  <c r="AA880" i="50"/>
  <c r="W51" i="50"/>
  <c r="X829" i="50"/>
  <c r="AA882" i="50"/>
  <c r="X752" i="50"/>
  <c r="V26" i="50"/>
  <c r="W816" i="50"/>
  <c r="Z860" i="50"/>
  <c r="Z850" i="50"/>
  <c r="Z820" i="50"/>
  <c r="W3" i="50"/>
  <c r="AA818" i="50"/>
  <c r="W875" i="50"/>
  <c r="V876" i="50"/>
  <c r="AA780" i="50"/>
  <c r="AA789" i="50"/>
  <c r="AA52" i="50"/>
  <c r="AA874" i="50"/>
  <c r="V744" i="50"/>
  <c r="X4" i="50"/>
  <c r="Y819" i="50"/>
  <c r="Z40" i="50"/>
  <c r="X762" i="50"/>
  <c r="Y866" i="50"/>
  <c r="Z884" i="50"/>
  <c r="V792" i="50"/>
  <c r="Y8" i="50"/>
  <c r="W24" i="50"/>
  <c r="X756" i="50"/>
  <c r="Y46" i="50"/>
  <c r="Z830" i="50"/>
  <c r="AA761" i="50"/>
  <c r="Z37" i="50"/>
  <c r="Y781" i="50"/>
  <c r="Z794" i="50"/>
  <c r="Y743" i="50"/>
  <c r="W851" i="50"/>
  <c r="V868" i="50"/>
  <c r="Z852" i="50"/>
  <c r="X710" i="50"/>
  <c r="W710" i="50"/>
  <c r="X821" i="50"/>
  <c r="W30" i="50"/>
  <c r="AA759" i="50"/>
  <c r="X759" i="50"/>
  <c r="Z755" i="50"/>
  <c r="V787" i="50"/>
  <c r="V854" i="50"/>
  <c r="W750" i="50"/>
  <c r="V795" i="50"/>
  <c r="V879" i="50"/>
  <c r="Y877" i="50"/>
  <c r="AA877" i="50"/>
  <c r="X784" i="50"/>
  <c r="Y785" i="50"/>
  <c r="X785" i="50"/>
  <c r="V881" i="50"/>
  <c r="Z754" i="50"/>
  <c r="AA867" i="50"/>
  <c r="Z867" i="50"/>
  <c r="W793" i="50"/>
  <c r="Z25" i="50"/>
  <c r="V25" i="50"/>
  <c r="W796" i="50"/>
  <c r="AA745" i="50"/>
  <c r="W817" i="50"/>
  <c r="Y847" i="50"/>
  <c r="Z870" i="50"/>
  <c r="AA863" i="50"/>
  <c r="Y777" i="50"/>
  <c r="V777" i="50"/>
  <c r="V753" i="50"/>
  <c r="Y749" i="50"/>
  <c r="AA786" i="50"/>
  <c r="Z786" i="50"/>
  <c r="V39" i="50"/>
  <c r="AA861" i="50"/>
  <c r="V861" i="50"/>
  <c r="X7" i="50"/>
  <c r="W249" i="50"/>
  <c r="Y249" i="50"/>
  <c r="Y259" i="50"/>
  <c r="W259" i="50"/>
  <c r="W738" i="50"/>
  <c r="Z738" i="50"/>
  <c r="Z380" i="50"/>
  <c r="X380" i="50"/>
  <c r="AA184" i="50"/>
  <c r="X184" i="50"/>
  <c r="V233" i="50"/>
  <c r="AA309" i="50"/>
  <c r="Y309" i="50"/>
  <c r="V121" i="50"/>
  <c r="Z280" i="50"/>
  <c r="X280" i="50"/>
  <c r="Y824" i="50"/>
  <c r="V858" i="50"/>
  <c r="Z862" i="50"/>
  <c r="X751" i="50"/>
  <c r="Z871" i="50"/>
  <c r="Z23" i="50"/>
  <c r="V791" i="50"/>
  <c r="AA853" i="50"/>
  <c r="Z747" i="50"/>
  <c r="AA741" i="50"/>
  <c r="Z822" i="50"/>
  <c r="X880" i="50"/>
  <c r="W829" i="50"/>
  <c r="X882" i="50"/>
  <c r="Z26" i="50"/>
  <c r="AA849" i="50"/>
  <c r="X816" i="50"/>
  <c r="AA828" i="50"/>
  <c r="X3" i="50"/>
  <c r="AA43" i="50"/>
  <c r="X875" i="50"/>
  <c r="W876" i="50"/>
  <c r="W9" i="50"/>
  <c r="W744" i="50"/>
  <c r="AA873" i="50"/>
  <c r="V40" i="50"/>
  <c r="X866" i="50"/>
  <c r="Y778" i="50"/>
  <c r="Z8" i="50"/>
  <c r="Z24" i="50"/>
  <c r="W756" i="50"/>
  <c r="AA830" i="50"/>
  <c r="X781" i="50"/>
  <c r="Z743" i="50"/>
  <c r="V851" i="50"/>
  <c r="W868" i="50"/>
  <c r="Z6" i="50"/>
  <c r="X872" i="50"/>
  <c r="X852" i="50"/>
  <c r="W5" i="50"/>
  <c r="Y710" i="50"/>
  <c r="W821" i="50"/>
  <c r="Y30" i="50"/>
  <c r="V759" i="50"/>
  <c r="Y50" i="50"/>
  <c r="W755" i="50"/>
  <c r="Y755" i="50"/>
  <c r="AA787" i="50"/>
  <c r="X854" i="50"/>
  <c r="X750" i="50"/>
  <c r="Z795" i="50"/>
  <c r="X795" i="50"/>
  <c r="Y826" i="50"/>
  <c r="X879" i="50"/>
  <c r="AA784" i="50"/>
  <c r="W785" i="50"/>
  <c r="Y881" i="50"/>
  <c r="AA824" i="50"/>
  <c r="W858" i="50"/>
  <c r="W38" i="50"/>
  <c r="Z776" i="50"/>
  <c r="V751" i="50"/>
  <c r="Y871" i="50"/>
  <c r="Y823" i="50"/>
  <c r="Z825" i="50"/>
  <c r="Z748" i="50"/>
  <c r="W29" i="50"/>
  <c r="W747" i="50"/>
  <c r="W741" i="50"/>
  <c r="Y822" i="50"/>
  <c r="X865" i="50"/>
  <c r="Z51" i="50"/>
  <c r="V857" i="50"/>
  <c r="V882" i="50"/>
  <c r="V752" i="50"/>
  <c r="W860" i="50"/>
  <c r="W850" i="50"/>
  <c r="Y3" i="50"/>
  <c r="W43" i="50"/>
  <c r="AA876" i="50"/>
  <c r="AA9" i="50"/>
  <c r="Z760" i="50"/>
  <c r="X744" i="50"/>
  <c r="Z4" i="50"/>
  <c r="AA819" i="50"/>
  <c r="Z873" i="50"/>
  <c r="Y40" i="50"/>
  <c r="Y762" i="50"/>
  <c r="W866" i="50"/>
  <c r="AA792" i="50"/>
  <c r="V778" i="50"/>
  <c r="V756" i="50"/>
  <c r="X46" i="50"/>
  <c r="V830" i="50"/>
  <c r="Y761" i="50"/>
  <c r="W781" i="50"/>
  <c r="W743" i="50"/>
  <c r="X851" i="50"/>
  <c r="AA868" i="50"/>
  <c r="W883" i="50"/>
  <c r="W49" i="50"/>
  <c r="W852" i="50"/>
  <c r="V5" i="50"/>
  <c r="V710" i="50"/>
  <c r="Z30" i="50"/>
  <c r="Y759" i="50"/>
  <c r="Z50" i="50"/>
  <c r="X755" i="50"/>
  <c r="Y787" i="50"/>
  <c r="AA854" i="50"/>
  <c r="Z750" i="50"/>
  <c r="Y795" i="50"/>
  <c r="W826" i="50"/>
  <c r="AA879" i="50"/>
  <c r="Y784" i="50"/>
  <c r="AA785" i="50"/>
  <c r="AA881" i="50"/>
  <c r="V754" i="50"/>
  <c r="X31" i="50"/>
  <c r="W711" i="50"/>
  <c r="AA776" i="50"/>
  <c r="W758" i="50"/>
  <c r="Z823" i="50"/>
  <c r="V42" i="50"/>
  <c r="Y783" i="50"/>
  <c r="W757" i="50"/>
  <c r="AA788" i="50"/>
  <c r="Z827" i="50"/>
  <c r="V864" i="50"/>
  <c r="AA748" i="50"/>
  <c r="V853" i="50"/>
  <c r="Z855" i="50"/>
  <c r="V36" i="50"/>
  <c r="AA45" i="50"/>
  <c r="AA865" i="50"/>
  <c r="X51" i="50"/>
  <c r="Z857" i="50"/>
  <c r="W752" i="50"/>
  <c r="Z47" i="50"/>
  <c r="Y850" i="50"/>
  <c r="Z818" i="50"/>
  <c r="X43" i="50"/>
  <c r="V789" i="50"/>
  <c r="Y9" i="50"/>
  <c r="Y760" i="50"/>
  <c r="V874" i="50"/>
  <c r="AA744" i="50"/>
  <c r="Z819" i="50"/>
  <c r="X40" i="50"/>
  <c r="V762" i="50"/>
  <c r="Y884" i="50"/>
  <c r="W792" i="50"/>
  <c r="X778" i="50"/>
  <c r="Z46" i="50"/>
  <c r="V761" i="50"/>
  <c r="V37" i="50"/>
  <c r="W794" i="50"/>
  <c r="V6" i="50"/>
  <c r="X883" i="50"/>
  <c r="AA872" i="50"/>
  <c r="V49" i="50"/>
  <c r="AA852" i="50"/>
  <c r="AA5" i="50"/>
  <c r="AA821" i="50"/>
  <c r="V30" i="50"/>
  <c r="AA50" i="50"/>
  <c r="Z787" i="50"/>
  <c r="W854" i="50"/>
  <c r="V750" i="50"/>
  <c r="AA795" i="50"/>
  <c r="AA826" i="50"/>
  <c r="Y879" i="50"/>
  <c r="V877" i="50"/>
  <c r="Z785" i="50"/>
  <c r="X881" i="50"/>
  <c r="AA31" i="50"/>
  <c r="X867" i="50"/>
  <c r="Y25" i="50"/>
  <c r="Z796" i="50"/>
  <c r="V745" i="50"/>
  <c r="V848" i="50"/>
  <c r="V817" i="50"/>
  <c r="Z847" i="50"/>
  <c r="AA870" i="50"/>
  <c r="Y863" i="50"/>
  <c r="W777" i="50"/>
  <c r="X753" i="50"/>
  <c r="W749" i="50"/>
  <c r="V749" i="50"/>
  <c r="Y786" i="50"/>
  <c r="X859" i="50"/>
  <c r="Y859" i="50"/>
  <c r="X39" i="50"/>
  <c r="W861" i="50"/>
  <c r="Y7" i="50"/>
  <c r="AA249" i="50"/>
  <c r="X249" i="50"/>
  <c r="V259" i="50"/>
  <c r="X738" i="50"/>
  <c r="V380" i="50"/>
  <c r="Y184" i="50"/>
  <c r="W233" i="50"/>
  <c r="W309" i="50"/>
  <c r="X121" i="50"/>
  <c r="Y331" i="50"/>
  <c r="AA331" i="50"/>
  <c r="AA100" i="50"/>
  <c r="Y100" i="50"/>
  <c r="Z152" i="50"/>
  <c r="V164" i="50"/>
  <c r="AA539" i="50"/>
  <c r="Y539" i="50"/>
  <c r="AA359" i="50"/>
  <c r="Y359" i="50"/>
  <c r="Y101" i="50"/>
  <c r="W101" i="50"/>
  <c r="AA216" i="50"/>
  <c r="AA79" i="50"/>
  <c r="Y79" i="50"/>
  <c r="V91" i="50"/>
  <c r="Y470" i="50"/>
  <c r="W470" i="50"/>
  <c r="AA601" i="50"/>
  <c r="W284" i="50"/>
  <c r="AA377" i="50"/>
  <c r="Z736" i="50"/>
  <c r="Z683" i="50"/>
  <c r="W683" i="50"/>
  <c r="Z344" i="50"/>
  <c r="X344" i="50"/>
  <c r="AA69" i="50"/>
  <c r="AA412" i="50"/>
  <c r="Y412" i="50"/>
  <c r="X658" i="50"/>
  <c r="V658" i="50"/>
  <c r="X831" i="50"/>
  <c r="Z831" i="50"/>
  <c r="Y531" i="50"/>
  <c r="Z531" i="50"/>
  <c r="W68" i="50"/>
  <c r="AA157" i="50"/>
  <c r="Y157" i="50"/>
  <c r="Z665" i="50"/>
  <c r="X38" i="50"/>
  <c r="Y862" i="50"/>
  <c r="W776" i="50"/>
  <c r="Y742" i="50"/>
  <c r="Z869" i="50"/>
  <c r="X791" i="50"/>
  <c r="AA783" i="50"/>
  <c r="X788" i="50"/>
  <c r="X864" i="50"/>
  <c r="AA878" i="50"/>
  <c r="AA782" i="50"/>
  <c r="Y880" i="50"/>
  <c r="Y829" i="50"/>
  <c r="W857" i="50"/>
  <c r="V849" i="50"/>
  <c r="AA47" i="50"/>
  <c r="V828" i="50"/>
  <c r="V820" i="50"/>
  <c r="Y875" i="50"/>
  <c r="Z876" i="50"/>
  <c r="X780" i="50"/>
  <c r="Z789" i="50"/>
  <c r="V52" i="50"/>
  <c r="Z874" i="50"/>
  <c r="V4" i="50"/>
  <c r="X819" i="50"/>
  <c r="AA762" i="50"/>
  <c r="V866" i="50"/>
  <c r="V884" i="50"/>
  <c r="X8" i="50"/>
  <c r="Z756" i="50"/>
  <c r="AA46" i="50"/>
  <c r="W761" i="50"/>
  <c r="AA781" i="50"/>
  <c r="V794" i="50"/>
  <c r="X868" i="50"/>
  <c r="AA6" i="50"/>
  <c r="AA883" i="50"/>
  <c r="V872" i="50"/>
  <c r="Z49" i="50"/>
  <c r="Y5" i="50"/>
  <c r="X30" i="50"/>
  <c r="X787" i="50"/>
  <c r="Z879" i="50"/>
  <c r="V31" i="50"/>
  <c r="X793" i="50"/>
  <c r="Y796" i="50"/>
  <c r="X745" i="50"/>
  <c r="AA848" i="50"/>
  <c r="W847" i="50"/>
  <c r="Y6" i="50"/>
  <c r="Z777" i="50"/>
  <c r="Y753" i="50"/>
  <c r="Z749" i="50"/>
  <c r="W786" i="50"/>
  <c r="AA859" i="50"/>
  <c r="AA39" i="50"/>
  <c r="Y861" i="50"/>
  <c r="Z7" i="50"/>
  <c r="Z249" i="50"/>
  <c r="AA259" i="50"/>
  <c r="Y380" i="50"/>
  <c r="W184" i="50"/>
  <c r="AA233" i="50"/>
  <c r="Z309" i="50"/>
  <c r="Z121" i="50"/>
  <c r="AA280" i="50"/>
  <c r="W331" i="50"/>
  <c r="X100" i="50"/>
  <c r="X152" i="50"/>
  <c r="Z164" i="50"/>
  <c r="W539" i="50"/>
  <c r="X539" i="50"/>
  <c r="Z216" i="50"/>
  <c r="X216" i="50"/>
  <c r="X91" i="50"/>
  <c r="V470" i="50"/>
  <c r="Y601" i="50"/>
  <c r="Z601" i="50"/>
  <c r="Z284" i="50"/>
  <c r="W377" i="50"/>
  <c r="V736" i="50"/>
  <c r="V683" i="50"/>
  <c r="AA683" i="50"/>
  <c r="Y344" i="50"/>
  <c r="X69" i="50"/>
  <c r="AA658" i="50"/>
  <c r="AA531" i="50"/>
  <c r="X68" i="50"/>
  <c r="V157" i="50"/>
  <c r="V665" i="50"/>
  <c r="V277" i="50"/>
  <c r="X728" i="50"/>
  <c r="V728" i="50"/>
  <c r="Z533" i="50"/>
  <c r="W533" i="50"/>
  <c r="W721" i="50"/>
  <c r="Y721" i="50"/>
  <c r="Y336" i="50"/>
  <c r="AA143" i="50"/>
  <c r="Y143" i="50"/>
  <c r="Z643" i="50"/>
  <c r="X527" i="50"/>
  <c r="Z527" i="50"/>
  <c r="W447" i="50"/>
  <c r="V637" i="50"/>
  <c r="Y637" i="50"/>
  <c r="Z772" i="50"/>
  <c r="X772" i="50"/>
  <c r="X609" i="50"/>
  <c r="W687" i="50"/>
  <c r="V687" i="50"/>
  <c r="W538" i="50"/>
  <c r="X413" i="50"/>
  <c r="Z413" i="50"/>
  <c r="Z734" i="50"/>
  <c r="AA226" i="50"/>
  <c r="V432" i="50"/>
  <c r="AA432" i="50"/>
  <c r="V373" i="50"/>
  <c r="Z427" i="50"/>
  <c r="Y156" i="50"/>
  <c r="Z156" i="50"/>
  <c r="X532" i="50"/>
  <c r="V532" i="50"/>
  <c r="AA595" i="50"/>
  <c r="AA570" i="50"/>
  <c r="Y570" i="50"/>
  <c r="AA62" i="50"/>
  <c r="Y62" i="50"/>
  <c r="AA71" i="50"/>
  <c r="Z519" i="50"/>
  <c r="X519" i="50"/>
  <c r="X177" i="50"/>
  <c r="V812" i="50"/>
  <c r="X812" i="50"/>
  <c r="V104" i="50"/>
  <c r="AA104" i="50"/>
  <c r="X103" i="50"/>
  <c r="Z103" i="50"/>
  <c r="W217" i="50"/>
  <c r="V494" i="50"/>
  <c r="X494" i="50"/>
  <c r="V612" i="50"/>
  <c r="Y612" i="50"/>
  <c r="V339" i="50"/>
  <c r="X372" i="50"/>
  <c r="V372" i="50"/>
  <c r="V659" i="50"/>
  <c r="AA659" i="50"/>
  <c r="AA316" i="50"/>
  <c r="X307" i="50"/>
  <c r="V307" i="50"/>
  <c r="W496" i="50"/>
  <c r="X765" i="50"/>
  <c r="V765" i="50"/>
  <c r="X265" i="50"/>
  <c r="V265" i="50"/>
  <c r="AA323" i="50"/>
  <c r="Y323" i="50"/>
  <c r="AA313" i="50"/>
  <c r="X764" i="50"/>
  <c r="V764" i="50"/>
  <c r="W580" i="50"/>
  <c r="Y580" i="50"/>
  <c r="X194" i="50"/>
  <c r="V194" i="50"/>
  <c r="Z509" i="50"/>
  <c r="V267" i="50"/>
  <c r="AA254" i="50"/>
  <c r="Y242" i="50"/>
  <c r="W242" i="50"/>
  <c r="W340" i="50"/>
  <c r="Z340" i="50"/>
  <c r="Z592" i="50"/>
  <c r="X592" i="50"/>
  <c r="W324" i="50"/>
  <c r="AA214" i="50"/>
  <c r="Z662" i="50"/>
  <c r="W290" i="50"/>
  <c r="Y290" i="50"/>
  <c r="AA422" i="50"/>
  <c r="Z422" i="50"/>
  <c r="X415" i="50"/>
  <c r="V495" i="50"/>
  <c r="AA370" i="50"/>
  <c r="Y370" i="50"/>
  <c r="V548" i="50"/>
  <c r="X548" i="50"/>
  <c r="W430" i="50"/>
  <c r="AA300" i="50"/>
  <c r="Y474" i="50"/>
  <c r="AA474" i="50"/>
  <c r="Z295" i="50"/>
  <c r="X295" i="50"/>
  <c r="W521" i="50"/>
  <c r="Y374" i="50"/>
  <c r="Z374" i="50"/>
  <c r="Z245" i="50"/>
  <c r="Z811" i="50"/>
  <c r="X811" i="50"/>
  <c r="Y852" i="50"/>
  <c r="X50" i="50"/>
  <c r="V826" i="50"/>
  <c r="X877" i="50"/>
  <c r="W881" i="50"/>
  <c r="Z31" i="50"/>
  <c r="V793" i="50"/>
  <c r="Y848" i="50"/>
  <c r="Z863" i="50"/>
  <c r="AA753" i="50"/>
  <c r="AA749" i="50"/>
  <c r="V786" i="50"/>
  <c r="W859" i="50"/>
  <c r="W39" i="50"/>
  <c r="Z861" i="50"/>
  <c r="W7" i="50"/>
  <c r="Z259" i="50"/>
  <c r="V738" i="50"/>
  <c r="Z233" i="50"/>
  <c r="Y121" i="50"/>
  <c r="W280" i="50"/>
  <c r="Z331" i="50"/>
  <c r="W100" i="50"/>
  <c r="Y152" i="50"/>
  <c r="Y164" i="50"/>
  <c r="Z539" i="50"/>
  <c r="W359" i="50"/>
  <c r="X359" i="50"/>
  <c r="X101" i="50"/>
  <c r="W216" i="50"/>
  <c r="W79" i="50"/>
  <c r="X79" i="50"/>
  <c r="AA91" i="50"/>
  <c r="V601" i="50"/>
  <c r="Y284" i="50"/>
  <c r="V377" i="50"/>
  <c r="X736" i="50"/>
  <c r="Y736" i="50"/>
  <c r="Y683" i="50"/>
  <c r="AA344" i="50"/>
  <c r="W69" i="50"/>
  <c r="W412" i="50"/>
  <c r="X412" i="50"/>
  <c r="W658" i="50"/>
  <c r="W831" i="50"/>
  <c r="Y831" i="50"/>
  <c r="W531" i="50"/>
  <c r="V68" i="50"/>
  <c r="AA68" i="50"/>
  <c r="Z157" i="50"/>
  <c r="X665" i="50"/>
  <c r="Y665" i="50"/>
  <c r="X277" i="50"/>
  <c r="Z277" i="50"/>
  <c r="AA728" i="50"/>
  <c r="Y728" i="50"/>
  <c r="AA533" i="50"/>
  <c r="V721" i="50"/>
  <c r="V336" i="50"/>
  <c r="X336" i="50"/>
  <c r="W143" i="50"/>
  <c r="X643" i="50"/>
  <c r="V643" i="50"/>
  <c r="AA527" i="50"/>
  <c r="V447" i="50"/>
  <c r="X447" i="50"/>
  <c r="Z637" i="50"/>
  <c r="V772" i="50"/>
  <c r="W609" i="50"/>
  <c r="AA687" i="50"/>
  <c r="Y687" i="50"/>
  <c r="AA538" i="50"/>
  <c r="Y538" i="50"/>
  <c r="W413" i="50"/>
  <c r="Y734" i="50"/>
  <c r="W734" i="50"/>
  <c r="X226" i="50"/>
  <c r="V226" i="50"/>
  <c r="Y432" i="50"/>
  <c r="W432" i="50"/>
  <c r="Y373" i="50"/>
  <c r="X427" i="50"/>
  <c r="V427" i="50"/>
  <c r="W156" i="50"/>
  <c r="AA532" i="50"/>
  <c r="Z595" i="50"/>
  <c r="V595" i="50"/>
  <c r="V570" i="50"/>
  <c r="W62" i="50"/>
  <c r="Z71" i="50"/>
  <c r="X71" i="50"/>
  <c r="V519" i="50"/>
  <c r="Z177" i="50"/>
  <c r="Z812" i="50"/>
  <c r="W812" i="50"/>
  <c r="Y104" i="50"/>
  <c r="W104" i="50"/>
  <c r="W103" i="50"/>
  <c r="X217" i="50"/>
  <c r="Z217" i="50"/>
  <c r="Z494" i="50"/>
  <c r="W494" i="50"/>
  <c r="AA339" i="50"/>
  <c r="Y339" i="50"/>
  <c r="AA372" i="50"/>
  <c r="Y659" i="50"/>
  <c r="W659" i="50"/>
  <c r="Y316" i="50"/>
  <c r="V316" i="50"/>
  <c r="AA307" i="50"/>
  <c r="AA496" i="50"/>
  <c r="AA765" i="50"/>
  <c r="Y765" i="50"/>
  <c r="Y265" i="50"/>
  <c r="V323" i="50"/>
  <c r="Y313" i="50"/>
  <c r="W313" i="50"/>
  <c r="AA764" i="50"/>
  <c r="Y764" i="50"/>
  <c r="V580" i="50"/>
  <c r="X580" i="50"/>
  <c r="AA194" i="50"/>
  <c r="AA509" i="50"/>
  <c r="X509" i="50"/>
  <c r="X267" i="50"/>
  <c r="AA267" i="50"/>
  <c r="W254" i="50"/>
  <c r="Z242" i="50"/>
  <c r="AA340" i="50"/>
  <c r="V592" i="50"/>
  <c r="Z324" i="50"/>
  <c r="X324" i="50"/>
  <c r="Z214" i="50"/>
  <c r="Z692" i="50"/>
  <c r="X692" i="50"/>
  <c r="X662" i="50"/>
  <c r="W662" i="50"/>
  <c r="AA290" i="50"/>
  <c r="V290" i="50"/>
  <c r="V422" i="50"/>
  <c r="Y415" i="50"/>
  <c r="W415" i="50"/>
  <c r="AA495" i="50"/>
  <c r="Y495" i="50"/>
  <c r="V370" i="50"/>
  <c r="X370" i="50"/>
  <c r="Z548" i="50"/>
  <c r="AA430" i="50"/>
  <c r="Y300" i="50"/>
  <c r="V300" i="50"/>
  <c r="V474" i="50"/>
  <c r="X474" i="50"/>
  <c r="V295" i="50"/>
  <c r="Y521" i="50"/>
  <c r="AA521" i="50"/>
  <c r="W374" i="50"/>
  <c r="X245" i="50"/>
  <c r="W245" i="50"/>
  <c r="V811" i="50"/>
  <c r="V248" i="50"/>
  <c r="Y821" i="50"/>
  <c r="AA743" i="50"/>
  <c r="Y854" i="50"/>
  <c r="V784" i="50"/>
  <c r="AA754" i="50"/>
  <c r="Y867" i="50"/>
  <c r="Z793" i="50"/>
  <c r="W25" i="50"/>
  <c r="X796" i="50"/>
  <c r="X848" i="50"/>
  <c r="Y817" i="50"/>
  <c r="X870" i="50"/>
  <c r="X863" i="50"/>
  <c r="AA777" i="50"/>
  <c r="Z753" i="50"/>
  <c r="X749" i="50"/>
  <c r="X786" i="50"/>
  <c r="Z859" i="50"/>
  <c r="Z39" i="50"/>
  <c r="AA7" i="50"/>
  <c r="AA738" i="50"/>
  <c r="W380" i="50"/>
  <c r="V184" i="50"/>
  <c r="Y233" i="50"/>
  <c r="X309" i="50"/>
  <c r="W121" i="50"/>
  <c r="V280" i="50"/>
  <c r="V331" i="50"/>
  <c r="V100" i="50"/>
  <c r="V152" i="50"/>
  <c r="W164" i="50"/>
  <c r="V539" i="50"/>
  <c r="V359" i="50"/>
  <c r="Z101" i="50"/>
  <c r="AA101" i="50"/>
  <c r="Y216" i="50"/>
  <c r="Z79" i="50"/>
  <c r="W91" i="50"/>
  <c r="Y91" i="50"/>
  <c r="X470" i="50"/>
  <c r="X601" i="50"/>
  <c r="AA284" i="50"/>
  <c r="X284" i="50"/>
  <c r="Z377" i="50"/>
  <c r="W736" i="50"/>
  <c r="W344" i="50"/>
  <c r="Y69" i="50"/>
  <c r="Z69" i="50"/>
  <c r="V412" i="50"/>
  <c r="Y658" i="50"/>
  <c r="Z658" i="50"/>
  <c r="AA831" i="50"/>
  <c r="V531" i="50"/>
  <c r="Z68" i="50"/>
  <c r="AA665" i="50"/>
  <c r="AA277" i="50"/>
  <c r="W728" i="50"/>
  <c r="Y533" i="50"/>
  <c r="X721" i="50"/>
  <c r="Z721" i="50"/>
  <c r="Z336" i="50"/>
  <c r="W336" i="50"/>
  <c r="Z143" i="50"/>
  <c r="X143" i="50"/>
  <c r="AA643" i="50"/>
  <c r="W527" i="50"/>
  <c r="Y447" i="50"/>
  <c r="AA447" i="50"/>
  <c r="X637" i="50"/>
  <c r="AA772" i="50"/>
  <c r="Y772" i="50"/>
  <c r="Z609" i="50"/>
  <c r="AA609" i="50"/>
  <c r="X687" i="50"/>
  <c r="V538" i="50"/>
  <c r="AA413" i="50"/>
  <c r="V734" i="50"/>
  <c r="W226" i="50"/>
  <c r="Z226" i="50"/>
  <c r="W373" i="50"/>
  <c r="X373" i="50"/>
  <c r="AA427" i="50"/>
  <c r="Y427" i="50"/>
  <c r="AA156" i="50"/>
  <c r="X156" i="50"/>
  <c r="Y532" i="50"/>
  <c r="W532" i="50"/>
  <c r="X595" i="50"/>
  <c r="Y595" i="50"/>
  <c r="X570" i="50"/>
  <c r="Z570" i="50"/>
  <c r="Z62" i="50"/>
  <c r="X62" i="50"/>
  <c r="V71" i="50"/>
  <c r="AA519" i="50"/>
  <c r="Y519" i="50"/>
  <c r="W177" i="50"/>
  <c r="Y177" i="50"/>
  <c r="AA812" i="50"/>
  <c r="Y103" i="50"/>
  <c r="AA103" i="50"/>
  <c r="AA217" i="50"/>
  <c r="Y217" i="50"/>
  <c r="Y494" i="50"/>
  <c r="AA494" i="50"/>
  <c r="AA612" i="50"/>
  <c r="X612" i="50"/>
  <c r="W339" i="50"/>
  <c r="W372" i="50"/>
  <c r="Y372" i="50"/>
  <c r="X316" i="50"/>
  <c r="Z316" i="50"/>
  <c r="W307" i="50"/>
  <c r="X496" i="50"/>
  <c r="V496" i="50"/>
  <c r="W765" i="50"/>
  <c r="Z265" i="50"/>
  <c r="X323" i="50"/>
  <c r="Z323" i="50"/>
  <c r="Z313" i="50"/>
  <c r="W764" i="50"/>
  <c r="Z580" i="50"/>
  <c r="Y194" i="50"/>
  <c r="W194" i="50"/>
  <c r="Y509" i="50"/>
  <c r="W509" i="50"/>
  <c r="Z267" i="50"/>
  <c r="Y254" i="50"/>
  <c r="Z254" i="50"/>
  <c r="X242" i="50"/>
  <c r="V242" i="50"/>
  <c r="X340" i="50"/>
  <c r="AA592" i="50"/>
  <c r="Y592" i="50"/>
  <c r="V324" i="50"/>
  <c r="X214" i="50"/>
  <c r="V214" i="50"/>
  <c r="V692" i="50"/>
  <c r="W692" i="50"/>
  <c r="AA662" i="50"/>
  <c r="V662" i="50"/>
  <c r="X290" i="50"/>
  <c r="W422" i="50"/>
  <c r="V415" i="50"/>
  <c r="Z415" i="50"/>
  <c r="X495" i="50"/>
  <c r="Z495" i="50"/>
  <c r="Z370" i="50"/>
  <c r="AA548" i="50"/>
  <c r="Y430" i="50"/>
  <c r="V430" i="50"/>
  <c r="X300" i="50"/>
  <c r="Z300" i="50"/>
  <c r="W474" i="50"/>
  <c r="AA295" i="50"/>
  <c r="Y295" i="50"/>
  <c r="V521" i="50"/>
  <c r="X374" i="50"/>
  <c r="V374" i="50"/>
  <c r="AA245" i="50"/>
  <c r="AA811" i="50"/>
  <c r="Y811" i="50"/>
  <c r="Z5" i="50"/>
  <c r="W759" i="50"/>
  <c r="V755" i="50"/>
  <c r="X754" i="50"/>
  <c r="W867" i="50"/>
  <c r="X25" i="50"/>
  <c r="Z745" i="50"/>
  <c r="W848" i="50"/>
  <c r="X817" i="50"/>
  <c r="V847" i="50"/>
  <c r="W870" i="50"/>
  <c r="W863" i="50"/>
  <c r="X777" i="50"/>
  <c r="W753" i="50"/>
  <c r="X760" i="50"/>
  <c r="V859" i="50"/>
  <c r="Y39" i="50"/>
  <c r="X861" i="50"/>
  <c r="V7" i="50"/>
  <c r="V249" i="50"/>
  <c r="X259" i="50"/>
  <c r="Y738" i="50"/>
  <c r="AA380" i="50"/>
  <c r="Z184" i="50"/>
  <c r="X233" i="50"/>
  <c r="V309" i="50"/>
  <c r="AA121" i="50"/>
  <c r="Y280" i="50"/>
  <c r="X331" i="50"/>
  <c r="Z100" i="50"/>
  <c r="W152" i="50"/>
  <c r="AA152" i="50"/>
  <c r="AA164" i="50"/>
  <c r="X164" i="50"/>
  <c r="Z359" i="50"/>
  <c r="V101" i="50"/>
  <c r="V216" i="50"/>
  <c r="V79" i="50"/>
  <c r="Z91" i="50"/>
  <c r="Z470" i="50"/>
  <c r="AA470" i="50"/>
  <c r="W601" i="50"/>
  <c r="V284" i="50"/>
  <c r="X377" i="50"/>
  <c r="Y377" i="50"/>
  <c r="AA736" i="50"/>
  <c r="X683" i="50"/>
  <c r="V344" i="50"/>
  <c r="V69" i="50"/>
  <c r="Z412" i="50"/>
  <c r="V831" i="50"/>
  <c r="X531" i="50"/>
  <c r="Y68" i="50"/>
  <c r="W157" i="50"/>
  <c r="X157" i="50"/>
  <c r="W665" i="50"/>
  <c r="W277" i="50"/>
  <c r="Y277" i="50"/>
  <c r="Z728" i="50"/>
  <c r="V533" i="50"/>
  <c r="X533" i="50"/>
  <c r="AA721" i="50"/>
  <c r="AA336" i="50"/>
  <c r="V143" i="50"/>
  <c r="Y643" i="50"/>
  <c r="W643" i="50"/>
  <c r="Y527" i="50"/>
  <c r="V527" i="50"/>
  <c r="Z447" i="50"/>
  <c r="AA637" i="50"/>
  <c r="W637" i="50"/>
  <c r="W772" i="50"/>
  <c r="Y609" i="50"/>
  <c r="V609" i="50"/>
  <c r="Z687" i="50"/>
  <c r="X538" i="50"/>
  <c r="Z538" i="50"/>
  <c r="Y413" i="50"/>
  <c r="V413" i="50"/>
  <c r="X734" i="50"/>
  <c r="AA734" i="50"/>
  <c r="Y226" i="50"/>
  <c r="Z432" i="50"/>
  <c r="X432" i="50"/>
  <c r="AA373" i="50"/>
  <c r="Z373" i="50"/>
  <c r="W427" i="50"/>
  <c r="V156" i="50"/>
  <c r="Z532" i="50"/>
  <c r="W595" i="50"/>
  <c r="W570" i="50"/>
  <c r="V62" i="50"/>
  <c r="W71" i="50"/>
  <c r="Y71" i="50"/>
  <c r="W519" i="50"/>
  <c r="V177" i="50"/>
  <c r="AA177" i="50"/>
  <c r="Y812" i="50"/>
  <c r="Z104" i="50"/>
  <c r="X104" i="50"/>
  <c r="V103" i="50"/>
  <c r="V217" i="50"/>
  <c r="W612" i="50"/>
  <c r="Z612" i="50"/>
  <c r="Z339" i="50"/>
  <c r="X339" i="50"/>
  <c r="Z372" i="50"/>
  <c r="Z659" i="50"/>
  <c r="X659" i="50"/>
  <c r="W316" i="50"/>
  <c r="Y307" i="50"/>
  <c r="Z307" i="50"/>
  <c r="Z496" i="50"/>
  <c r="Y496" i="50"/>
  <c r="Z765" i="50"/>
  <c r="AA265" i="50"/>
  <c r="W265" i="50"/>
  <c r="W323" i="50"/>
  <c r="X313" i="50"/>
  <c r="V313" i="50"/>
  <c r="Z764" i="50"/>
  <c r="AA580" i="50"/>
  <c r="Z194" i="50"/>
  <c r="V509" i="50"/>
  <c r="Y267" i="50"/>
  <c r="W267" i="50"/>
  <c r="X254" i="50"/>
  <c r="V254" i="50"/>
  <c r="AA242" i="50"/>
  <c r="V340" i="50"/>
  <c r="Y340" i="50"/>
  <c r="W592" i="50"/>
  <c r="AA324" i="50"/>
  <c r="Y324" i="50"/>
  <c r="W214" i="50"/>
  <c r="Y214" i="50"/>
  <c r="Y692" i="50"/>
  <c r="AA692" i="50"/>
  <c r="Y662" i="50"/>
  <c r="Z290" i="50"/>
  <c r="Y422" i="50"/>
  <c r="X422" i="50"/>
  <c r="AA415" i="50"/>
  <c r="W495" i="50"/>
  <c r="W370" i="50"/>
  <c r="W548" i="50"/>
  <c r="Y548" i="50"/>
  <c r="X430" i="50"/>
  <c r="Z430" i="50"/>
  <c r="W300" i="50"/>
  <c r="Z474" i="50"/>
  <c r="W295" i="50"/>
  <c r="X521" i="50"/>
  <c r="Z521" i="50"/>
  <c r="AA374" i="50"/>
  <c r="Y245" i="50"/>
  <c r="V245" i="50"/>
  <c r="W811" i="50"/>
  <c r="Z248" i="50"/>
  <c r="AA248" i="50"/>
  <c r="Y248" i="50"/>
  <c r="Z421" i="50"/>
  <c r="X421" i="50"/>
  <c r="AA472" i="50"/>
  <c r="W12" i="50"/>
  <c r="Y12" i="50"/>
  <c r="Y301" i="50"/>
  <c r="X301" i="50"/>
  <c r="X181" i="50"/>
  <c r="Z181" i="50"/>
  <c r="Z150" i="50"/>
  <c r="W150" i="50"/>
  <c r="V183" i="50"/>
  <c r="V275" i="50"/>
  <c r="AA275" i="50"/>
  <c r="V690" i="50"/>
  <c r="AA403" i="50"/>
  <c r="Y403" i="50"/>
  <c r="Z697" i="50"/>
  <c r="V560" i="50"/>
  <c r="Y311" i="50"/>
  <c r="W311" i="50"/>
  <c r="AA558" i="50"/>
  <c r="Y558" i="50"/>
  <c r="W279" i="50"/>
  <c r="W566" i="50"/>
  <c r="Y397" i="50"/>
  <c r="W397" i="50"/>
  <c r="X484" i="50"/>
  <c r="W484" i="50"/>
  <c r="Y59" i="50"/>
  <c r="V805" i="50"/>
  <c r="V145" i="50"/>
  <c r="X145" i="50"/>
  <c r="AA619" i="50"/>
  <c r="Y619" i="50"/>
  <c r="AA206" i="50"/>
  <c r="Z844" i="50"/>
  <c r="Y730" i="50"/>
  <c r="W730" i="50"/>
  <c r="Z648" i="50"/>
  <c r="W99" i="50"/>
  <c r="X106" i="50"/>
  <c r="V106" i="50"/>
  <c r="Y286" i="50"/>
  <c r="Z286" i="50"/>
  <c r="AA202" i="50"/>
  <c r="Z202" i="50"/>
  <c r="Y159" i="50"/>
  <c r="W159" i="50"/>
  <c r="Y382" i="50"/>
  <c r="Y388" i="50"/>
  <c r="W388" i="50"/>
  <c r="W453" i="50"/>
  <c r="X453" i="50"/>
  <c r="X655" i="50"/>
  <c r="Z655" i="50"/>
  <c r="Y438" i="50"/>
  <c r="AA209" i="50"/>
  <c r="Y209" i="50"/>
  <c r="Y358" i="50"/>
  <c r="AA358" i="50"/>
  <c r="V483" i="50"/>
  <c r="W563" i="50"/>
  <c r="Y727" i="50"/>
  <c r="Z727" i="50"/>
  <c r="W614" i="50"/>
  <c r="X235" i="50"/>
  <c r="W235" i="50"/>
  <c r="Y587" i="50"/>
  <c r="W587" i="50"/>
  <c r="V602" i="50"/>
  <c r="AA602" i="50"/>
  <c r="V112" i="50"/>
  <c r="AA112" i="50"/>
  <c r="AA705" i="50"/>
  <c r="Y705" i="50"/>
  <c r="Z391" i="50"/>
  <c r="V178" i="50"/>
  <c r="AA178" i="50"/>
  <c r="Z400" i="50"/>
  <c r="X400" i="50"/>
  <c r="X201" i="50"/>
  <c r="AA628" i="50"/>
  <c r="Y628" i="50"/>
  <c r="V540" i="50"/>
  <c r="AA540" i="50"/>
  <c r="V468" i="50"/>
  <c r="X543" i="50"/>
  <c r="V543" i="50"/>
  <c r="V243" i="50"/>
  <c r="AA622" i="50"/>
  <c r="AA247" i="50"/>
  <c r="Y247" i="50"/>
  <c r="Y291" i="50"/>
  <c r="X291" i="50"/>
  <c r="Y395" i="50"/>
  <c r="W501" i="50"/>
  <c r="AA513" i="50"/>
  <c r="W684" i="50"/>
  <c r="V684" i="50"/>
  <c r="V846" i="50"/>
  <c r="X846" i="50"/>
  <c r="Z492" i="50"/>
  <c r="V492" i="50"/>
  <c r="V624" i="50"/>
  <c r="X624" i="50"/>
  <c r="AA499" i="50"/>
  <c r="Y499" i="50"/>
  <c r="Y518" i="50"/>
  <c r="X770" i="50"/>
  <c r="V770" i="50"/>
  <c r="AA669" i="50"/>
  <c r="Z669" i="50"/>
  <c r="AA576" i="50"/>
  <c r="Y576" i="50"/>
  <c r="AA678" i="50"/>
  <c r="W678" i="50"/>
  <c r="Z322" i="50"/>
  <c r="AA198" i="50"/>
  <c r="Y198" i="50"/>
  <c r="Y703" i="50"/>
  <c r="W703" i="50"/>
  <c r="Z573" i="50"/>
  <c r="V573" i="50"/>
  <c r="V682" i="50"/>
  <c r="AA682" i="50"/>
  <c r="Y393" i="50"/>
  <c r="W111" i="50"/>
  <c r="Z700" i="50"/>
  <c r="X700" i="50"/>
  <c r="W351" i="50"/>
  <c r="V444" i="50"/>
  <c r="AA444" i="50"/>
  <c r="Y266" i="50"/>
  <c r="Y218" i="50"/>
  <c r="Z773" i="50"/>
  <c r="Y773" i="50"/>
  <c r="V408" i="50"/>
  <c r="X338" i="50"/>
  <c r="V338" i="50"/>
  <c r="Z434" i="50"/>
  <c r="X434" i="50"/>
  <c r="Z386" i="50"/>
  <c r="AA544" i="50"/>
  <c r="AA229" i="50"/>
  <c r="V500" i="50"/>
  <c r="V804" i="50"/>
  <c r="X346" i="50"/>
  <c r="V346" i="50"/>
  <c r="AA310" i="50"/>
  <c r="Y511" i="50"/>
  <c r="AA511" i="50"/>
  <c r="Z594" i="50"/>
  <c r="W594" i="50"/>
  <c r="AA629" i="50"/>
  <c r="Y629" i="50"/>
  <c r="W485" i="50"/>
  <c r="AA717" i="50"/>
  <c r="V717" i="50"/>
  <c r="X626" i="50"/>
  <c r="Z423" i="50"/>
  <c r="X423" i="50"/>
  <c r="Z54" i="50"/>
  <c r="X54" i="50"/>
  <c r="V623" i="50"/>
  <c r="X505" i="50"/>
  <c r="Z505" i="50"/>
  <c r="W480" i="50"/>
  <c r="AA732" i="50"/>
  <c r="Z732" i="50"/>
  <c r="Z186" i="50"/>
  <c r="X675" i="50"/>
  <c r="V675" i="50"/>
  <c r="AA406" i="50"/>
  <c r="W117" i="50"/>
  <c r="W402" i="50"/>
  <c r="AA593" i="50"/>
  <c r="Y593" i="50"/>
  <c r="V172" i="50"/>
  <c r="AA172" i="50"/>
  <c r="Z360" i="50"/>
  <c r="X360" i="50"/>
  <c r="AA238" i="50"/>
  <c r="X73" i="50"/>
  <c r="Z73" i="50"/>
  <c r="W729" i="50"/>
  <c r="Z660" i="50"/>
  <c r="AA189" i="50"/>
  <c r="AA641" i="50"/>
  <c r="Y606" i="50"/>
  <c r="AA606" i="50"/>
  <c r="W810" i="50"/>
  <c r="X502" i="50"/>
  <c r="AA524" i="50"/>
  <c r="W476" i="50"/>
  <c r="V139" i="50"/>
  <c r="X139" i="50"/>
  <c r="Y604" i="50"/>
  <c r="Y429" i="50"/>
  <c r="W429" i="50"/>
  <c r="AA317" i="50"/>
  <c r="Y317" i="50"/>
  <c r="X153" i="50"/>
  <c r="V153" i="50"/>
  <c r="Z508" i="50"/>
  <c r="AA508" i="50"/>
  <c r="W227" i="50"/>
  <c r="Z227" i="50"/>
  <c r="X170" i="50"/>
  <c r="Z170" i="50"/>
  <c r="V65" i="50"/>
  <c r="Y65" i="50"/>
  <c r="V64" i="50"/>
  <c r="AA369" i="50"/>
  <c r="Z718" i="50"/>
  <c r="Y695" i="50"/>
  <c r="AA199" i="50"/>
  <c r="Y498" i="50"/>
  <c r="V498" i="50"/>
  <c r="Z303" i="50"/>
  <c r="X303" i="50"/>
  <c r="AA371" i="50"/>
  <c r="X187" i="50"/>
  <c r="V187" i="50"/>
  <c r="Y273" i="50"/>
  <c r="Y144" i="50"/>
  <c r="AA144" i="50"/>
  <c r="W440" i="50"/>
  <c r="V440" i="50"/>
  <c r="AA551" i="50"/>
  <c r="W719" i="50"/>
  <c r="X119" i="50"/>
  <c r="AA119" i="50"/>
  <c r="V77" i="50"/>
  <c r="X77" i="50"/>
  <c r="Z208" i="50"/>
  <c r="V314" i="50"/>
  <c r="X314" i="50"/>
  <c r="Y410" i="50"/>
  <c r="V410" i="50"/>
  <c r="AA559" i="50"/>
  <c r="V416" i="50"/>
  <c r="Z635" i="50"/>
  <c r="X635" i="50"/>
  <c r="AA126" i="50"/>
  <c r="Y126" i="50"/>
  <c r="Y97" i="50"/>
  <c r="Y567" i="50"/>
  <c r="W567" i="50"/>
  <c r="AA304" i="50"/>
  <c r="Y304" i="50"/>
  <c r="Y815" i="50"/>
  <c r="W815" i="50"/>
  <c r="AA839" i="50"/>
  <c r="Y96" i="50"/>
  <c r="V96" i="50"/>
  <c r="AA361" i="50"/>
  <c r="Y361" i="50"/>
  <c r="X215" i="50"/>
  <c r="V215" i="50"/>
  <c r="X634" i="50"/>
  <c r="Z651" i="50"/>
  <c r="W651" i="50"/>
  <c r="AA436" i="50"/>
  <c r="Y436" i="50"/>
  <c r="X57" i="50"/>
  <c r="Z57" i="50"/>
  <c r="Z585" i="50"/>
  <c r="X363" i="50"/>
  <c r="Y555" i="50"/>
  <c r="W555" i="50"/>
  <c r="V302" i="50"/>
  <c r="W212" i="50"/>
  <c r="X212" i="50"/>
  <c r="AA443" i="50"/>
  <c r="Y443" i="50"/>
  <c r="Z191" i="50"/>
  <c r="W268" i="50"/>
  <c r="Y835" i="50"/>
  <c r="AA835" i="50"/>
  <c r="Z424" i="50"/>
  <c r="AA631" i="50"/>
  <c r="AA460" i="50"/>
  <c r="Y460" i="50"/>
  <c r="Y574" i="50"/>
  <c r="W574" i="50"/>
  <c r="AA632" i="50"/>
  <c r="AA70" i="50"/>
  <c r="Y70" i="50"/>
  <c r="Z832" i="50"/>
  <c r="Y586" i="50"/>
  <c r="V586" i="50"/>
  <c r="Z467" i="50"/>
  <c r="Z234" i="50"/>
  <c r="W19" i="50"/>
  <c r="V671" i="50"/>
  <c r="Z546" i="50"/>
  <c r="X546" i="50"/>
  <c r="AA118" i="50"/>
  <c r="AA487" i="50"/>
  <c r="Y487" i="50"/>
  <c r="Z607" i="50"/>
  <c r="V334" i="50"/>
  <c r="V260" i="50"/>
  <c r="X260" i="50"/>
  <c r="X666" i="50"/>
  <c r="V666" i="50"/>
  <c r="AA845" i="50"/>
  <c r="AA503" i="50"/>
  <c r="Y60" i="50"/>
  <c r="V60" i="50"/>
  <c r="W661" i="50"/>
  <c r="X337" i="50"/>
  <c r="AA223" i="50"/>
  <c r="Y223" i="50"/>
  <c r="AA237" i="50"/>
  <c r="Y237" i="50"/>
  <c r="Z466" i="50"/>
  <c r="V568" i="50"/>
  <c r="X568" i="50"/>
  <c r="W670" i="50"/>
  <c r="Y670" i="50"/>
  <c r="W326" i="50"/>
  <c r="X248" i="50"/>
  <c r="Z146" i="50"/>
  <c r="X146" i="50"/>
  <c r="V421" i="50"/>
  <c r="Y472" i="50"/>
  <c r="W472" i="50"/>
  <c r="AA12" i="50"/>
  <c r="AA301" i="50"/>
  <c r="V301" i="50"/>
  <c r="W181" i="50"/>
  <c r="V493" i="50"/>
  <c r="AA493" i="50"/>
  <c r="Y150" i="50"/>
  <c r="V150" i="50"/>
  <c r="Y183" i="50"/>
  <c r="X183" i="50"/>
  <c r="Y275" i="50"/>
  <c r="W690" i="50"/>
  <c r="Y690" i="50"/>
  <c r="W403" i="50"/>
  <c r="X697" i="50"/>
  <c r="V697" i="50"/>
  <c r="X560" i="50"/>
  <c r="Z560" i="50"/>
  <c r="Z311" i="50"/>
  <c r="W558" i="50"/>
  <c r="Z279" i="50"/>
  <c r="V566" i="50"/>
  <c r="Z397" i="50"/>
  <c r="W74" i="50"/>
  <c r="X74" i="50"/>
  <c r="AA484" i="50"/>
  <c r="AA59" i="50"/>
  <c r="AA805" i="50"/>
  <c r="Z145" i="50"/>
  <c r="W145" i="50"/>
  <c r="W619" i="50"/>
  <c r="Y206" i="50"/>
  <c r="X844" i="50"/>
  <c r="V844" i="50"/>
  <c r="Z730" i="50"/>
  <c r="X648" i="50"/>
  <c r="V648" i="50"/>
  <c r="Y99" i="50"/>
  <c r="AA106" i="50"/>
  <c r="AA286" i="50"/>
  <c r="V202" i="50"/>
  <c r="V382" i="50"/>
  <c r="X382" i="50"/>
  <c r="Z388" i="50"/>
  <c r="Y453" i="50"/>
  <c r="Z453" i="50"/>
  <c r="W655" i="50"/>
  <c r="W438" i="50"/>
  <c r="W209" i="50"/>
  <c r="X483" i="50"/>
  <c r="Z483" i="50"/>
  <c r="AA563" i="50"/>
  <c r="Y563" i="50"/>
  <c r="W727" i="50"/>
  <c r="V727" i="50"/>
  <c r="Y614" i="50"/>
  <c r="W204" i="50"/>
  <c r="Y204" i="50"/>
  <c r="AA235" i="50"/>
  <c r="Z464" i="50"/>
  <c r="X464" i="50"/>
  <c r="Y602" i="50"/>
  <c r="W602" i="50"/>
  <c r="Y112" i="50"/>
  <c r="W112" i="50"/>
  <c r="V705" i="50"/>
  <c r="X391" i="50"/>
  <c r="V391" i="50"/>
  <c r="Y178" i="50"/>
  <c r="W178" i="50"/>
  <c r="V400" i="50"/>
  <c r="V201" i="50"/>
  <c r="Z201" i="50"/>
  <c r="W628" i="50"/>
  <c r="Y540" i="50"/>
  <c r="W540" i="50"/>
  <c r="AA468" i="50"/>
  <c r="Y468" i="50"/>
  <c r="AA543" i="50"/>
  <c r="Y543" i="50"/>
  <c r="Z243" i="50"/>
  <c r="W622" i="50"/>
  <c r="W247" i="50"/>
  <c r="Z291" i="50"/>
  <c r="V395" i="50"/>
  <c r="X395" i="50"/>
  <c r="AA501" i="50"/>
  <c r="Y501" i="50"/>
  <c r="Y513" i="50"/>
  <c r="W513" i="50"/>
  <c r="Z684" i="50"/>
  <c r="Z846" i="50"/>
  <c r="AA846" i="50"/>
  <c r="AA492" i="50"/>
  <c r="Y492" i="50"/>
  <c r="Z624" i="50"/>
  <c r="Z633" i="50"/>
  <c r="X633" i="50"/>
  <c r="V499" i="50"/>
  <c r="W499" i="50"/>
  <c r="X518" i="50"/>
  <c r="V518" i="50"/>
  <c r="AA770" i="50"/>
  <c r="X669" i="50"/>
  <c r="Y669" i="50"/>
  <c r="W576" i="50"/>
  <c r="V678" i="50"/>
  <c r="W322" i="50"/>
  <c r="W198" i="50"/>
  <c r="V520" i="50"/>
  <c r="X520" i="50"/>
  <c r="AA573" i="50"/>
  <c r="Y682" i="50"/>
  <c r="W682" i="50"/>
  <c r="Z393" i="50"/>
  <c r="X393" i="50"/>
  <c r="Z111" i="50"/>
  <c r="X111" i="50"/>
  <c r="Y351" i="50"/>
  <c r="V351" i="50"/>
  <c r="Y444" i="50"/>
  <c r="W444" i="50"/>
  <c r="V266" i="50"/>
  <c r="AA218" i="50"/>
  <c r="W773" i="50"/>
  <c r="AA773" i="50"/>
  <c r="X408" i="50"/>
  <c r="Z408" i="50"/>
  <c r="AA338" i="50"/>
  <c r="V434" i="50"/>
  <c r="AA434" i="50"/>
  <c r="V386" i="50"/>
  <c r="Y544" i="50"/>
  <c r="W544" i="50"/>
  <c r="Y229" i="50"/>
  <c r="V229" i="50"/>
  <c r="X500" i="50"/>
  <c r="Z500" i="50"/>
  <c r="X804" i="50"/>
  <c r="Z804" i="50"/>
  <c r="AA346" i="50"/>
  <c r="Y310" i="50"/>
  <c r="W310" i="50"/>
  <c r="Z511" i="50"/>
  <c r="V594" i="50"/>
  <c r="X594" i="50"/>
  <c r="V629" i="50"/>
  <c r="Z471" i="50"/>
  <c r="X471" i="50"/>
  <c r="X485" i="50"/>
  <c r="Y485" i="50"/>
  <c r="Z717" i="50"/>
  <c r="V626" i="50"/>
  <c r="V423" i="50"/>
  <c r="AA423" i="50"/>
  <c r="V54" i="50"/>
  <c r="W623" i="50"/>
  <c r="AA505" i="50"/>
  <c r="Z480" i="50"/>
  <c r="X480" i="50"/>
  <c r="W732" i="50"/>
  <c r="X186" i="50"/>
  <c r="W186" i="50"/>
  <c r="W675" i="50"/>
  <c r="Y675" i="50"/>
  <c r="Z406" i="50"/>
  <c r="X406" i="50"/>
  <c r="Z117" i="50"/>
  <c r="Y402" i="50"/>
  <c r="Z402" i="50"/>
  <c r="W593" i="50"/>
  <c r="Y172" i="50"/>
  <c r="W172" i="50"/>
  <c r="V360" i="50"/>
  <c r="Y238" i="50"/>
  <c r="W238" i="50"/>
  <c r="W73" i="50"/>
  <c r="Z729" i="50"/>
  <c r="X729" i="50"/>
  <c r="X660" i="50"/>
  <c r="V660" i="50"/>
  <c r="Y189" i="50"/>
  <c r="V189" i="50"/>
  <c r="Y641" i="50"/>
  <c r="W641" i="50"/>
  <c r="W606" i="50"/>
  <c r="V606" i="50"/>
  <c r="Z810" i="50"/>
  <c r="X810" i="50"/>
  <c r="V502" i="50"/>
  <c r="W524" i="50"/>
  <c r="Y524" i="50"/>
  <c r="AA476" i="50"/>
  <c r="Y476" i="50"/>
  <c r="Z139" i="50"/>
  <c r="V604" i="50"/>
  <c r="X604" i="50"/>
  <c r="Z429" i="50"/>
  <c r="W317" i="50"/>
  <c r="AA153" i="50"/>
  <c r="Z387" i="50"/>
  <c r="X387" i="50"/>
  <c r="V508" i="50"/>
  <c r="X227" i="50"/>
  <c r="V227" i="50"/>
  <c r="AA170" i="50"/>
  <c r="Z65" i="50"/>
  <c r="AA65" i="50"/>
  <c r="Y64" i="50"/>
  <c r="Y369" i="50"/>
  <c r="V369" i="50"/>
  <c r="W718" i="50"/>
  <c r="V718" i="50"/>
  <c r="Z695" i="50"/>
  <c r="Y199" i="50"/>
  <c r="X199" i="50"/>
  <c r="X498" i="50"/>
  <c r="Z498" i="50"/>
  <c r="V303" i="50"/>
  <c r="X371" i="50"/>
  <c r="Y371" i="50"/>
  <c r="AA187" i="50"/>
  <c r="V273" i="50"/>
  <c r="X273" i="50"/>
  <c r="W144" i="50"/>
  <c r="X144" i="50"/>
  <c r="Z440" i="50"/>
  <c r="V551" i="50"/>
  <c r="Z556" i="50"/>
  <c r="X556" i="50"/>
  <c r="Y719" i="50"/>
  <c r="AA719" i="50"/>
  <c r="W119" i="50"/>
  <c r="V119" i="50"/>
  <c r="Y77" i="50"/>
  <c r="AA208" i="50"/>
  <c r="V208" i="50"/>
  <c r="Z314" i="50"/>
  <c r="W314" i="50"/>
  <c r="AA410" i="50"/>
  <c r="Z410" i="50"/>
  <c r="Y559" i="50"/>
  <c r="AA416" i="50"/>
  <c r="Y416" i="50"/>
  <c r="V635" i="50"/>
  <c r="AA635" i="50"/>
  <c r="W126" i="50"/>
  <c r="AA97" i="50"/>
  <c r="X567" i="50"/>
  <c r="AA567" i="50"/>
  <c r="W304" i="50"/>
  <c r="Y839" i="50"/>
  <c r="W839" i="50"/>
  <c r="X96" i="50"/>
  <c r="Z96" i="50"/>
  <c r="W361" i="50"/>
  <c r="W215" i="50"/>
  <c r="Y634" i="50"/>
  <c r="Z634" i="50"/>
  <c r="AA651" i="50"/>
  <c r="Z384" i="50"/>
  <c r="Y384" i="50"/>
  <c r="W436" i="50"/>
  <c r="W57" i="50"/>
  <c r="W585" i="50"/>
  <c r="AA585" i="50"/>
  <c r="Z363" i="50"/>
  <c r="V66" i="50"/>
  <c r="W66" i="50"/>
  <c r="AA302" i="50"/>
  <c r="Y302" i="50"/>
  <c r="V212" i="50"/>
  <c r="W443" i="50"/>
  <c r="X191" i="50"/>
  <c r="V191" i="50"/>
  <c r="Y268" i="50"/>
  <c r="Z835" i="50"/>
  <c r="V424" i="50"/>
  <c r="Y631" i="50"/>
  <c r="W631" i="50"/>
  <c r="W460" i="50"/>
  <c r="X632" i="50"/>
  <c r="Z632" i="50"/>
  <c r="W70" i="50"/>
  <c r="X832" i="50"/>
  <c r="V832" i="50"/>
  <c r="W586" i="50"/>
  <c r="X467" i="50"/>
  <c r="V467" i="50"/>
  <c r="X234" i="50"/>
  <c r="V234" i="50"/>
  <c r="X19" i="50"/>
  <c r="X671" i="50"/>
  <c r="Z671" i="50"/>
  <c r="V546" i="50"/>
  <c r="AA546" i="50"/>
  <c r="Z118" i="50"/>
  <c r="W118" i="50"/>
  <c r="Z487" i="50"/>
  <c r="AA607" i="50"/>
  <c r="X334" i="50"/>
  <c r="AA334" i="50"/>
  <c r="AA260" i="50"/>
  <c r="AA666" i="50"/>
  <c r="Y845" i="50"/>
  <c r="Y503" i="50"/>
  <c r="V503" i="50"/>
  <c r="X60" i="50"/>
  <c r="Z60" i="50"/>
  <c r="AA661" i="50"/>
  <c r="Y337" i="50"/>
  <c r="W223" i="50"/>
  <c r="V237" i="50"/>
  <c r="X466" i="50"/>
  <c r="V466" i="50"/>
  <c r="Z568" i="50"/>
  <c r="W568" i="50"/>
  <c r="Z670" i="50"/>
  <c r="V326" i="50"/>
  <c r="Y725" i="50"/>
  <c r="AA458" i="50"/>
  <c r="Z253" i="50"/>
  <c r="AA451" i="50"/>
  <c r="X451" i="50"/>
  <c r="V146" i="50"/>
  <c r="AA146" i="50"/>
  <c r="AA421" i="50"/>
  <c r="Y421" i="50"/>
  <c r="Z472" i="50"/>
  <c r="Z12" i="50"/>
  <c r="X12" i="50"/>
  <c r="W301" i="50"/>
  <c r="AA181" i="50"/>
  <c r="W493" i="50"/>
  <c r="X493" i="50"/>
  <c r="X150" i="50"/>
  <c r="Z183" i="50"/>
  <c r="W275" i="50"/>
  <c r="AA690" i="50"/>
  <c r="Z403" i="50"/>
  <c r="X403" i="50"/>
  <c r="W697" i="50"/>
  <c r="AA560" i="50"/>
  <c r="X311" i="50"/>
  <c r="V311" i="50"/>
  <c r="Z558" i="50"/>
  <c r="X279" i="50"/>
  <c r="V279" i="50"/>
  <c r="Z566" i="50"/>
  <c r="AA566" i="50"/>
  <c r="X397" i="50"/>
  <c r="V397" i="50"/>
  <c r="V74" i="50"/>
  <c r="Z74" i="50"/>
  <c r="V484" i="50"/>
  <c r="Z59" i="50"/>
  <c r="V59" i="50"/>
  <c r="Z805" i="50"/>
  <c r="X805" i="50"/>
  <c r="AA145" i="50"/>
  <c r="Z619" i="50"/>
  <c r="V206" i="50"/>
  <c r="X206" i="50"/>
  <c r="AA844" i="50"/>
  <c r="Y844" i="50"/>
  <c r="X730" i="50"/>
  <c r="V730" i="50"/>
  <c r="AA648" i="50"/>
  <c r="V99" i="50"/>
  <c r="X99" i="50"/>
  <c r="Y106" i="50"/>
  <c r="W106" i="50"/>
  <c r="X286" i="50"/>
  <c r="W286" i="50"/>
  <c r="Y202" i="50"/>
  <c r="Z159" i="50"/>
  <c r="X159" i="50"/>
  <c r="Z382" i="50"/>
  <c r="W382" i="50"/>
  <c r="X388" i="50"/>
  <c r="V388" i="50"/>
  <c r="AA655" i="50"/>
  <c r="Z438" i="50"/>
  <c r="V438" i="50"/>
  <c r="Z209" i="50"/>
  <c r="X209" i="50"/>
  <c r="Z358" i="50"/>
  <c r="X358" i="50"/>
  <c r="W483" i="50"/>
  <c r="V563" i="50"/>
  <c r="X563" i="50"/>
  <c r="AA727" i="50"/>
  <c r="V614" i="50"/>
  <c r="X614" i="50"/>
  <c r="AA204" i="50"/>
  <c r="V204" i="50"/>
  <c r="Z235" i="50"/>
  <c r="Y235" i="50"/>
  <c r="Z587" i="50"/>
  <c r="X587" i="50"/>
  <c r="V464" i="50"/>
  <c r="AA464" i="50"/>
  <c r="Z602" i="50"/>
  <c r="X705" i="50"/>
  <c r="Z705" i="50"/>
  <c r="AA391" i="50"/>
  <c r="Y391" i="50"/>
  <c r="AA400" i="50"/>
  <c r="Y400" i="50"/>
  <c r="AA201" i="50"/>
  <c r="Y201" i="50"/>
  <c r="Z628" i="50"/>
  <c r="X628" i="50"/>
  <c r="X468" i="50"/>
  <c r="W543" i="50"/>
  <c r="AA243" i="50"/>
  <c r="X243" i="50"/>
  <c r="Y622" i="50"/>
  <c r="X622" i="50"/>
  <c r="Z247" i="50"/>
  <c r="V291" i="50"/>
  <c r="Z395" i="50"/>
  <c r="AA395" i="50"/>
  <c r="V501" i="50"/>
  <c r="Z513" i="50"/>
  <c r="X684" i="50"/>
  <c r="W846" i="50"/>
  <c r="W492" i="50"/>
  <c r="AA624" i="50"/>
  <c r="V633" i="50"/>
  <c r="W633" i="50"/>
  <c r="Z499" i="50"/>
  <c r="X499" i="50"/>
  <c r="Z518" i="50"/>
  <c r="Y770" i="50"/>
  <c r="W770" i="50"/>
  <c r="W669" i="50"/>
  <c r="V669" i="50"/>
  <c r="Z576" i="50"/>
  <c r="X678" i="50"/>
  <c r="Y678" i="50"/>
  <c r="AA322" i="50"/>
  <c r="Y322" i="50"/>
  <c r="Z198" i="50"/>
  <c r="X198" i="50"/>
  <c r="Z703" i="50"/>
  <c r="X703" i="50"/>
  <c r="Z520" i="50"/>
  <c r="W520" i="50"/>
  <c r="Y573" i="50"/>
  <c r="W573" i="50"/>
  <c r="V393" i="50"/>
  <c r="AA393" i="50"/>
  <c r="V111" i="50"/>
  <c r="W700" i="50"/>
  <c r="AA700" i="50"/>
  <c r="X351" i="50"/>
  <c r="Z351" i="50"/>
  <c r="X266" i="50"/>
  <c r="AA266" i="50"/>
  <c r="X218" i="50"/>
  <c r="V218" i="50"/>
  <c r="X773" i="50"/>
  <c r="W408" i="50"/>
  <c r="Y338" i="50"/>
  <c r="W338" i="50"/>
  <c r="Y434" i="50"/>
  <c r="W434" i="50"/>
  <c r="Y386" i="50"/>
  <c r="X386" i="50"/>
  <c r="Z544" i="50"/>
  <c r="X229" i="50"/>
  <c r="Z229" i="50"/>
  <c r="W500" i="50"/>
  <c r="W804" i="50"/>
  <c r="Y346" i="50"/>
  <c r="W346" i="50"/>
  <c r="Z310" i="50"/>
  <c r="X511" i="50"/>
  <c r="V511" i="50"/>
  <c r="Y594" i="50"/>
  <c r="W629" i="50"/>
  <c r="Z629" i="50"/>
  <c r="V471" i="50"/>
  <c r="AA471" i="50"/>
  <c r="AA485" i="50"/>
  <c r="V485" i="50"/>
  <c r="Y717" i="50"/>
  <c r="AA626" i="50"/>
  <c r="Z626" i="50"/>
  <c r="W423" i="50"/>
  <c r="AA54" i="50"/>
  <c r="Y54" i="50"/>
  <c r="AA623" i="50"/>
  <c r="Y623" i="50"/>
  <c r="W505" i="50"/>
  <c r="Y505" i="50"/>
  <c r="V480" i="50"/>
  <c r="V732" i="50"/>
  <c r="AA186" i="50"/>
  <c r="Y186" i="50"/>
  <c r="AA675" i="50"/>
  <c r="V406" i="50"/>
  <c r="X117" i="50"/>
  <c r="V117" i="50"/>
  <c r="V402" i="50"/>
  <c r="Z593" i="50"/>
  <c r="X593" i="50"/>
  <c r="W360" i="50"/>
  <c r="Y360" i="50"/>
  <c r="Z238" i="50"/>
  <c r="AA73" i="50"/>
  <c r="Y73" i="50"/>
  <c r="V729" i="50"/>
  <c r="AA660" i="50"/>
  <c r="Y660" i="50"/>
  <c r="W189" i="50"/>
  <c r="Z189" i="50"/>
  <c r="Z641" i="50"/>
  <c r="X606" i="50"/>
  <c r="Z606" i="50"/>
  <c r="V810" i="50"/>
  <c r="AA502" i="50"/>
  <c r="Y502" i="50"/>
  <c r="Z524" i="50"/>
  <c r="X524" i="50"/>
  <c r="V476" i="50"/>
  <c r="W139" i="50"/>
  <c r="Z604" i="50"/>
  <c r="W604" i="50"/>
  <c r="X429" i="50"/>
  <c r="V429" i="50"/>
  <c r="Z317" i="50"/>
  <c r="Y153" i="50"/>
  <c r="W153" i="50"/>
  <c r="V387" i="50"/>
  <c r="AA387" i="50"/>
  <c r="W508" i="50"/>
  <c r="X508" i="50"/>
  <c r="Y227" i="50"/>
  <c r="W170" i="50"/>
  <c r="Y170" i="50"/>
  <c r="AA64" i="50"/>
  <c r="W64" i="50"/>
  <c r="X369" i="50"/>
  <c r="Z369" i="50"/>
  <c r="X718" i="50"/>
  <c r="AA695" i="50"/>
  <c r="W695" i="50"/>
  <c r="W199" i="50"/>
  <c r="V199" i="50"/>
  <c r="AA498" i="50"/>
  <c r="AA303" i="50"/>
  <c r="Y303" i="50"/>
  <c r="Z371" i="50"/>
  <c r="Y187" i="50"/>
  <c r="W187" i="50"/>
  <c r="Z273" i="50"/>
  <c r="W273" i="50"/>
  <c r="Z144" i="50"/>
  <c r="AA440" i="50"/>
  <c r="X551" i="50"/>
  <c r="Z551" i="50"/>
  <c r="V556" i="50"/>
  <c r="AA556" i="50"/>
  <c r="Z719" i="50"/>
  <c r="X719" i="50"/>
  <c r="Z77" i="50"/>
  <c r="W77" i="50"/>
  <c r="W208" i="50"/>
  <c r="AA314" i="50"/>
  <c r="W410" i="50"/>
  <c r="V559" i="50"/>
  <c r="X559" i="50"/>
  <c r="W416" i="50"/>
  <c r="Y635" i="50"/>
  <c r="W635" i="50"/>
  <c r="Z126" i="50"/>
  <c r="W97" i="50"/>
  <c r="X97" i="50"/>
  <c r="V567" i="50"/>
  <c r="Z567" i="50"/>
  <c r="Z304" i="50"/>
  <c r="Z815" i="50"/>
  <c r="X815" i="50"/>
  <c r="Z839" i="50"/>
  <c r="AA96" i="50"/>
  <c r="Z361" i="50"/>
  <c r="Y215" i="50"/>
  <c r="AA215" i="50"/>
  <c r="AA634" i="50"/>
  <c r="Y651" i="50"/>
  <c r="V384" i="50"/>
  <c r="W384" i="50"/>
  <c r="Z436" i="50"/>
  <c r="X436" i="50"/>
  <c r="AA57" i="50"/>
  <c r="V585" i="50"/>
  <c r="AA363" i="50"/>
  <c r="Y363" i="50"/>
  <c r="Z66" i="50"/>
  <c r="AA66" i="50"/>
  <c r="Z555" i="50"/>
  <c r="X555" i="50"/>
  <c r="W302" i="50"/>
  <c r="Y212" i="50"/>
  <c r="Z443" i="50"/>
  <c r="X443" i="50"/>
  <c r="AA191" i="50"/>
  <c r="V268" i="50"/>
  <c r="AA268" i="50"/>
  <c r="X835" i="50"/>
  <c r="V835" i="50"/>
  <c r="Y424" i="50"/>
  <c r="AA424" i="50"/>
  <c r="Z631" i="50"/>
  <c r="Z460" i="50"/>
  <c r="X460" i="50"/>
  <c r="Z574" i="50"/>
  <c r="X574" i="50"/>
  <c r="W632" i="50"/>
  <c r="Y632" i="50"/>
  <c r="Z70" i="50"/>
  <c r="X70" i="50"/>
  <c r="W832" i="50"/>
  <c r="AA586" i="50"/>
  <c r="Z586" i="50"/>
  <c r="AA467" i="50"/>
  <c r="Y467" i="50"/>
  <c r="AA234" i="50"/>
  <c r="V19" i="50"/>
  <c r="Z19" i="50"/>
  <c r="W671" i="50"/>
  <c r="Y671" i="50"/>
  <c r="Y546" i="50"/>
  <c r="W546" i="50"/>
  <c r="X118" i="50"/>
  <c r="X487" i="50"/>
  <c r="V487" i="50"/>
  <c r="W607" i="50"/>
  <c r="Y607" i="50"/>
  <c r="Z334" i="50"/>
  <c r="Y260" i="50"/>
  <c r="Y666" i="50"/>
  <c r="W666" i="50"/>
  <c r="X845" i="50"/>
  <c r="Z845" i="50"/>
  <c r="X503" i="50"/>
  <c r="Z503" i="50"/>
  <c r="AA60" i="50"/>
  <c r="Y661" i="50"/>
  <c r="V661" i="50"/>
  <c r="W337" i="50"/>
  <c r="AA337" i="50"/>
  <c r="Z223" i="50"/>
  <c r="X237" i="50"/>
  <c r="Z237" i="50"/>
  <c r="AA466" i="50"/>
  <c r="Y466" i="50"/>
  <c r="AA568" i="50"/>
  <c r="W248" i="50"/>
  <c r="Y146" i="50"/>
  <c r="W146" i="50"/>
  <c r="W421" i="50"/>
  <c r="X472" i="50"/>
  <c r="V472" i="50"/>
  <c r="V12" i="50"/>
  <c r="Z301" i="50"/>
  <c r="Y181" i="50"/>
  <c r="V181" i="50"/>
  <c r="Z493" i="50"/>
  <c r="Y493" i="50"/>
  <c r="AA150" i="50"/>
  <c r="W183" i="50"/>
  <c r="AA183" i="50"/>
  <c r="Z275" i="50"/>
  <c r="X275" i="50"/>
  <c r="Z690" i="50"/>
  <c r="X690" i="50"/>
  <c r="V403" i="50"/>
  <c r="Y697" i="50"/>
  <c r="AA697" i="50"/>
  <c r="W560" i="50"/>
  <c r="Y560" i="50"/>
  <c r="AA311" i="50"/>
  <c r="X558" i="50"/>
  <c r="V558" i="50"/>
  <c r="AA279" i="50"/>
  <c r="Y279" i="50"/>
  <c r="Y566" i="50"/>
  <c r="X566" i="50"/>
  <c r="AA397" i="50"/>
  <c r="AA74" i="50"/>
  <c r="Y74" i="50"/>
  <c r="Y484" i="50"/>
  <c r="Z484" i="50"/>
  <c r="X59" i="50"/>
  <c r="W59" i="50"/>
  <c r="Y805" i="50"/>
  <c r="W805" i="50"/>
  <c r="Y145" i="50"/>
  <c r="X619" i="50"/>
  <c r="V619" i="50"/>
  <c r="Z206" i="50"/>
  <c r="W206" i="50"/>
  <c r="W844" i="50"/>
  <c r="AA730" i="50"/>
  <c r="Y648" i="50"/>
  <c r="W648" i="50"/>
  <c r="Z99" i="50"/>
  <c r="AA99" i="50"/>
  <c r="Z106" i="50"/>
  <c r="V286" i="50"/>
  <c r="W202" i="50"/>
  <c r="X202" i="50"/>
  <c r="V159" i="50"/>
  <c r="AA159" i="50"/>
  <c r="AA382" i="50"/>
  <c r="AA388" i="50"/>
  <c r="AA453" i="50"/>
  <c r="V453" i="50"/>
  <c r="Y655" i="50"/>
  <c r="V655" i="50"/>
  <c r="AA438" i="50"/>
  <c r="X438" i="50"/>
  <c r="V209" i="50"/>
  <c r="V358" i="50"/>
  <c r="W358" i="50"/>
  <c r="AA483" i="50"/>
  <c r="Y483" i="50"/>
  <c r="Z563" i="50"/>
  <c r="X727" i="50"/>
  <c r="Z614" i="50"/>
  <c r="AA614" i="50"/>
  <c r="Z204" i="50"/>
  <c r="X204" i="50"/>
  <c r="V235" i="50"/>
  <c r="V587" i="50"/>
  <c r="AA587" i="50"/>
  <c r="Y464" i="50"/>
  <c r="W464" i="50"/>
  <c r="X602" i="50"/>
  <c r="Z112" i="50"/>
  <c r="X112" i="50"/>
  <c r="W705" i="50"/>
  <c r="W391" i="50"/>
  <c r="Z178" i="50"/>
  <c r="X178" i="50"/>
  <c r="W400" i="50"/>
  <c r="W201" i="50"/>
  <c r="V628" i="50"/>
  <c r="Z540" i="50"/>
  <c r="X540" i="50"/>
  <c r="Z468" i="50"/>
  <c r="W468" i="50"/>
  <c r="Z543" i="50"/>
  <c r="W243" i="50"/>
  <c r="Y243" i="50"/>
  <c r="V622" i="50"/>
  <c r="Z622" i="50"/>
  <c r="X247" i="50"/>
  <c r="V247" i="50"/>
  <c r="AA291" i="50"/>
  <c r="W291" i="50"/>
  <c r="W395" i="50"/>
  <c r="X501" i="50"/>
  <c r="Z501" i="50"/>
  <c r="X513" i="50"/>
  <c r="V513" i="50"/>
  <c r="Y684" i="50"/>
  <c r="AA684" i="50"/>
  <c r="Y846" i="50"/>
  <c r="X492" i="50"/>
  <c r="W624" i="50"/>
  <c r="Y624" i="50"/>
  <c r="Y633" i="50"/>
  <c r="AA633" i="50"/>
  <c r="W518" i="50"/>
  <c r="AA518" i="50"/>
  <c r="Z770" i="50"/>
  <c r="X576" i="50"/>
  <c r="V576" i="50"/>
  <c r="Z678" i="50"/>
  <c r="V322" i="50"/>
  <c r="X322" i="50"/>
  <c r="V198" i="50"/>
  <c r="V703" i="50"/>
  <c r="AA703" i="50"/>
  <c r="Y520" i="50"/>
  <c r="AA520" i="50"/>
  <c r="X573" i="50"/>
  <c r="Z682" i="50"/>
  <c r="X682" i="50"/>
  <c r="W393" i="50"/>
  <c r="AA111" i="50"/>
  <c r="Y111" i="50"/>
  <c r="V700" i="50"/>
  <c r="Y700" i="50"/>
  <c r="AA351" i="50"/>
  <c r="Z444" i="50"/>
  <c r="X444" i="50"/>
  <c r="W266" i="50"/>
  <c r="Z266" i="50"/>
  <c r="W218" i="50"/>
  <c r="Z218" i="50"/>
  <c r="V773" i="50"/>
  <c r="Y408" i="50"/>
  <c r="AA408" i="50"/>
  <c r="Z338" i="50"/>
  <c r="W386" i="50"/>
  <c r="AA386" i="50"/>
  <c r="X544" i="50"/>
  <c r="V544" i="50"/>
  <c r="W229" i="50"/>
  <c r="AA500" i="50"/>
  <c r="Y500" i="50"/>
  <c r="Y804" i="50"/>
  <c r="AA804" i="50"/>
  <c r="Z346" i="50"/>
  <c r="X310" i="50"/>
  <c r="V310" i="50"/>
  <c r="W511" i="50"/>
  <c r="AA594" i="50"/>
  <c r="X629" i="50"/>
  <c r="Y471" i="50"/>
  <c r="W471" i="50"/>
  <c r="Z485" i="50"/>
  <c r="W717" i="50"/>
  <c r="X717" i="50"/>
  <c r="W626" i="50"/>
  <c r="Y626" i="50"/>
  <c r="Y423" i="50"/>
  <c r="W54" i="50"/>
  <c r="Z623" i="50"/>
  <c r="X623" i="50"/>
  <c r="V505" i="50"/>
  <c r="AA480" i="50"/>
  <c r="Y480" i="50"/>
  <c r="X732" i="50"/>
  <c r="Y732" i="50"/>
  <c r="V186" i="50"/>
  <c r="Z675" i="50"/>
  <c r="W406" i="50"/>
  <c r="Y406" i="50"/>
  <c r="AA117" i="50"/>
  <c r="Y117" i="50"/>
  <c r="AA402" i="50"/>
  <c r="X402" i="50"/>
  <c r="V593" i="50"/>
  <c r="Z172" i="50"/>
  <c r="X172" i="50"/>
  <c r="AA360" i="50"/>
  <c r="X238" i="50"/>
  <c r="V238" i="50"/>
  <c r="V73" i="50"/>
  <c r="AA729" i="50"/>
  <c r="Y729" i="50"/>
  <c r="W660" i="50"/>
  <c r="X189" i="50"/>
  <c r="X641" i="50"/>
  <c r="V641" i="50"/>
  <c r="AA810" i="50"/>
  <c r="Y810" i="50"/>
  <c r="W502" i="50"/>
  <c r="Z502" i="50"/>
  <c r="V524" i="50"/>
  <c r="X476" i="50"/>
  <c r="Z476" i="50"/>
  <c r="AA139" i="50"/>
  <c r="Y139" i="50"/>
  <c r="AA604" i="50"/>
  <c r="AA429" i="50"/>
  <c r="X317" i="50"/>
  <c r="V317" i="50"/>
  <c r="Z153" i="50"/>
  <c r="Y387" i="50"/>
  <c r="W387" i="50"/>
  <c r="Y508" i="50"/>
  <c r="AA227" i="50"/>
  <c r="V170" i="50"/>
  <c r="W65" i="50"/>
  <c r="X65" i="50"/>
  <c r="Z64" i="50"/>
  <c r="X64" i="50"/>
  <c r="W369" i="50"/>
  <c r="Y718" i="50"/>
  <c r="AA718" i="50"/>
  <c r="X695" i="50"/>
  <c r="V695" i="50"/>
  <c r="Z199" i="50"/>
  <c r="W498" i="50"/>
  <c r="W303" i="50"/>
  <c r="W371" i="50"/>
  <c r="V371" i="50"/>
  <c r="Z187" i="50"/>
  <c r="AA273" i="50"/>
  <c r="V144" i="50"/>
  <c r="Y440" i="50"/>
  <c r="X440" i="50"/>
  <c r="Y551" i="50"/>
  <c r="W551" i="50"/>
  <c r="Y556" i="50"/>
  <c r="W556" i="50"/>
  <c r="V719" i="50"/>
  <c r="Z119" i="50"/>
  <c r="Y119" i="50"/>
  <c r="AA77" i="50"/>
  <c r="X208" i="50"/>
  <c r="Y208" i="50"/>
  <c r="Y314" i="50"/>
  <c r="X410" i="50"/>
  <c r="Z559" i="50"/>
  <c r="W559" i="50"/>
  <c r="Z416" i="50"/>
  <c r="X416" i="50"/>
  <c r="X126" i="50"/>
  <c r="V126" i="50"/>
  <c r="Z97" i="50"/>
  <c r="V97" i="50"/>
  <c r="X304" i="50"/>
  <c r="V304" i="50"/>
  <c r="V815" i="50"/>
  <c r="AA815" i="50"/>
  <c r="X839" i="50"/>
  <c r="V839" i="50"/>
  <c r="W96" i="50"/>
  <c r="X361" i="50"/>
  <c r="V361" i="50"/>
  <c r="Z215" i="50"/>
  <c r="V634" i="50"/>
  <c r="W634" i="50"/>
  <c r="V651" i="50"/>
  <c r="X651" i="50"/>
  <c r="X384" i="50"/>
  <c r="AA384" i="50"/>
  <c r="V436" i="50"/>
  <c r="Y57" i="50"/>
  <c r="V57" i="50"/>
  <c r="Y585" i="50"/>
  <c r="X585" i="50"/>
  <c r="W363" i="50"/>
  <c r="V363" i="50"/>
  <c r="Y66" i="50"/>
  <c r="X66" i="50"/>
  <c r="V555" i="50"/>
  <c r="AA555" i="50"/>
  <c r="Z302" i="50"/>
  <c r="X302" i="50"/>
  <c r="Z212" i="50"/>
  <c r="AA212" i="50"/>
  <c r="V443" i="50"/>
  <c r="Y191" i="50"/>
  <c r="W191" i="50"/>
  <c r="X268" i="50"/>
  <c r="Z268" i="50"/>
  <c r="W835" i="50"/>
  <c r="W424" i="50"/>
  <c r="X424" i="50"/>
  <c r="X631" i="50"/>
  <c r="V631" i="50"/>
  <c r="V460" i="50"/>
  <c r="V574" i="50"/>
  <c r="AA574" i="50"/>
  <c r="V632" i="50"/>
  <c r="V70" i="50"/>
  <c r="Y832" i="50"/>
  <c r="AA832" i="50"/>
  <c r="X586" i="50"/>
  <c r="W467" i="50"/>
  <c r="Y234" i="50"/>
  <c r="W234" i="50"/>
  <c r="AA19" i="50"/>
  <c r="Y19" i="50"/>
  <c r="AA671" i="50"/>
  <c r="V118" i="50"/>
  <c r="Y118" i="50"/>
  <c r="W487" i="50"/>
  <c r="V607" i="50"/>
  <c r="X607" i="50"/>
  <c r="Y334" i="50"/>
  <c r="W334" i="50"/>
  <c r="Z260" i="50"/>
  <c r="W260" i="50"/>
  <c r="Z666" i="50"/>
  <c r="W845" i="50"/>
  <c r="V845" i="50"/>
  <c r="W503" i="50"/>
  <c r="W60" i="50"/>
  <c r="X661" i="50"/>
  <c r="Z661" i="50"/>
  <c r="V337" i="50"/>
  <c r="Z337" i="50"/>
  <c r="X223" i="50"/>
  <c r="V223" i="50"/>
  <c r="W237" i="50"/>
  <c r="W466" i="50"/>
  <c r="Y568" i="50"/>
  <c r="AA670" i="50"/>
  <c r="X670" i="50"/>
  <c r="AA326" i="50"/>
  <c r="AA725" i="50"/>
  <c r="V725" i="50"/>
  <c r="Y458" i="50"/>
  <c r="V458" i="50"/>
  <c r="AA253" i="50"/>
  <c r="Z451" i="50"/>
  <c r="AA256" i="50"/>
  <c r="V670" i="50"/>
  <c r="X725" i="50"/>
  <c r="W458" i="50"/>
  <c r="V253" i="50"/>
  <c r="W256" i="50"/>
  <c r="Y256" i="50"/>
  <c r="Y486" i="50"/>
  <c r="X272" i="50"/>
  <c r="V272" i="50"/>
  <c r="AA342" i="50"/>
  <c r="X809" i="50"/>
  <c r="Y809" i="50"/>
  <c r="Y545" i="50"/>
  <c r="W545" i="50"/>
  <c r="Z124" i="50"/>
  <c r="X124" i="50"/>
  <c r="V597" i="50"/>
  <c r="W597" i="50"/>
  <c r="W534" i="50"/>
  <c r="Y534" i="50"/>
  <c r="AA289" i="50"/>
  <c r="V289" i="50"/>
  <c r="W87" i="50"/>
  <c r="Y420" i="50"/>
  <c r="W420" i="50"/>
  <c r="Z674" i="50"/>
  <c r="X584" i="50"/>
  <c r="V584" i="50"/>
  <c r="W221" i="50"/>
  <c r="W262" i="50"/>
  <c r="V262" i="50"/>
  <c r="AA81" i="50"/>
  <c r="Y81" i="50"/>
  <c r="Y638" i="50"/>
  <c r="W638" i="50"/>
  <c r="W108" i="50"/>
  <c r="V768" i="50"/>
  <c r="Z305" i="50"/>
  <c r="AA308" i="50"/>
  <c r="W308" i="50"/>
  <c r="W133" i="50"/>
  <c r="Z163" i="50"/>
  <c r="X163" i="50"/>
  <c r="W514" i="50"/>
  <c r="Y514" i="50"/>
  <c r="X347" i="50"/>
  <c r="Y347" i="50"/>
  <c r="AA428" i="50"/>
  <c r="Z134" i="50"/>
  <c r="X394" i="50"/>
  <c r="V394" i="50"/>
  <c r="Z737" i="50"/>
  <c r="V158" i="50"/>
  <c r="Y158" i="50"/>
  <c r="W251" i="50"/>
  <c r="W258" i="50"/>
  <c r="AA315" i="50"/>
  <c r="V616" i="50"/>
  <c r="AA616" i="50"/>
  <c r="V694" i="50"/>
  <c r="X694" i="50"/>
  <c r="V137" i="50"/>
  <c r="V56" i="50"/>
  <c r="X56" i="50"/>
  <c r="Y142" i="50"/>
  <c r="W142" i="50"/>
  <c r="Y798" i="50"/>
  <c r="W798" i="50"/>
  <c r="W699" i="50"/>
  <c r="V681" i="50"/>
  <c r="X681" i="50"/>
  <c r="AA510" i="50"/>
  <c r="Y510" i="50"/>
  <c r="V283" i="50"/>
  <c r="AA491" i="50"/>
  <c r="V378" i="50"/>
  <c r="X378" i="50"/>
  <c r="X94" i="50"/>
  <c r="Z554" i="50"/>
  <c r="X554" i="50"/>
  <c r="W168" i="50"/>
  <c r="AA450" i="50"/>
  <c r="V154" i="50"/>
  <c r="AA154" i="50"/>
  <c r="Y473" i="50"/>
  <c r="AA473" i="50"/>
  <c r="AA174" i="50"/>
  <c r="Y174" i="50"/>
  <c r="W190" i="50"/>
  <c r="W356" i="50"/>
  <c r="Y356" i="50"/>
  <c r="W149" i="50"/>
  <c r="AA213" i="50"/>
  <c r="V328" i="50"/>
  <c r="AA328" i="50"/>
  <c r="X105" i="50"/>
  <c r="V105" i="50"/>
  <c r="Z814" i="50"/>
  <c r="X203" i="50"/>
  <c r="V203" i="50"/>
  <c r="X296" i="50"/>
  <c r="V296" i="50"/>
  <c r="AA654" i="50"/>
  <c r="Y654" i="50"/>
  <c r="V200" i="50"/>
  <c r="X200" i="50"/>
  <c r="AA72" i="50"/>
  <c r="V207" i="50"/>
  <c r="X207" i="50"/>
  <c r="W523" i="50"/>
  <c r="Y523" i="50"/>
  <c r="Z611" i="50"/>
  <c r="X611" i="50"/>
  <c r="Z18" i="50"/>
  <c r="W399" i="50"/>
  <c r="Y399" i="50"/>
  <c r="W14" i="50"/>
  <c r="X14" i="50"/>
  <c r="Y127" i="50"/>
  <c r="W127" i="50"/>
  <c r="V807" i="50"/>
  <c r="Z319" i="50"/>
  <c r="AA319" i="50"/>
  <c r="Y396" i="50"/>
  <c r="W396" i="50"/>
  <c r="AA271" i="50"/>
  <c r="X329" i="50"/>
  <c r="V329" i="50"/>
  <c r="AA269" i="50"/>
  <c r="Y269" i="50"/>
  <c r="Z617" i="50"/>
  <c r="AA250" i="50"/>
  <c r="W250" i="50"/>
  <c r="Y668" i="50"/>
  <c r="Z668" i="50"/>
  <c r="Z120" i="50"/>
  <c r="X120" i="50"/>
  <c r="W806" i="50"/>
  <c r="AA530" i="50"/>
  <c r="Z383" i="50"/>
  <c r="AA205" i="50"/>
  <c r="W706" i="50"/>
  <c r="V418" i="50"/>
  <c r="AA418" i="50"/>
  <c r="AA122" i="50"/>
  <c r="Z693" i="50"/>
  <c r="Y800" i="50"/>
  <c r="Z800" i="50"/>
  <c r="Y84" i="50"/>
  <c r="Z84" i="50"/>
  <c r="Y11" i="50"/>
  <c r="X10" i="50"/>
  <c r="V10" i="50"/>
  <c r="W128" i="50"/>
  <c r="Z128" i="50"/>
  <c r="V522" i="50"/>
  <c r="Z686" i="50"/>
  <c r="X686" i="50"/>
  <c r="W321" i="50"/>
  <c r="Z321" i="50"/>
  <c r="X489" i="50"/>
  <c r="X657" i="50"/>
  <c r="V657" i="50"/>
  <c r="Z488" i="50"/>
  <c r="AA488" i="50"/>
  <c r="Z733" i="50"/>
  <c r="X733" i="50"/>
  <c r="Z411" i="50"/>
  <c r="V797" i="50"/>
  <c r="Z797" i="50"/>
  <c r="AA583" i="50"/>
  <c r="X583" i="50"/>
  <c r="AA246" i="50"/>
  <c r="W246" i="50"/>
  <c r="AA490" i="50"/>
  <c r="Y490" i="50"/>
  <c r="X553" i="50"/>
  <c r="V553" i="50"/>
  <c r="X577" i="50"/>
  <c r="Z192" i="50"/>
  <c r="X192" i="50"/>
  <c r="W162" i="50"/>
  <c r="Z151" i="50"/>
  <c r="X151" i="50"/>
  <c r="Z435" i="50"/>
  <c r="Y86" i="50"/>
  <c r="V86" i="50"/>
  <c r="V564" i="50"/>
  <c r="W241" i="50"/>
  <c r="Z140" i="50"/>
  <c r="X677" i="50"/>
  <c r="AA297" i="50"/>
  <c r="X297" i="50"/>
  <c r="W330" i="50"/>
  <c r="Y803" i="50"/>
  <c r="W803" i="50"/>
  <c r="W463" i="50"/>
  <c r="Y463" i="50"/>
  <c r="AA840" i="50"/>
  <c r="V385" i="50"/>
  <c r="AA364" i="50"/>
  <c r="Y364" i="50"/>
  <c r="Z618" i="50"/>
  <c r="Y618" i="50"/>
  <c r="W354" i="50"/>
  <c r="V542" i="50"/>
  <c r="AA542" i="50"/>
  <c r="Z230" i="50"/>
  <c r="X230" i="50"/>
  <c r="AA547" i="50"/>
  <c r="V547" i="50"/>
  <c r="AA252" i="50"/>
  <c r="AA276" i="50"/>
  <c r="AA645" i="50"/>
  <c r="Y645" i="50"/>
  <c r="AA426" i="50"/>
  <c r="Y426" i="50"/>
  <c r="V195" i="50"/>
  <c r="X389" i="50"/>
  <c r="Z389" i="50"/>
  <c r="X231" i="50"/>
  <c r="AA231" i="50"/>
  <c r="AA673" i="50"/>
  <c r="X78" i="50"/>
  <c r="V78" i="50"/>
  <c r="Y610" i="50"/>
  <c r="V610" i="50"/>
  <c r="Y739" i="50"/>
  <c r="W739" i="50"/>
  <c r="V61" i="50"/>
  <c r="Z517" i="50"/>
  <c r="X517" i="50"/>
  <c r="Z446" i="50"/>
  <c r="AA446" i="50"/>
  <c r="AA504" i="50"/>
  <c r="AA288" i="50"/>
  <c r="Z813" i="50"/>
  <c r="X813" i="50"/>
  <c r="X355" i="50"/>
  <c r="V355" i="50"/>
  <c r="Z138" i="50"/>
  <c r="X138" i="50"/>
  <c r="Z615" i="50"/>
  <c r="X615" i="50"/>
  <c r="V590" i="50"/>
  <c r="W590" i="50"/>
  <c r="Y507" i="50"/>
  <c r="AA507" i="50"/>
  <c r="V123" i="50"/>
  <c r="Y123" i="50"/>
  <c r="X294" i="50"/>
  <c r="V294" i="50"/>
  <c r="Z679" i="50"/>
  <c r="W287" i="50"/>
  <c r="Z281" i="50"/>
  <c r="Z653" i="50"/>
  <c r="X653" i="50"/>
  <c r="V701" i="50"/>
  <c r="AA724" i="50"/>
  <c r="V724" i="50"/>
  <c r="Y343" i="50"/>
  <c r="X155" i="50"/>
  <c r="Z155" i="50"/>
  <c r="W350" i="50"/>
  <c r="Z263" i="50"/>
  <c r="Y392" i="50"/>
  <c r="W392" i="50"/>
  <c r="Y179" i="50"/>
  <c r="Z179" i="50"/>
  <c r="W469" i="50"/>
  <c r="AA535" i="50"/>
  <c r="Y535" i="50"/>
  <c r="V327" i="50"/>
  <c r="AA457" i="50"/>
  <c r="AA236" i="50"/>
  <c r="Y236" i="50"/>
  <c r="V376" i="50"/>
  <c r="X125" i="50"/>
  <c r="W125" i="50"/>
  <c r="W166" i="50"/>
  <c r="X625" i="50"/>
  <c r="V625" i="50"/>
  <c r="V285" i="50"/>
  <c r="Z506" i="50"/>
  <c r="V506" i="50"/>
  <c r="Z228" i="50"/>
  <c r="W228" i="50"/>
  <c r="W698" i="50"/>
  <c r="Z698" i="50"/>
  <c r="W549" i="50"/>
  <c r="W180" i="50"/>
  <c r="Z581" i="50"/>
  <c r="X113" i="50"/>
  <c r="Z113" i="50"/>
  <c r="V589" i="50"/>
  <c r="X132" i="50"/>
  <c r="Z132" i="50"/>
  <c r="X222" i="50"/>
  <c r="AA222" i="50"/>
  <c r="X481" i="50"/>
  <c r="Z481" i="50"/>
  <c r="X148" i="50"/>
  <c r="X244" i="50"/>
  <c r="AA95" i="50"/>
  <c r="Z306" i="50"/>
  <c r="X306" i="50"/>
  <c r="Z417" i="50"/>
  <c r="AA417" i="50"/>
  <c r="V349" i="50"/>
  <c r="X349" i="50"/>
  <c r="X196" i="50"/>
  <c r="W525" i="50"/>
  <c r="W55" i="50"/>
  <c r="Y55" i="50"/>
  <c r="Z107" i="50"/>
  <c r="X107" i="50"/>
  <c r="X449" i="50"/>
  <c r="AA449" i="50"/>
  <c r="W646" i="50"/>
  <c r="AA579" i="50"/>
  <c r="Z600" i="50"/>
  <c r="AA116" i="50"/>
  <c r="Z116" i="50"/>
  <c r="V89" i="50"/>
  <c r="W640" i="50"/>
  <c r="Z270" i="50"/>
  <c r="X270" i="50"/>
  <c r="V799" i="50"/>
  <c r="Y691" i="50"/>
  <c r="W691" i="50"/>
  <c r="V834" i="50"/>
  <c r="W442" i="50"/>
  <c r="V98" i="50"/>
  <c r="Y211" i="50"/>
  <c r="V211" i="50"/>
  <c r="X193" i="50"/>
  <c r="V193" i="50"/>
  <c r="Z842" i="50"/>
  <c r="AA437" i="50"/>
  <c r="Y437" i="50"/>
  <c r="Z433" i="50"/>
  <c r="AA433" i="50"/>
  <c r="AA582" i="50"/>
  <c r="Y161" i="50"/>
  <c r="W161" i="50"/>
  <c r="V475" i="50"/>
  <c r="Y475" i="50"/>
  <c r="Z512" i="50"/>
  <c r="Z366" i="50"/>
  <c r="X366" i="50"/>
  <c r="AA115" i="50"/>
  <c r="X115" i="50"/>
  <c r="X93" i="50"/>
  <c r="Z93" i="50"/>
  <c r="Z596" i="50"/>
  <c r="X775" i="50"/>
  <c r="Z775" i="50"/>
  <c r="X680" i="50"/>
  <c r="V680" i="50"/>
  <c r="X326" i="50"/>
  <c r="W725" i="50"/>
  <c r="Z458" i="50"/>
  <c r="Y253" i="50"/>
  <c r="W451" i="50"/>
  <c r="V256" i="50"/>
  <c r="X256" i="50"/>
  <c r="Y613" i="50"/>
  <c r="AA613" i="50"/>
  <c r="W486" i="50"/>
  <c r="Z486" i="50"/>
  <c r="AA272" i="50"/>
  <c r="Z342" i="50"/>
  <c r="V342" i="50"/>
  <c r="V809" i="50"/>
  <c r="V545" i="50"/>
  <c r="AA545" i="50"/>
  <c r="V124" i="50"/>
  <c r="Z597" i="50"/>
  <c r="X597" i="50"/>
  <c r="AA534" i="50"/>
  <c r="Z289" i="50"/>
  <c r="Y87" i="50"/>
  <c r="AA87" i="50"/>
  <c r="V420" i="50"/>
  <c r="Z420" i="50"/>
  <c r="X674" i="50"/>
  <c r="V674" i="50"/>
  <c r="W584" i="50"/>
  <c r="AA221" i="50"/>
  <c r="AA262" i="50"/>
  <c r="Y262" i="50"/>
  <c r="W81" i="50"/>
  <c r="AA108" i="50"/>
  <c r="X768" i="50"/>
  <c r="AA768" i="50"/>
  <c r="X305" i="50"/>
  <c r="V305" i="50"/>
  <c r="V308" i="50"/>
  <c r="Y133" i="50"/>
  <c r="X133" i="50"/>
  <c r="V163" i="50"/>
  <c r="AA163" i="50"/>
  <c r="V514" i="50"/>
  <c r="X514" i="50"/>
  <c r="Z347" i="50"/>
  <c r="Y428" i="50"/>
  <c r="W428" i="50"/>
  <c r="V134" i="50"/>
  <c r="W134" i="50"/>
  <c r="W394" i="50"/>
  <c r="AA394" i="50"/>
  <c r="X737" i="50"/>
  <c r="V737" i="50"/>
  <c r="Z158" i="50"/>
  <c r="W158" i="50"/>
  <c r="Z251" i="50"/>
  <c r="X251" i="50"/>
  <c r="Z258" i="50"/>
  <c r="Y315" i="50"/>
  <c r="W315" i="50"/>
  <c r="Z616" i="50"/>
  <c r="W616" i="50"/>
  <c r="Z694" i="50"/>
  <c r="X137" i="50"/>
  <c r="Z137" i="50"/>
  <c r="Z56" i="50"/>
  <c r="Z142" i="50"/>
  <c r="AA699" i="50"/>
  <c r="Z699" i="50"/>
  <c r="Z681" i="50"/>
  <c r="AA681" i="50"/>
  <c r="X510" i="50"/>
  <c r="V510" i="50"/>
  <c r="W283" i="50"/>
  <c r="Y283" i="50"/>
  <c r="Z491" i="50"/>
  <c r="W491" i="50"/>
  <c r="W378" i="50"/>
  <c r="AA94" i="50"/>
  <c r="Y94" i="50"/>
  <c r="V554" i="50"/>
  <c r="Y554" i="50"/>
  <c r="AA168" i="50"/>
  <c r="X168" i="50"/>
  <c r="Y766" i="50"/>
  <c r="X766" i="50"/>
  <c r="W450" i="50"/>
  <c r="Y450" i="50"/>
  <c r="Y154" i="50"/>
  <c r="W154" i="50"/>
  <c r="V473" i="50"/>
  <c r="W174" i="50"/>
  <c r="Y190" i="50"/>
  <c r="AA190" i="50"/>
  <c r="V356" i="50"/>
  <c r="Y149" i="50"/>
  <c r="AA149" i="50"/>
  <c r="Y213" i="50"/>
  <c r="V213" i="50"/>
  <c r="Y328" i="50"/>
  <c r="W328" i="50"/>
  <c r="AA105" i="50"/>
  <c r="X814" i="50"/>
  <c r="V814" i="50"/>
  <c r="AA203" i="50"/>
  <c r="Y203" i="50"/>
  <c r="Z771" i="50"/>
  <c r="X771" i="50"/>
  <c r="AA296" i="50"/>
  <c r="Y296" i="50"/>
  <c r="W654" i="50"/>
  <c r="AA200" i="50"/>
  <c r="X72" i="50"/>
  <c r="Z207" i="50"/>
  <c r="W207" i="50"/>
  <c r="AA523" i="50"/>
  <c r="V611" i="50"/>
  <c r="X18" i="50"/>
  <c r="V18" i="50"/>
  <c r="Z399" i="50"/>
  <c r="X399" i="50"/>
  <c r="Y14" i="50"/>
  <c r="V14" i="50"/>
  <c r="Z335" i="50"/>
  <c r="X335" i="50"/>
  <c r="AA807" i="50"/>
  <c r="Y807" i="50"/>
  <c r="V319" i="50"/>
  <c r="X319" i="50"/>
  <c r="Y271" i="50"/>
  <c r="W271" i="50"/>
  <c r="AA329" i="50"/>
  <c r="Y329" i="50"/>
  <c r="W269" i="50"/>
  <c r="W617" i="50"/>
  <c r="V617" i="50"/>
  <c r="V250" i="50"/>
  <c r="V668" i="50"/>
  <c r="X668" i="50"/>
  <c r="AA806" i="50"/>
  <c r="Y806" i="50"/>
  <c r="Z530" i="50"/>
  <c r="X530" i="50"/>
  <c r="Y383" i="50"/>
  <c r="Y205" i="50"/>
  <c r="W205" i="50"/>
  <c r="Y706" i="50"/>
  <c r="V706" i="50"/>
  <c r="W418" i="50"/>
  <c r="Y122" i="50"/>
  <c r="X693" i="50"/>
  <c r="V693" i="50"/>
  <c r="W800" i="50"/>
  <c r="W84" i="50"/>
  <c r="W11" i="50"/>
  <c r="AA10" i="50"/>
  <c r="Y10" i="50"/>
  <c r="Y128" i="50"/>
  <c r="Y522" i="50"/>
  <c r="V686" i="50"/>
  <c r="AA686" i="50"/>
  <c r="AA321" i="50"/>
  <c r="V489" i="50"/>
  <c r="Y489" i="50"/>
  <c r="AA657" i="50"/>
  <c r="Y657" i="50"/>
  <c r="V488" i="50"/>
  <c r="W488" i="50"/>
  <c r="V733" i="50"/>
  <c r="AA411" i="50"/>
  <c r="W797" i="50"/>
  <c r="V583" i="50"/>
  <c r="Z246" i="50"/>
  <c r="W490" i="50"/>
  <c r="AA553" i="50"/>
  <c r="V577" i="50"/>
  <c r="V192" i="50"/>
  <c r="AA192" i="50"/>
  <c r="AA162" i="50"/>
  <c r="Y162" i="50"/>
  <c r="V151" i="50"/>
  <c r="W435" i="50"/>
  <c r="X86" i="50"/>
  <c r="Z86" i="50"/>
  <c r="AA564" i="50"/>
  <c r="X564" i="50"/>
  <c r="Y241" i="50"/>
  <c r="Y140" i="50"/>
  <c r="W140" i="50"/>
  <c r="Y677" i="50"/>
  <c r="AA677" i="50"/>
  <c r="W297" i="50"/>
  <c r="Z297" i="50"/>
  <c r="Z330" i="50"/>
  <c r="X330" i="50"/>
  <c r="Z801" i="50"/>
  <c r="X801" i="50"/>
  <c r="Z803" i="50"/>
  <c r="V463" i="50"/>
  <c r="Z463" i="50"/>
  <c r="Y840" i="50"/>
  <c r="X385" i="50"/>
  <c r="W385" i="50"/>
  <c r="W364" i="50"/>
  <c r="W618" i="50"/>
  <c r="Z354" i="50"/>
  <c r="X542" i="50"/>
  <c r="Y230" i="50"/>
  <c r="AA230" i="50"/>
  <c r="X547" i="50"/>
  <c r="Y252" i="50"/>
  <c r="W252" i="50"/>
  <c r="Z276" i="50"/>
  <c r="W276" i="50"/>
  <c r="W645" i="50"/>
  <c r="V426" i="50"/>
  <c r="AA195" i="50"/>
  <c r="Y195" i="50"/>
  <c r="W389" i="50"/>
  <c r="Y231" i="50"/>
  <c r="Y673" i="50"/>
  <c r="W673" i="50"/>
  <c r="W78" i="50"/>
  <c r="Y78" i="50"/>
  <c r="X610" i="50"/>
  <c r="Z610" i="50"/>
  <c r="X61" i="50"/>
  <c r="Z61" i="50"/>
  <c r="V517" i="50"/>
  <c r="AA517" i="50"/>
  <c r="W446" i="50"/>
  <c r="Y504" i="50"/>
  <c r="Y288" i="50"/>
  <c r="W288" i="50"/>
  <c r="V813" i="50"/>
  <c r="AA813" i="50"/>
  <c r="AA355" i="50"/>
  <c r="Y355" i="50"/>
  <c r="Y138" i="50"/>
  <c r="Z448" i="50"/>
  <c r="X448" i="50"/>
  <c r="V615" i="50"/>
  <c r="AA615" i="50"/>
  <c r="X590" i="50"/>
  <c r="Z621" i="50"/>
  <c r="X621" i="50"/>
  <c r="Z507" i="50"/>
  <c r="X123" i="50"/>
  <c r="AA123" i="50"/>
  <c r="W294" i="50"/>
  <c r="Y679" i="50"/>
  <c r="V679" i="50"/>
  <c r="V287" i="50"/>
  <c r="Y287" i="50"/>
  <c r="X281" i="50"/>
  <c r="V281" i="50"/>
  <c r="V653" i="50"/>
  <c r="W701" i="50"/>
  <c r="Y701" i="50"/>
  <c r="Y724" i="50"/>
  <c r="X724" i="50"/>
  <c r="Z343" i="50"/>
  <c r="AA343" i="50"/>
  <c r="AA155" i="50"/>
  <c r="Z350" i="50"/>
  <c r="X350" i="50"/>
  <c r="W263" i="50"/>
  <c r="X263" i="50"/>
  <c r="Z392" i="50"/>
  <c r="X179" i="50"/>
  <c r="W179" i="50"/>
  <c r="Z469" i="50"/>
  <c r="W535" i="50"/>
  <c r="X535" i="50"/>
  <c r="Y327" i="50"/>
  <c r="Z327" i="50"/>
  <c r="X457" i="50"/>
  <c r="V457" i="50"/>
  <c r="W236" i="50"/>
  <c r="X376" i="50"/>
  <c r="Z376" i="50"/>
  <c r="AA125" i="50"/>
  <c r="V125" i="50"/>
  <c r="Z166" i="50"/>
  <c r="X166" i="50"/>
  <c r="AA625" i="50"/>
  <c r="W285" i="50"/>
  <c r="Y285" i="50"/>
  <c r="AA506" i="50"/>
  <c r="Y506" i="50"/>
  <c r="V228" i="50"/>
  <c r="X228" i="50"/>
  <c r="V698" i="50"/>
  <c r="X549" i="50"/>
  <c r="Z549" i="50"/>
  <c r="Y180" i="50"/>
  <c r="V180" i="50"/>
  <c r="W581" i="50"/>
  <c r="X581" i="50"/>
  <c r="W113" i="50"/>
  <c r="Y113" i="50"/>
  <c r="X589" i="50"/>
  <c r="Z589" i="50"/>
  <c r="W132" i="50"/>
  <c r="W222" i="50"/>
  <c r="W481" i="50"/>
  <c r="V148" i="50"/>
  <c r="Z148" i="50"/>
  <c r="W244" i="50"/>
  <c r="V244" i="50"/>
  <c r="Y95" i="50"/>
  <c r="V306" i="50"/>
  <c r="AA306" i="50"/>
  <c r="X417" i="50"/>
  <c r="Z349" i="50"/>
  <c r="Y196" i="50"/>
  <c r="Z525" i="50"/>
  <c r="X525" i="50"/>
  <c r="V55" i="50"/>
  <c r="Z836" i="50"/>
  <c r="X836" i="50"/>
  <c r="V107" i="50"/>
  <c r="AA107" i="50"/>
  <c r="Y449" i="50"/>
  <c r="Y646" i="50"/>
  <c r="Y579" i="50"/>
  <c r="X600" i="50"/>
  <c r="V600" i="50"/>
  <c r="W116" i="50"/>
  <c r="W89" i="50"/>
  <c r="X89" i="50"/>
  <c r="V640" i="50"/>
  <c r="AA640" i="50"/>
  <c r="V270" i="50"/>
  <c r="X799" i="50"/>
  <c r="Z799" i="50"/>
  <c r="Z691" i="50"/>
  <c r="AA834" i="50"/>
  <c r="X834" i="50"/>
  <c r="Z442" i="50"/>
  <c r="AA98" i="50"/>
  <c r="Y98" i="50"/>
  <c r="X211" i="50"/>
  <c r="Z211" i="50"/>
  <c r="W193" i="50"/>
  <c r="X842" i="50"/>
  <c r="V842" i="50"/>
  <c r="W437" i="50"/>
  <c r="W582" i="50"/>
  <c r="Z161" i="50"/>
  <c r="X475" i="50"/>
  <c r="W475" i="50"/>
  <c r="AA512" i="50"/>
  <c r="V366" i="50"/>
  <c r="AA366" i="50"/>
  <c r="W115" i="50"/>
  <c r="V115" i="50"/>
  <c r="AA93" i="50"/>
  <c r="V596" i="50"/>
  <c r="AA596" i="50"/>
  <c r="V775" i="50"/>
  <c r="AA680" i="50"/>
  <c r="Y680" i="50"/>
  <c r="W620" i="50"/>
  <c r="X620" i="50"/>
  <c r="Z185" i="50"/>
  <c r="X185" i="50"/>
  <c r="V477" i="50"/>
  <c r="W477" i="50"/>
  <c r="Z298" i="50"/>
  <c r="Z326" i="50"/>
  <c r="Z725" i="50"/>
  <c r="X458" i="50"/>
  <c r="X253" i="50"/>
  <c r="Y451" i="50"/>
  <c r="Z256" i="50"/>
  <c r="W613" i="50"/>
  <c r="V613" i="50"/>
  <c r="X486" i="50"/>
  <c r="Y272" i="50"/>
  <c r="W272" i="50"/>
  <c r="X342" i="50"/>
  <c r="W342" i="50"/>
  <c r="AA809" i="50"/>
  <c r="Z809" i="50"/>
  <c r="X545" i="50"/>
  <c r="AA124" i="50"/>
  <c r="Y124" i="50"/>
  <c r="AA597" i="50"/>
  <c r="Z534" i="50"/>
  <c r="W289" i="50"/>
  <c r="Z87" i="50"/>
  <c r="AA420" i="50"/>
  <c r="AA674" i="50"/>
  <c r="Y584" i="50"/>
  <c r="AA584" i="50"/>
  <c r="Y221" i="50"/>
  <c r="V221" i="50"/>
  <c r="X262" i="50"/>
  <c r="Z81" i="50"/>
  <c r="Z638" i="50"/>
  <c r="X638" i="50"/>
  <c r="Y108" i="50"/>
  <c r="V108" i="50"/>
  <c r="Y768" i="50"/>
  <c r="Z768" i="50"/>
  <c r="AA305" i="50"/>
  <c r="Y308" i="50"/>
  <c r="Z308" i="50"/>
  <c r="Z133" i="50"/>
  <c r="Y163" i="50"/>
  <c r="W163" i="50"/>
  <c r="Z514" i="50"/>
  <c r="V347" i="50"/>
  <c r="Z428" i="50"/>
  <c r="X134" i="50"/>
  <c r="Y134" i="50"/>
  <c r="AA737" i="50"/>
  <c r="Y737" i="50"/>
  <c r="X158" i="50"/>
  <c r="AA158" i="50"/>
  <c r="V251" i="50"/>
  <c r="X258" i="50"/>
  <c r="V258" i="50"/>
  <c r="Z315" i="50"/>
  <c r="X616" i="50"/>
  <c r="Y616" i="50"/>
  <c r="AA694" i="50"/>
  <c r="AA137" i="50"/>
  <c r="Y56" i="50"/>
  <c r="AA56" i="50"/>
  <c r="X142" i="50"/>
  <c r="Z798" i="50"/>
  <c r="X798" i="50"/>
  <c r="X699" i="50"/>
  <c r="V699" i="50"/>
  <c r="W681" i="50"/>
  <c r="Z510" i="50"/>
  <c r="AA283" i="50"/>
  <c r="V491" i="50"/>
  <c r="X491" i="50"/>
  <c r="AA378" i="50"/>
  <c r="V94" i="50"/>
  <c r="W94" i="50"/>
  <c r="W554" i="50"/>
  <c r="V168" i="50"/>
  <c r="AA766" i="50"/>
  <c r="Z766" i="50"/>
  <c r="Z450" i="50"/>
  <c r="X450" i="50"/>
  <c r="X473" i="50"/>
  <c r="Z473" i="50"/>
  <c r="Z174" i="50"/>
  <c r="X174" i="50"/>
  <c r="V190" i="50"/>
  <c r="X356" i="50"/>
  <c r="Z356" i="50"/>
  <c r="V149" i="50"/>
  <c r="X213" i="50"/>
  <c r="Z213" i="50"/>
  <c r="Y105" i="50"/>
  <c r="W105" i="50"/>
  <c r="W814" i="50"/>
  <c r="Y814" i="50"/>
  <c r="W203" i="50"/>
  <c r="V771" i="50"/>
  <c r="AA771" i="50"/>
  <c r="W296" i="50"/>
  <c r="Z654" i="50"/>
  <c r="Y200" i="50"/>
  <c r="Z200" i="50"/>
  <c r="W72" i="50"/>
  <c r="Z72" i="50"/>
  <c r="AA207" i="50"/>
  <c r="Z523" i="50"/>
  <c r="AA611" i="50"/>
  <c r="Y611" i="50"/>
  <c r="AA18" i="50"/>
  <c r="Y18" i="50"/>
  <c r="V399" i="50"/>
  <c r="AA399" i="50"/>
  <c r="AA14" i="50"/>
  <c r="Z127" i="50"/>
  <c r="AA127" i="50"/>
  <c r="V335" i="50"/>
  <c r="W335" i="50"/>
  <c r="Z807" i="50"/>
  <c r="W807" i="50"/>
  <c r="Y319" i="50"/>
  <c r="Z396" i="50"/>
  <c r="X396" i="50"/>
  <c r="Z271" i="50"/>
  <c r="W329" i="50"/>
  <c r="Z269" i="50"/>
  <c r="AA617" i="50"/>
  <c r="Y617" i="50"/>
  <c r="Z250" i="50"/>
  <c r="X250" i="50"/>
  <c r="W120" i="50"/>
  <c r="Y120" i="50"/>
  <c r="V806" i="50"/>
  <c r="X806" i="50"/>
  <c r="V530" i="50"/>
  <c r="AA383" i="50"/>
  <c r="X383" i="50"/>
  <c r="Z205" i="50"/>
  <c r="X706" i="50"/>
  <c r="Z706" i="50"/>
  <c r="Y418" i="50"/>
  <c r="V122" i="50"/>
  <c r="X122" i="50"/>
  <c r="AA693" i="50"/>
  <c r="Y693" i="50"/>
  <c r="AA800" i="50"/>
  <c r="AA84" i="50"/>
  <c r="Z11" i="50"/>
  <c r="AA11" i="50"/>
  <c r="W10" i="50"/>
  <c r="V128" i="50"/>
  <c r="X522" i="50"/>
  <c r="Z522" i="50"/>
  <c r="Y686" i="50"/>
  <c r="W686" i="50"/>
  <c r="Y321" i="50"/>
  <c r="AA489" i="50"/>
  <c r="W657" i="50"/>
  <c r="Y488" i="50"/>
  <c r="AA733" i="50"/>
  <c r="Y733" i="50"/>
  <c r="W411" i="50"/>
  <c r="Y411" i="50"/>
  <c r="AA797" i="50"/>
  <c r="W583" i="50"/>
  <c r="Y246" i="50"/>
  <c r="V246" i="50"/>
  <c r="Z490" i="50"/>
  <c r="Y553" i="50"/>
  <c r="W553" i="50"/>
  <c r="Z577" i="50"/>
  <c r="Y577" i="50"/>
  <c r="Y192" i="50"/>
  <c r="W192" i="50"/>
  <c r="V162" i="50"/>
  <c r="AA151" i="50"/>
  <c r="Y151" i="50"/>
  <c r="AA435" i="50"/>
  <c r="Y435" i="50"/>
  <c r="W86" i="50"/>
  <c r="Y564" i="50"/>
  <c r="V241" i="50"/>
  <c r="X241" i="50"/>
  <c r="X140" i="50"/>
  <c r="AA140" i="50"/>
  <c r="W677" i="50"/>
  <c r="Y297" i="50"/>
  <c r="V330" i="50"/>
  <c r="V801" i="50"/>
  <c r="AA801" i="50"/>
  <c r="X803" i="50"/>
  <c r="V803" i="50"/>
  <c r="V840" i="50"/>
  <c r="X840" i="50"/>
  <c r="Y385" i="50"/>
  <c r="Z364" i="50"/>
  <c r="X618" i="50"/>
  <c r="V354" i="50"/>
  <c r="AA354" i="50"/>
  <c r="Z542" i="50"/>
  <c r="Y542" i="50"/>
  <c r="Y547" i="50"/>
  <c r="Z252" i="50"/>
  <c r="V276" i="50"/>
  <c r="X276" i="50"/>
  <c r="Z645" i="50"/>
  <c r="X426" i="50"/>
  <c r="Z426" i="50"/>
  <c r="W195" i="50"/>
  <c r="AA389" i="50"/>
  <c r="Y389" i="50"/>
  <c r="W231" i="50"/>
  <c r="Z673" i="50"/>
  <c r="AA78" i="50"/>
  <c r="AA610" i="50"/>
  <c r="Z739" i="50"/>
  <c r="X739" i="50"/>
  <c r="AA61" i="50"/>
  <c r="Y517" i="50"/>
  <c r="W517" i="50"/>
  <c r="Y446" i="50"/>
  <c r="V504" i="50"/>
  <c r="X504" i="50"/>
  <c r="Z288" i="50"/>
  <c r="Y813" i="50"/>
  <c r="W813" i="50"/>
  <c r="W355" i="50"/>
  <c r="W138" i="50"/>
  <c r="V448" i="50"/>
  <c r="AA448" i="50"/>
  <c r="Y615" i="50"/>
  <c r="W615" i="50"/>
  <c r="Z590" i="50"/>
  <c r="V621" i="50"/>
  <c r="AA621" i="50"/>
  <c r="X507" i="50"/>
  <c r="V507" i="50"/>
  <c r="Y294" i="50"/>
  <c r="AA294" i="50"/>
  <c r="AA679" i="50"/>
  <c r="W679" i="50"/>
  <c r="Z287" i="50"/>
  <c r="AA281" i="50"/>
  <c r="Y281" i="50"/>
  <c r="W653" i="50"/>
  <c r="Y653" i="50"/>
  <c r="AA701" i="50"/>
  <c r="W724" i="50"/>
  <c r="X343" i="50"/>
  <c r="W155" i="50"/>
  <c r="Y155" i="50"/>
  <c r="V350" i="50"/>
  <c r="V263" i="50"/>
  <c r="AA263" i="50"/>
  <c r="X392" i="50"/>
  <c r="V392" i="50"/>
  <c r="V179" i="50"/>
  <c r="V469" i="50"/>
  <c r="AA469" i="50"/>
  <c r="Z535" i="50"/>
  <c r="V535" i="50"/>
  <c r="X327" i="50"/>
  <c r="Y457" i="50"/>
  <c r="Z457" i="50"/>
  <c r="Z236" i="50"/>
  <c r="X236" i="50"/>
  <c r="W376" i="50"/>
  <c r="Y125" i="50"/>
  <c r="V166" i="50"/>
  <c r="Y625" i="50"/>
  <c r="W625" i="50"/>
  <c r="AA285" i="50"/>
  <c r="W506" i="50"/>
  <c r="Y228" i="50"/>
  <c r="X698" i="50"/>
  <c r="AA549" i="50"/>
  <c r="V549" i="50"/>
  <c r="X180" i="50"/>
  <c r="Z180" i="50"/>
  <c r="AA581" i="50"/>
  <c r="AA113" i="50"/>
  <c r="W589" i="50"/>
  <c r="AA132" i="50"/>
  <c r="Y132" i="50"/>
  <c r="Y222" i="50"/>
  <c r="AA481" i="50"/>
  <c r="Y481" i="50"/>
  <c r="Y148" i="50"/>
  <c r="AA148" i="50"/>
  <c r="AA244" i="50"/>
  <c r="Y244" i="50"/>
  <c r="V95" i="50"/>
  <c r="X95" i="50"/>
  <c r="Y306" i="50"/>
  <c r="W306" i="50"/>
  <c r="Y417" i="50"/>
  <c r="W349" i="50"/>
  <c r="Z196" i="50"/>
  <c r="W196" i="50"/>
  <c r="V525" i="50"/>
  <c r="X55" i="50"/>
  <c r="Z55" i="50"/>
  <c r="V836" i="50"/>
  <c r="W836" i="50"/>
  <c r="Y107" i="50"/>
  <c r="W107" i="50"/>
  <c r="W449" i="50"/>
  <c r="V646" i="50"/>
  <c r="X646" i="50"/>
  <c r="W579" i="50"/>
  <c r="X579" i="50"/>
  <c r="AA600" i="50"/>
  <c r="X116" i="50"/>
  <c r="AA89" i="50"/>
  <c r="Y89" i="50"/>
  <c r="Z640" i="50"/>
  <c r="AA270" i="50"/>
  <c r="Y270" i="50"/>
  <c r="W799" i="50"/>
  <c r="X691" i="50"/>
  <c r="V691" i="50"/>
  <c r="Z834" i="50"/>
  <c r="X442" i="50"/>
  <c r="V442" i="50"/>
  <c r="W98" i="50"/>
  <c r="W211" i="50"/>
  <c r="Z193" i="50"/>
  <c r="AA842" i="50"/>
  <c r="Y842" i="50"/>
  <c r="Z437" i="50"/>
  <c r="X433" i="50"/>
  <c r="Y433" i="50"/>
  <c r="Y582" i="50"/>
  <c r="V582" i="50"/>
  <c r="X161" i="50"/>
  <c r="V161" i="50"/>
  <c r="V512" i="50"/>
  <c r="W512" i="50"/>
  <c r="Y326" i="50"/>
  <c r="W253" i="50"/>
  <c r="V451" i="50"/>
  <c r="X613" i="50"/>
  <c r="Z613" i="50"/>
  <c r="AA486" i="50"/>
  <c r="V486" i="50"/>
  <c r="Z272" i="50"/>
  <c r="Y342" i="50"/>
  <c r="W809" i="50"/>
  <c r="Z545" i="50"/>
  <c r="W124" i="50"/>
  <c r="Y597" i="50"/>
  <c r="X534" i="50"/>
  <c r="V534" i="50"/>
  <c r="X289" i="50"/>
  <c r="Y289" i="50"/>
  <c r="X87" i="50"/>
  <c r="V87" i="50"/>
  <c r="X420" i="50"/>
  <c r="Y674" i="50"/>
  <c r="W674" i="50"/>
  <c r="Z584" i="50"/>
  <c r="X221" i="50"/>
  <c r="Z221" i="50"/>
  <c r="Z262" i="50"/>
  <c r="X81" i="50"/>
  <c r="V81" i="50"/>
  <c r="V638" i="50"/>
  <c r="AA638" i="50"/>
  <c r="X108" i="50"/>
  <c r="Z108" i="50"/>
  <c r="W768" i="50"/>
  <c r="Y305" i="50"/>
  <c r="W305" i="50"/>
  <c r="X308" i="50"/>
  <c r="AA133" i="50"/>
  <c r="V133" i="50"/>
  <c r="AA514" i="50"/>
  <c r="AA347" i="50"/>
  <c r="W347" i="50"/>
  <c r="X428" i="50"/>
  <c r="V428" i="50"/>
  <c r="AA134" i="50"/>
  <c r="Z394" i="50"/>
  <c r="Y394" i="50"/>
  <c r="W737" i="50"/>
  <c r="AA251" i="50"/>
  <c r="Y251" i="50"/>
  <c r="AA258" i="50"/>
  <c r="Y258" i="50"/>
  <c r="X315" i="50"/>
  <c r="V315" i="50"/>
  <c r="W694" i="50"/>
  <c r="Y694" i="50"/>
  <c r="W137" i="50"/>
  <c r="Y137" i="50"/>
  <c r="W56" i="50"/>
  <c r="V142" i="50"/>
  <c r="AA142" i="50"/>
  <c r="V798" i="50"/>
  <c r="AA798" i="50"/>
  <c r="Y699" i="50"/>
  <c r="Y681" i="50"/>
  <c r="W510" i="50"/>
  <c r="Z283" i="50"/>
  <c r="X283" i="50"/>
  <c r="Y491" i="50"/>
  <c r="Y378" i="50"/>
  <c r="Z378" i="50"/>
  <c r="Z94" i="50"/>
  <c r="AA554" i="50"/>
  <c r="Y168" i="50"/>
  <c r="Z168" i="50"/>
  <c r="V766" i="50"/>
  <c r="W766" i="50"/>
  <c r="V450" i="50"/>
  <c r="Z154" i="50"/>
  <c r="X154" i="50"/>
  <c r="W473" i="50"/>
  <c r="V174" i="50"/>
  <c r="Z190" i="50"/>
  <c r="X190" i="50"/>
  <c r="AA356" i="50"/>
  <c r="X149" i="50"/>
  <c r="Z149" i="50"/>
  <c r="W213" i="50"/>
  <c r="Z328" i="50"/>
  <c r="X328" i="50"/>
  <c r="Z105" i="50"/>
  <c r="AA814" i="50"/>
  <c r="Z203" i="50"/>
  <c r="Y771" i="50"/>
  <c r="W771" i="50"/>
  <c r="Z296" i="50"/>
  <c r="X654" i="50"/>
  <c r="V654" i="50"/>
  <c r="W200" i="50"/>
  <c r="Y72" i="50"/>
  <c r="V72" i="50"/>
  <c r="Y207" i="50"/>
  <c r="X523" i="50"/>
  <c r="V523" i="50"/>
  <c r="W611" i="50"/>
  <c r="W18" i="50"/>
  <c r="Z14" i="50"/>
  <c r="V127" i="50"/>
  <c r="X127" i="50"/>
  <c r="Y335" i="50"/>
  <c r="AA335" i="50"/>
  <c r="X807" i="50"/>
  <c r="W319" i="50"/>
  <c r="V396" i="50"/>
  <c r="AA396" i="50"/>
  <c r="X271" i="50"/>
  <c r="V271" i="50"/>
  <c r="Z329" i="50"/>
  <c r="X269" i="50"/>
  <c r="V269" i="50"/>
  <c r="X617" i="50"/>
  <c r="Y250" i="50"/>
  <c r="W668" i="50"/>
  <c r="AA668" i="50"/>
  <c r="V120" i="50"/>
  <c r="AA120" i="50"/>
  <c r="Z806" i="50"/>
  <c r="W530" i="50"/>
  <c r="Y530" i="50"/>
  <c r="W383" i="50"/>
  <c r="V383" i="50"/>
  <c r="X205" i="50"/>
  <c r="V205" i="50"/>
  <c r="AA706" i="50"/>
  <c r="Z418" i="50"/>
  <c r="X418" i="50"/>
  <c r="Z122" i="50"/>
  <c r="W122" i="50"/>
  <c r="W693" i="50"/>
  <c r="V800" i="50"/>
  <c r="X800" i="50"/>
  <c r="X84" i="50"/>
  <c r="V84" i="50"/>
  <c r="V11" i="50"/>
  <c r="X11" i="50"/>
  <c r="Z10" i="50"/>
  <c r="AA128" i="50"/>
  <c r="X128" i="50"/>
  <c r="AA522" i="50"/>
  <c r="W522" i="50"/>
  <c r="X321" i="50"/>
  <c r="V321" i="50"/>
  <c r="Z489" i="50"/>
  <c r="W489" i="50"/>
  <c r="Z657" i="50"/>
  <c r="X488" i="50"/>
  <c r="W733" i="50"/>
  <c r="V411" i="50"/>
  <c r="X411" i="50"/>
  <c r="Y797" i="50"/>
  <c r="X797" i="50"/>
  <c r="Y583" i="50"/>
  <c r="Z583" i="50"/>
  <c r="X246" i="50"/>
  <c r="X490" i="50"/>
  <c r="V490" i="50"/>
  <c r="Z553" i="50"/>
  <c r="W577" i="50"/>
  <c r="AA577" i="50"/>
  <c r="X162" i="50"/>
  <c r="Z162" i="50"/>
  <c r="W151" i="50"/>
  <c r="X435" i="50"/>
  <c r="V435" i="50"/>
  <c r="AA86" i="50"/>
  <c r="W564" i="50"/>
  <c r="Z564" i="50"/>
  <c r="Z241" i="50"/>
  <c r="AA241" i="50"/>
  <c r="V140" i="50"/>
  <c r="V677" i="50"/>
  <c r="Z677" i="50"/>
  <c r="V297" i="50"/>
  <c r="AA330" i="50"/>
  <c r="Y330" i="50"/>
  <c r="Y801" i="50"/>
  <c r="W801" i="50"/>
  <c r="AA803" i="50"/>
  <c r="X463" i="50"/>
  <c r="AA463" i="50"/>
  <c r="Z840" i="50"/>
  <c r="W840" i="50"/>
  <c r="Z385" i="50"/>
  <c r="AA385" i="50"/>
  <c r="X364" i="50"/>
  <c r="V364" i="50"/>
  <c r="AA618" i="50"/>
  <c r="V618" i="50"/>
  <c r="Y354" i="50"/>
  <c r="X354" i="50"/>
  <c r="W542" i="50"/>
  <c r="V230" i="50"/>
  <c r="W230" i="50"/>
  <c r="Z547" i="50"/>
  <c r="W547" i="50"/>
  <c r="X252" i="50"/>
  <c r="V252" i="50"/>
  <c r="Y276" i="50"/>
  <c r="X645" i="50"/>
  <c r="V645" i="50"/>
  <c r="W426" i="50"/>
  <c r="Z195" i="50"/>
  <c r="X195" i="50"/>
  <c r="V389" i="50"/>
  <c r="Z231" i="50"/>
  <c r="V231" i="50"/>
  <c r="X673" i="50"/>
  <c r="V673" i="50"/>
  <c r="Z78" i="50"/>
  <c r="W610" i="50"/>
  <c r="V739" i="50"/>
  <c r="AA739" i="50"/>
  <c r="W61" i="50"/>
  <c r="Y61" i="50"/>
  <c r="V446" i="50"/>
  <c r="X446" i="50"/>
  <c r="Z504" i="50"/>
  <c r="W504" i="50"/>
  <c r="X288" i="50"/>
  <c r="V288" i="50"/>
  <c r="Z355" i="50"/>
  <c r="AA138" i="50"/>
  <c r="V138" i="50"/>
  <c r="Y448" i="50"/>
  <c r="W448" i="50"/>
  <c r="AA590" i="50"/>
  <c r="Y590" i="50"/>
  <c r="Y621" i="50"/>
  <c r="W621" i="50"/>
  <c r="W507" i="50"/>
  <c r="Z123" i="50"/>
  <c r="W123" i="50"/>
  <c r="Z294" i="50"/>
  <c r="X679" i="50"/>
  <c r="AA287" i="50"/>
  <c r="X287" i="50"/>
  <c r="W281" i="50"/>
  <c r="AA653" i="50"/>
  <c r="Z701" i="50"/>
  <c r="X701" i="50"/>
  <c r="Z724" i="50"/>
  <c r="W343" i="50"/>
  <c r="V343" i="50"/>
  <c r="V155" i="50"/>
  <c r="AA350" i="50"/>
  <c r="Y350" i="50"/>
  <c r="Y263" i="50"/>
  <c r="AA392" i="50"/>
  <c r="AA179" i="50"/>
  <c r="Y469" i="50"/>
  <c r="X469" i="50"/>
  <c r="W327" i="50"/>
  <c r="AA327" i="50"/>
  <c r="W457" i="50"/>
  <c r="V236" i="50"/>
  <c r="AA376" i="50"/>
  <c r="Y376" i="50"/>
  <c r="Z125" i="50"/>
  <c r="AA166" i="50"/>
  <c r="Y166" i="50"/>
  <c r="Z625" i="50"/>
  <c r="Z285" i="50"/>
  <c r="X285" i="50"/>
  <c r="X506" i="50"/>
  <c r="AA228" i="50"/>
  <c r="Y698" i="50"/>
  <c r="AA698" i="50"/>
  <c r="Y549" i="50"/>
  <c r="AA180" i="50"/>
  <c r="V581" i="50"/>
  <c r="Y581" i="50"/>
  <c r="V113" i="50"/>
  <c r="AA589" i="50"/>
  <c r="Y589" i="50"/>
  <c r="V132" i="50"/>
  <c r="Z222" i="50"/>
  <c r="V222" i="50"/>
  <c r="V481" i="50"/>
  <c r="W148" i="50"/>
  <c r="Z244" i="50"/>
  <c r="Z95" i="50"/>
  <c r="W95" i="50"/>
  <c r="V417" i="50"/>
  <c r="W417" i="50"/>
  <c r="AA349" i="50"/>
  <c r="Y349" i="50"/>
  <c r="V196" i="50"/>
  <c r="AA196" i="50"/>
  <c r="AA525" i="50"/>
  <c r="Y525" i="50"/>
  <c r="AA55" i="50"/>
  <c r="Y836" i="50"/>
  <c r="AA836" i="50"/>
  <c r="Z449" i="50"/>
  <c r="V449" i="50"/>
  <c r="Z646" i="50"/>
  <c r="AA646" i="50"/>
  <c r="V579" i="50"/>
  <c r="Z579" i="50"/>
  <c r="Y600" i="50"/>
  <c r="W600" i="50"/>
  <c r="Y116" i="50"/>
  <c r="V116" i="50"/>
  <c r="Z89" i="50"/>
  <c r="Y640" i="50"/>
  <c r="X640" i="50"/>
  <c r="W270" i="50"/>
  <c r="AA799" i="50"/>
  <c r="Y799" i="50"/>
  <c r="AA691" i="50"/>
  <c r="Y834" i="50"/>
  <c r="W834" i="50"/>
  <c r="AA442" i="50"/>
  <c r="Y442" i="50"/>
  <c r="Z98" i="50"/>
  <c r="X98" i="50"/>
  <c r="AA211" i="50"/>
  <c r="AA193" i="50"/>
  <c r="Y193" i="50"/>
  <c r="W842" i="50"/>
  <c r="X437" i="50"/>
  <c r="V437" i="50"/>
  <c r="V433" i="50"/>
  <c r="W433" i="50"/>
  <c r="X582" i="50"/>
  <c r="Z582" i="50"/>
  <c r="AA161" i="50"/>
  <c r="Z475" i="50"/>
  <c r="AA475" i="50"/>
  <c r="X512" i="50"/>
  <c r="Y512" i="50"/>
  <c r="Z115" i="50"/>
  <c r="Y93" i="50"/>
  <c r="V93" i="50"/>
  <c r="X596" i="50"/>
  <c r="Y596" i="50"/>
  <c r="Y115" i="50"/>
  <c r="W596" i="50"/>
  <c r="W775" i="50"/>
  <c r="W680" i="50"/>
  <c r="AA620" i="50"/>
  <c r="W225" i="50"/>
  <c r="V225" i="50"/>
  <c r="X298" i="50"/>
  <c r="AA15" i="50"/>
  <c r="X239" i="50"/>
  <c r="X318" i="50"/>
  <c r="V318" i="50"/>
  <c r="Y341" i="50"/>
  <c r="Z341" i="50"/>
  <c r="Y562" i="50"/>
  <c r="W75" i="50"/>
  <c r="W482" i="50"/>
  <c r="Y482" i="50"/>
  <c r="Y264" i="50"/>
  <c r="AA282" i="50"/>
  <c r="AA763" i="50"/>
  <c r="Y763" i="50"/>
  <c r="X636" i="50"/>
  <c r="V636" i="50"/>
  <c r="Y197" i="50"/>
  <c r="W197" i="50"/>
  <c r="AA255" i="50"/>
  <c r="X175" i="50"/>
  <c r="V175" i="50"/>
  <c r="Z603" i="50"/>
  <c r="AA603" i="50"/>
  <c r="W82" i="50"/>
  <c r="Y147" i="50"/>
  <c r="Z147" i="50"/>
  <c r="Z644" i="50"/>
  <c r="AA644" i="50"/>
  <c r="V381" i="50"/>
  <c r="X381" i="50"/>
  <c r="AA572" i="50"/>
  <c r="AA537" i="50"/>
  <c r="X537" i="50"/>
  <c r="W726" i="50"/>
  <c r="X516" i="50"/>
  <c r="Z516" i="50"/>
  <c r="V398" i="50"/>
  <c r="AA167" i="50"/>
  <c r="Y167" i="50"/>
  <c r="V88" i="50"/>
  <c r="AA88" i="50"/>
  <c r="V571" i="50"/>
  <c r="AA20" i="50"/>
  <c r="Z569" i="50"/>
  <c r="AA219" i="50"/>
  <c r="V219" i="50"/>
  <c r="X53" i="50"/>
  <c r="V53" i="50"/>
  <c r="Z90" i="50"/>
  <c r="AA401" i="50"/>
  <c r="Y401" i="50"/>
  <c r="Y85" i="50"/>
  <c r="Y173" i="50"/>
  <c r="Z173" i="50"/>
  <c r="Z565" i="50"/>
  <c r="X565" i="50"/>
  <c r="AA21" i="50"/>
  <c r="Y21" i="50"/>
  <c r="W441" i="50"/>
  <c r="Y639" i="50"/>
  <c r="W639" i="50"/>
  <c r="Z650" i="50"/>
  <c r="Z702" i="50"/>
  <c r="X379" i="50"/>
  <c r="AA769" i="50"/>
  <c r="V478" i="50"/>
  <c r="X478" i="50"/>
  <c r="Z232" i="50"/>
  <c r="Z102" i="50"/>
  <c r="V332" i="50"/>
  <c r="Y588" i="50"/>
  <c r="W588" i="50"/>
  <c r="Z439" i="50"/>
  <c r="W439" i="50"/>
  <c r="Z367" i="50"/>
  <c r="X367" i="50"/>
  <c r="AA261" i="50"/>
  <c r="X536" i="50"/>
  <c r="V536" i="50"/>
  <c r="Z605" i="50"/>
  <c r="Y605" i="50"/>
  <c r="Z515" i="50"/>
  <c r="AA515" i="50"/>
  <c r="W456" i="50"/>
  <c r="AA837" i="50"/>
  <c r="Z837" i="50"/>
  <c r="AA838" i="50"/>
  <c r="Y838" i="50"/>
  <c r="Z642" i="50"/>
  <c r="Y459" i="50"/>
  <c r="W459" i="50"/>
  <c r="V591" i="50"/>
  <c r="Z591" i="50"/>
  <c r="AA165" i="50"/>
  <c r="Z165" i="50"/>
  <c r="W224" i="50"/>
  <c r="V465" i="50"/>
  <c r="X465" i="50"/>
  <c r="X129" i="50"/>
  <c r="Z129" i="50"/>
  <c r="AA375" i="50"/>
  <c r="V672" i="50"/>
  <c r="Z672" i="50"/>
  <c r="V141" i="50"/>
  <c r="AA141" i="50"/>
  <c r="X689" i="50"/>
  <c r="X13" i="50"/>
  <c r="V13" i="50"/>
  <c r="X257" i="50"/>
  <c r="Z257" i="50"/>
  <c r="Y362" i="50"/>
  <c r="W362" i="50"/>
  <c r="Z461" i="50"/>
  <c r="Z454" i="50"/>
  <c r="X454" i="50"/>
  <c r="V357" i="50"/>
  <c r="AA575" i="50"/>
  <c r="Z676" i="50"/>
  <c r="X676" i="50"/>
  <c r="W114" i="50"/>
  <c r="X409" i="50"/>
  <c r="V409" i="50"/>
  <c r="W136" i="50"/>
  <c r="Y136" i="50"/>
  <c r="W299" i="50"/>
  <c r="Z723" i="50"/>
  <c r="AA348" i="50"/>
  <c r="Y348" i="50"/>
  <c r="AA445" i="50"/>
  <c r="W497" i="50"/>
  <c r="W292" i="50"/>
  <c r="Y292" i="50"/>
  <c r="AA419" i="50"/>
  <c r="Y419" i="50"/>
  <c r="AA160" i="50"/>
  <c r="Y160" i="50"/>
  <c r="AA176" i="50"/>
  <c r="X176" i="50"/>
  <c r="W720" i="50"/>
  <c r="AA608" i="50"/>
  <c r="X405" i="50"/>
  <c r="Z405" i="50"/>
  <c r="V685" i="50"/>
  <c r="W685" i="50"/>
  <c r="Z22" i="50"/>
  <c r="X22" i="50"/>
  <c r="W390" i="50"/>
  <c r="AA598" i="50"/>
  <c r="Z841" i="50"/>
  <c r="Z352" i="50"/>
  <c r="X352" i="50"/>
  <c r="Y652" i="50"/>
  <c r="W652" i="50"/>
  <c r="Z274" i="50"/>
  <c r="Z843" i="50"/>
  <c r="X843" i="50"/>
  <c r="W67" i="50"/>
  <c r="Z688" i="50"/>
  <c r="Z455" i="50"/>
  <c r="X455" i="50"/>
  <c r="Y407" i="50"/>
  <c r="V407" i="50"/>
  <c r="Z345" i="50"/>
  <c r="AA345" i="50"/>
  <c r="Y365" i="50"/>
  <c r="V528" i="50"/>
  <c r="AA528" i="50"/>
  <c r="AA833" i="50"/>
  <c r="W833" i="50"/>
  <c r="W557" i="50"/>
  <c r="W731" i="50"/>
  <c r="Y731" i="50"/>
  <c r="Z16" i="50"/>
  <c r="AA627" i="50"/>
  <c r="AA808" i="50"/>
  <c r="Z58" i="50"/>
  <c r="W58" i="50"/>
  <c r="X131" i="50"/>
  <c r="V131" i="50"/>
  <c r="AA550" i="50"/>
  <c r="Z210" i="50"/>
  <c r="AA76" i="50"/>
  <c r="Y76" i="50"/>
  <c r="V169" i="50"/>
  <c r="AA169" i="50"/>
  <c r="V278" i="50"/>
  <c r="X278" i="50"/>
  <c r="X220" i="50"/>
  <c r="Z526" i="50"/>
  <c r="Z767" i="50"/>
  <c r="X767" i="50"/>
  <c r="Z320" i="50"/>
  <c r="W320" i="50"/>
  <c r="Y368" i="50"/>
  <c r="W368" i="50"/>
  <c r="V529" i="50"/>
  <c r="W452" i="50"/>
  <c r="Z431" i="50"/>
  <c r="V431" i="50"/>
  <c r="X735" i="50"/>
  <c r="Z735" i="50"/>
  <c r="Z722" i="50"/>
  <c r="AA425" i="50"/>
  <c r="X663" i="50"/>
  <c r="V663" i="50"/>
  <c r="AA462" i="50"/>
  <c r="V462" i="50"/>
  <c r="X414" i="50"/>
  <c r="AA414" i="50"/>
  <c r="Y110" i="50"/>
  <c r="W110" i="50"/>
  <c r="V353" i="50"/>
  <c r="W353" i="50"/>
  <c r="X541" i="50"/>
  <c r="V802" i="50"/>
  <c r="Z802" i="50"/>
  <c r="Y293" i="50"/>
  <c r="W293" i="50"/>
  <c r="Z630" i="50"/>
  <c r="AA325" i="50"/>
  <c r="X325" i="50"/>
  <c r="AA656" i="50"/>
  <c r="Y696" i="50"/>
  <c r="AA696" i="50"/>
  <c r="AA599" i="50"/>
  <c r="Y599" i="50"/>
  <c r="V109" i="50"/>
  <c r="Y109" i="50"/>
  <c r="AA664" i="50"/>
  <c r="Y135" i="50"/>
  <c r="W135" i="50"/>
  <c r="AA80" i="50"/>
  <c r="V740" i="50"/>
  <c r="Z171" i="50"/>
  <c r="X171" i="50"/>
  <c r="W240" i="50"/>
  <c r="Z240" i="50"/>
  <c r="Y312" i="50"/>
  <c r="W312" i="50"/>
  <c r="V552" i="50"/>
  <c r="AA552" i="50"/>
  <c r="Z83" i="50"/>
  <c r="X83" i="50"/>
  <c r="Y649" i="50"/>
  <c r="Y17" i="50"/>
  <c r="W17" i="50"/>
  <c r="W92" i="50"/>
  <c r="Y92" i="50"/>
  <c r="X479" i="50"/>
  <c r="V479" i="50"/>
  <c r="W404" i="50"/>
  <c r="Y404" i="50"/>
  <c r="W182" i="50"/>
  <c r="X182" i="50"/>
  <c r="W188" i="50"/>
  <c r="V188" i="50"/>
  <c r="Y240" i="50"/>
  <c r="Z552" i="50"/>
  <c r="X649" i="50"/>
  <c r="Z479" i="50"/>
  <c r="V182" i="50"/>
  <c r="AA188" i="50"/>
  <c r="Y775" i="50"/>
  <c r="Z680" i="50"/>
  <c r="Z620" i="50"/>
  <c r="Y225" i="50"/>
  <c r="Z225" i="50"/>
  <c r="AA185" i="50"/>
  <c r="Y477" i="50"/>
  <c r="W298" i="50"/>
  <c r="AA298" i="50"/>
  <c r="Y15" i="50"/>
  <c r="AA239" i="50"/>
  <c r="W239" i="50"/>
  <c r="AA318" i="50"/>
  <c r="Y318" i="50"/>
  <c r="V341" i="50"/>
  <c r="X562" i="50"/>
  <c r="Z75" i="50"/>
  <c r="AA75" i="50"/>
  <c r="V482" i="50"/>
  <c r="X482" i="50"/>
  <c r="AA264" i="50"/>
  <c r="Y282" i="50"/>
  <c r="V282" i="50"/>
  <c r="V763" i="50"/>
  <c r="Z63" i="50"/>
  <c r="X63" i="50"/>
  <c r="AA636" i="50"/>
  <c r="Y636" i="50"/>
  <c r="Y255" i="50"/>
  <c r="W255" i="50"/>
  <c r="W175" i="50"/>
  <c r="Y175" i="50"/>
  <c r="W603" i="50"/>
  <c r="Y82" i="50"/>
  <c r="X147" i="50"/>
  <c r="Y644" i="50"/>
  <c r="W644" i="50"/>
  <c r="Z381" i="50"/>
  <c r="Y572" i="50"/>
  <c r="W572" i="50"/>
  <c r="V537" i="50"/>
  <c r="Y537" i="50"/>
  <c r="AA726" i="50"/>
  <c r="Y726" i="50"/>
  <c r="AA516" i="50"/>
  <c r="X398" i="50"/>
  <c r="Z398" i="50"/>
  <c r="W167" i="50"/>
  <c r="W88" i="50"/>
  <c r="Z571" i="50"/>
  <c r="Y20" i="50"/>
  <c r="V20" i="50"/>
  <c r="X569" i="50"/>
  <c r="Y569" i="50"/>
  <c r="Z219" i="50"/>
  <c r="AA53" i="50"/>
  <c r="W90" i="50"/>
  <c r="W401" i="50"/>
  <c r="V85" i="50"/>
  <c r="Z85" i="50"/>
  <c r="X173" i="50"/>
  <c r="V578" i="50"/>
  <c r="X578" i="50"/>
  <c r="V565" i="50"/>
  <c r="AA565" i="50"/>
  <c r="W21" i="50"/>
  <c r="Z441" i="50"/>
  <c r="Z774" i="50"/>
  <c r="Y774" i="50"/>
  <c r="Z639" i="50"/>
  <c r="X650" i="50"/>
  <c r="V650" i="50"/>
  <c r="W702" i="50"/>
  <c r="Y379" i="50"/>
  <c r="Y769" i="50"/>
  <c r="W769" i="50"/>
  <c r="Z478" i="50"/>
  <c r="X232" i="50"/>
  <c r="X102" i="50"/>
  <c r="V102" i="50"/>
  <c r="Y332" i="50"/>
  <c r="AA332" i="50"/>
  <c r="Z588" i="50"/>
  <c r="Y439" i="50"/>
  <c r="AA439" i="50"/>
  <c r="V367" i="50"/>
  <c r="Y261" i="50"/>
  <c r="W261" i="50"/>
  <c r="AA536" i="50"/>
  <c r="Y536" i="50"/>
  <c r="X605" i="50"/>
  <c r="W605" i="50"/>
  <c r="Y515" i="50"/>
  <c r="Y456" i="50"/>
  <c r="AA456" i="50"/>
  <c r="X837" i="50"/>
  <c r="V838" i="50"/>
  <c r="X838" i="50"/>
  <c r="X642" i="50"/>
  <c r="V642" i="50"/>
  <c r="Z459" i="50"/>
  <c r="W591" i="50"/>
  <c r="AA591" i="50"/>
  <c r="V165" i="50"/>
  <c r="X224" i="50"/>
  <c r="AA224" i="50"/>
  <c r="Z465" i="50"/>
  <c r="W465" i="50"/>
  <c r="W129" i="50"/>
  <c r="X375" i="50"/>
  <c r="W375" i="50"/>
  <c r="Y672" i="50"/>
  <c r="X672" i="50"/>
  <c r="Y141" i="50"/>
  <c r="W141" i="50"/>
  <c r="AA689" i="50"/>
  <c r="V689" i="50"/>
  <c r="Z13" i="50"/>
  <c r="W13" i="50"/>
  <c r="W257" i="50"/>
  <c r="Y257" i="50"/>
  <c r="Z333" i="50"/>
  <c r="X333" i="50"/>
  <c r="X461" i="50"/>
  <c r="V461" i="50"/>
  <c r="V454" i="50"/>
  <c r="X357" i="50"/>
  <c r="Z357" i="50"/>
  <c r="W575" i="50"/>
  <c r="Y575" i="50"/>
  <c r="V676" i="50"/>
  <c r="AA114" i="50"/>
  <c r="V114" i="50"/>
  <c r="AA409" i="50"/>
  <c r="Y409" i="50"/>
  <c r="X136" i="50"/>
  <c r="V704" i="50"/>
  <c r="X704" i="50"/>
  <c r="Y299" i="50"/>
  <c r="Z299" i="50"/>
  <c r="X723" i="50"/>
  <c r="V723" i="50"/>
  <c r="V348" i="50"/>
  <c r="W445" i="50"/>
  <c r="Y497" i="50"/>
  <c r="Z497" i="50"/>
  <c r="V292" i="50"/>
  <c r="X292" i="50"/>
  <c r="Z561" i="50"/>
  <c r="X561" i="50"/>
  <c r="W419" i="50"/>
  <c r="V160" i="50"/>
  <c r="V176" i="50"/>
  <c r="Z720" i="50"/>
  <c r="AA720" i="50"/>
  <c r="Z608" i="50"/>
  <c r="W405" i="50"/>
  <c r="Y685" i="50"/>
  <c r="AA685" i="50"/>
  <c r="Z667" i="50"/>
  <c r="X667" i="50"/>
  <c r="V22" i="50"/>
  <c r="AA22" i="50"/>
  <c r="Y390" i="50"/>
  <c r="AA390" i="50"/>
  <c r="Y598" i="50"/>
  <c r="V598" i="50"/>
  <c r="V841" i="50"/>
  <c r="X841" i="50"/>
  <c r="V352" i="50"/>
  <c r="AA352" i="50"/>
  <c r="W274" i="50"/>
  <c r="Y274" i="50"/>
  <c r="V843" i="50"/>
  <c r="AA843" i="50"/>
  <c r="Z67" i="50"/>
  <c r="W688" i="50"/>
  <c r="V455" i="50"/>
  <c r="AA455" i="50"/>
  <c r="X407" i="50"/>
  <c r="Z407" i="50"/>
  <c r="Y345" i="50"/>
  <c r="W365" i="50"/>
  <c r="X365" i="50"/>
  <c r="Y528" i="50"/>
  <c r="W528" i="50"/>
  <c r="X833" i="50"/>
  <c r="Z557" i="50"/>
  <c r="AA731" i="50"/>
  <c r="X16" i="50"/>
  <c r="V16" i="50"/>
  <c r="Y627" i="50"/>
  <c r="W627" i="50"/>
  <c r="Y808" i="50"/>
  <c r="Z808" i="50"/>
  <c r="AA58" i="50"/>
  <c r="W131" i="50"/>
  <c r="Y550" i="50"/>
  <c r="W550" i="50"/>
  <c r="X210" i="50"/>
  <c r="V210" i="50"/>
  <c r="Z647" i="50"/>
  <c r="X647" i="50"/>
  <c r="W76" i="50"/>
  <c r="Y169" i="50"/>
  <c r="W169" i="50"/>
  <c r="Y278" i="50"/>
  <c r="AA278" i="50"/>
  <c r="AA220" i="50"/>
  <c r="X526" i="50"/>
  <c r="V526" i="50"/>
  <c r="V767" i="50"/>
  <c r="W130" i="50"/>
  <c r="Z130" i="50"/>
  <c r="Y320" i="50"/>
  <c r="AA320" i="50"/>
  <c r="X529" i="50"/>
  <c r="Z529" i="50"/>
  <c r="Y452" i="50"/>
  <c r="V452" i="50"/>
  <c r="AA431" i="50"/>
  <c r="Y431" i="50"/>
  <c r="W735" i="50"/>
  <c r="X722" i="50"/>
  <c r="V722" i="50"/>
  <c r="Y425" i="50"/>
  <c r="V425" i="50"/>
  <c r="Z663" i="50"/>
  <c r="Z462" i="50"/>
  <c r="W414" i="50"/>
  <c r="V414" i="50"/>
  <c r="Z353" i="50"/>
  <c r="AA353" i="50"/>
  <c r="W541" i="50"/>
  <c r="AA541" i="50"/>
  <c r="W802" i="50"/>
  <c r="Z293" i="50"/>
  <c r="X630" i="50"/>
  <c r="V630" i="50"/>
  <c r="Y325" i="50"/>
  <c r="V656" i="50"/>
  <c r="X656" i="50"/>
  <c r="V696" i="50"/>
  <c r="W696" i="50"/>
  <c r="W599" i="50"/>
  <c r="AA109" i="50"/>
  <c r="Y664" i="50"/>
  <c r="W664" i="50"/>
  <c r="Z135" i="50"/>
  <c r="W80" i="50"/>
  <c r="Y80" i="50"/>
  <c r="X740" i="50"/>
  <c r="Z740" i="50"/>
  <c r="AA171" i="50"/>
  <c r="Z312" i="50"/>
  <c r="Y552" i="50"/>
  <c r="W552" i="50"/>
  <c r="V83" i="50"/>
  <c r="Z649" i="50"/>
  <c r="V649" i="50"/>
  <c r="Z17" i="50"/>
  <c r="AA92" i="50"/>
  <c r="AA479" i="50"/>
  <c r="Z404" i="50"/>
  <c r="AA404" i="50"/>
  <c r="Z182" i="50"/>
  <c r="Y188" i="50"/>
  <c r="W740" i="50"/>
  <c r="V171" i="50"/>
  <c r="V240" i="50"/>
  <c r="X312" i="50"/>
  <c r="V312" i="50"/>
  <c r="AA83" i="50"/>
  <c r="AA17" i="50"/>
  <c r="Z92" i="50"/>
  <c r="Y479" i="50"/>
  <c r="Y182" i="50"/>
  <c r="Z188" i="50"/>
  <c r="W109" i="50"/>
  <c r="X80" i="50"/>
  <c r="AA740" i="50"/>
  <c r="X240" i="50"/>
  <c r="AA312" i="50"/>
  <c r="X17" i="50"/>
  <c r="V404" i="50"/>
  <c r="Y366" i="50"/>
  <c r="W93" i="50"/>
  <c r="AA775" i="50"/>
  <c r="X225" i="50"/>
  <c r="V185" i="50"/>
  <c r="W185" i="50"/>
  <c r="Z477" i="50"/>
  <c r="V298" i="50"/>
  <c r="V15" i="50"/>
  <c r="X15" i="50"/>
  <c r="Z239" i="50"/>
  <c r="W318" i="50"/>
  <c r="X341" i="50"/>
  <c r="AA562" i="50"/>
  <c r="Z562" i="50"/>
  <c r="V75" i="50"/>
  <c r="X75" i="50"/>
  <c r="Z482" i="50"/>
  <c r="W264" i="50"/>
  <c r="X264" i="50"/>
  <c r="X282" i="50"/>
  <c r="Z282" i="50"/>
  <c r="X763" i="50"/>
  <c r="Z763" i="50"/>
  <c r="V63" i="50"/>
  <c r="AA63" i="50"/>
  <c r="W636" i="50"/>
  <c r="Z197" i="50"/>
  <c r="X197" i="50"/>
  <c r="V255" i="50"/>
  <c r="AA175" i="50"/>
  <c r="Y603" i="50"/>
  <c r="V82" i="50"/>
  <c r="X82" i="50"/>
  <c r="W147" i="50"/>
  <c r="V147" i="50"/>
  <c r="V644" i="50"/>
  <c r="W381" i="50"/>
  <c r="Z572" i="50"/>
  <c r="Z537" i="50"/>
  <c r="V726" i="50"/>
  <c r="W516" i="50"/>
  <c r="W398" i="50"/>
  <c r="Z167" i="50"/>
  <c r="X167" i="50"/>
  <c r="Z88" i="50"/>
  <c r="X571" i="50"/>
  <c r="W571" i="50"/>
  <c r="X20" i="50"/>
  <c r="Z20" i="50"/>
  <c r="AA569" i="50"/>
  <c r="W219" i="50"/>
  <c r="X219" i="50"/>
  <c r="Y53" i="50"/>
  <c r="W53" i="50"/>
  <c r="AA90" i="50"/>
  <c r="Y90" i="50"/>
  <c r="Z401" i="50"/>
  <c r="X401" i="50"/>
  <c r="W85" i="50"/>
  <c r="W173" i="50"/>
  <c r="AA173" i="50"/>
  <c r="Z578" i="50"/>
  <c r="W578" i="50"/>
  <c r="W565" i="50"/>
  <c r="Z21" i="50"/>
  <c r="X441" i="50"/>
  <c r="V441" i="50"/>
  <c r="X774" i="50"/>
  <c r="W774" i="50"/>
  <c r="X639" i="50"/>
  <c r="V639" i="50"/>
  <c r="AA650" i="50"/>
  <c r="AA702" i="50"/>
  <c r="Y702" i="50"/>
  <c r="V379" i="50"/>
  <c r="W379" i="50"/>
  <c r="Z769" i="50"/>
  <c r="W478" i="50"/>
  <c r="Y478" i="50"/>
  <c r="V232" i="50"/>
  <c r="W232" i="50"/>
  <c r="W102" i="50"/>
  <c r="Y102" i="50"/>
  <c r="W332" i="50"/>
  <c r="X332" i="50"/>
  <c r="X588" i="50"/>
  <c r="V588" i="50"/>
  <c r="W367" i="50"/>
  <c r="Y367" i="50"/>
  <c r="Z261" i="50"/>
  <c r="W536" i="50"/>
  <c r="W515" i="50"/>
  <c r="X515" i="50"/>
  <c r="Z456" i="50"/>
  <c r="W837" i="50"/>
  <c r="Y837" i="50"/>
  <c r="Z838" i="50"/>
  <c r="AA642" i="50"/>
  <c r="Y642" i="50"/>
  <c r="X459" i="50"/>
  <c r="V459" i="50"/>
  <c r="X165" i="50"/>
  <c r="Z224" i="50"/>
  <c r="AA465" i="50"/>
  <c r="AA129" i="50"/>
  <c r="V375" i="50"/>
  <c r="Y375" i="50"/>
  <c r="AA672" i="50"/>
  <c r="W689" i="50"/>
  <c r="Y689" i="50"/>
  <c r="AA13" i="50"/>
  <c r="AA257" i="50"/>
  <c r="Z362" i="50"/>
  <c r="X362" i="50"/>
  <c r="V333" i="50"/>
  <c r="AA333" i="50"/>
  <c r="AA461" i="50"/>
  <c r="W454" i="50"/>
  <c r="Y454" i="50"/>
  <c r="W357" i="50"/>
  <c r="V575" i="50"/>
  <c r="X575" i="50"/>
  <c r="AA676" i="50"/>
  <c r="Y676" i="50"/>
  <c r="Y114" i="50"/>
  <c r="Z114" i="50"/>
  <c r="W409" i="50"/>
  <c r="Z136" i="50"/>
  <c r="Z704" i="50"/>
  <c r="W704" i="50"/>
  <c r="X299" i="50"/>
  <c r="V299" i="50"/>
  <c r="W723" i="50"/>
  <c r="X348" i="50"/>
  <c r="Z348" i="50"/>
  <c r="Y445" i="50"/>
  <c r="V445" i="50"/>
  <c r="X497" i="50"/>
  <c r="V497" i="50"/>
  <c r="Z292" i="50"/>
  <c r="V561" i="50"/>
  <c r="AA561" i="50"/>
  <c r="Z419" i="50"/>
  <c r="X419" i="50"/>
  <c r="X160" i="50"/>
  <c r="Z160" i="50"/>
  <c r="W176" i="50"/>
  <c r="Y176" i="50"/>
  <c r="V720" i="50"/>
  <c r="X608" i="50"/>
  <c r="V608" i="50"/>
  <c r="AA405" i="50"/>
  <c r="Y405" i="50"/>
  <c r="V667" i="50"/>
  <c r="AA667" i="50"/>
  <c r="Y22" i="50"/>
  <c r="W22" i="50"/>
  <c r="Z390" i="50"/>
  <c r="X598" i="50"/>
  <c r="Z598" i="50"/>
  <c r="Y841" i="50"/>
  <c r="Y352" i="50"/>
  <c r="W352" i="50"/>
  <c r="Z652" i="50"/>
  <c r="X652" i="50"/>
  <c r="AA274" i="50"/>
  <c r="Y843" i="50"/>
  <c r="W843" i="50"/>
  <c r="X67" i="50"/>
  <c r="V67" i="50"/>
  <c r="AA688" i="50"/>
  <c r="Y688" i="50"/>
  <c r="Y455" i="50"/>
  <c r="W455" i="50"/>
  <c r="W407" i="50"/>
  <c r="X345" i="50"/>
  <c r="W345" i="50"/>
  <c r="Z365" i="50"/>
  <c r="AA365" i="50"/>
  <c r="V833" i="50"/>
  <c r="X557" i="50"/>
  <c r="Y557" i="50"/>
  <c r="Z731" i="50"/>
  <c r="X731" i="50"/>
  <c r="AA16" i="50"/>
  <c r="Z627" i="50"/>
  <c r="X808" i="50"/>
  <c r="W808" i="50"/>
  <c r="Y58" i="50"/>
  <c r="Y131" i="50"/>
  <c r="AA131" i="50"/>
  <c r="Z550" i="50"/>
  <c r="AA210" i="50"/>
  <c r="V647" i="50"/>
  <c r="AA647" i="50"/>
  <c r="Z76" i="50"/>
  <c r="X76" i="50"/>
  <c r="Y220" i="50"/>
  <c r="W220" i="50"/>
  <c r="AA526" i="50"/>
  <c r="W767" i="50"/>
  <c r="Y767" i="50"/>
  <c r="V130" i="50"/>
  <c r="X130" i="50"/>
  <c r="Z368" i="50"/>
  <c r="X368" i="50"/>
  <c r="W529" i="50"/>
  <c r="X452" i="50"/>
  <c r="Z452" i="50"/>
  <c r="W431" i="50"/>
  <c r="AA735" i="50"/>
  <c r="AA722" i="50"/>
  <c r="Y722" i="50"/>
  <c r="X425" i="50"/>
  <c r="Z425" i="50"/>
  <c r="W663" i="50"/>
  <c r="X462" i="50"/>
  <c r="W462" i="50"/>
  <c r="Y414" i="50"/>
  <c r="Z110" i="50"/>
  <c r="X110" i="50"/>
  <c r="Y353" i="50"/>
  <c r="X353" i="50"/>
  <c r="Y541" i="50"/>
  <c r="Y802" i="50"/>
  <c r="X293" i="50"/>
  <c r="V293" i="50"/>
  <c r="W630" i="50"/>
  <c r="W325" i="50"/>
  <c r="Z325" i="50"/>
  <c r="Y656" i="50"/>
  <c r="Z656" i="50"/>
  <c r="X696" i="50"/>
  <c r="Z696" i="50"/>
  <c r="Z599" i="50"/>
  <c r="X109" i="50"/>
  <c r="Z664" i="50"/>
  <c r="X135" i="50"/>
  <c r="V135" i="50"/>
  <c r="V80" i="50"/>
  <c r="Y740" i="50"/>
  <c r="W171" i="50"/>
  <c r="AA240" i="50"/>
  <c r="Y83" i="50"/>
  <c r="AA649" i="50"/>
  <c r="V17" i="50"/>
  <c r="W479" i="50"/>
  <c r="X404" i="50"/>
  <c r="X188" i="50"/>
  <c r="Z109" i="50"/>
  <c r="Z80" i="50"/>
  <c r="X552" i="50"/>
  <c r="W649" i="50"/>
  <c r="V92" i="50"/>
  <c r="AA182" i="50"/>
  <c r="W366" i="50"/>
  <c r="Y620" i="50"/>
  <c r="V620" i="50"/>
  <c r="AA225" i="50"/>
  <c r="Y185" i="50"/>
  <c r="X477" i="50"/>
  <c r="AA477" i="50"/>
  <c r="Y298" i="50"/>
  <c r="Z15" i="50"/>
  <c r="W15" i="50"/>
  <c r="Y239" i="50"/>
  <c r="V239" i="50"/>
  <c r="Z318" i="50"/>
  <c r="AA341" i="50"/>
  <c r="W341" i="50"/>
  <c r="V562" i="50"/>
  <c r="W562" i="50"/>
  <c r="Y75" i="50"/>
  <c r="AA482" i="50"/>
  <c r="V264" i="50"/>
  <c r="Z264" i="50"/>
  <c r="W282" i="50"/>
  <c r="W763" i="50"/>
  <c r="Y63" i="50"/>
  <c r="W63" i="50"/>
  <c r="Z636" i="50"/>
  <c r="V197" i="50"/>
  <c r="AA197" i="50"/>
  <c r="X255" i="50"/>
  <c r="Z255" i="50"/>
  <c r="Z175" i="50"/>
  <c r="V603" i="50"/>
  <c r="X603" i="50"/>
  <c r="Z82" i="50"/>
  <c r="AA82" i="50"/>
  <c r="AA147" i="50"/>
  <c r="X644" i="50"/>
  <c r="AA381" i="50"/>
  <c r="Y381" i="50"/>
  <c r="X572" i="50"/>
  <c r="V572" i="50"/>
  <c r="W537" i="50"/>
  <c r="X726" i="50"/>
  <c r="Z726" i="50"/>
  <c r="Y516" i="50"/>
  <c r="V516" i="50"/>
  <c r="AA398" i="50"/>
  <c r="Y398" i="50"/>
  <c r="V167" i="50"/>
  <c r="Y88" i="50"/>
  <c r="X88" i="50"/>
  <c r="Y571" i="50"/>
  <c r="AA571" i="50"/>
  <c r="W20" i="50"/>
  <c r="V569" i="50"/>
  <c r="W569" i="50"/>
  <c r="Y219" i="50"/>
  <c r="Z53" i="50"/>
  <c r="V90" i="50"/>
  <c r="X90" i="50"/>
  <c r="V401" i="50"/>
  <c r="X85" i="50"/>
  <c r="AA85" i="50"/>
  <c r="V173" i="50"/>
  <c r="Y578" i="50"/>
  <c r="AA578" i="50"/>
  <c r="Y565" i="50"/>
  <c r="X21" i="50"/>
  <c r="V21" i="50"/>
  <c r="AA441" i="50"/>
  <c r="Y441" i="50"/>
  <c r="V774" i="50"/>
  <c r="AA774" i="50"/>
  <c r="AA639" i="50"/>
  <c r="Y650" i="50"/>
  <c r="W650" i="50"/>
  <c r="V702" i="50"/>
  <c r="X702" i="50"/>
  <c r="Z379" i="50"/>
  <c r="AA379" i="50"/>
  <c r="X769" i="50"/>
  <c r="V769" i="50"/>
  <c r="AA478" i="50"/>
  <c r="AA232" i="50"/>
  <c r="Y232" i="50"/>
  <c r="AA102" i="50"/>
  <c r="Z332" i="50"/>
  <c r="AA588" i="50"/>
  <c r="V439" i="50"/>
  <c r="X439" i="50"/>
  <c r="AA367" i="50"/>
  <c r="X261" i="50"/>
  <c r="V261" i="50"/>
  <c r="Z536" i="50"/>
  <c r="V605" i="50"/>
  <c r="AA605" i="50"/>
  <c r="V515" i="50"/>
  <c r="X456" i="50"/>
  <c r="V456" i="50"/>
  <c r="V837" i="50"/>
  <c r="W838" i="50"/>
  <c r="W642" i="50"/>
  <c r="AA459" i="50"/>
  <c r="Y591" i="50"/>
  <c r="X591" i="50"/>
  <c r="W165" i="50"/>
  <c r="Y165" i="50"/>
  <c r="Y224" i="50"/>
  <c r="V224" i="50"/>
  <c r="Y465" i="50"/>
  <c r="Y129" i="50"/>
  <c r="V129" i="50"/>
  <c r="Z375" i="50"/>
  <c r="W672" i="50"/>
  <c r="Z141" i="50"/>
  <c r="X141" i="50"/>
  <c r="Z689" i="50"/>
  <c r="Y13" i="50"/>
  <c r="V257" i="50"/>
  <c r="V362" i="50"/>
  <c r="AA362" i="50"/>
  <c r="Y333" i="50"/>
  <c r="W333" i="50"/>
  <c r="Y461" i="50"/>
  <c r="W461" i="50"/>
  <c r="AA454" i="50"/>
  <c r="AA357" i="50"/>
  <c r="Y357" i="50"/>
  <c r="Z575" i="50"/>
  <c r="W676" i="50"/>
  <c r="X114" i="50"/>
  <c r="Z409" i="50"/>
  <c r="AA136" i="50"/>
  <c r="V136" i="50"/>
  <c r="Y704" i="50"/>
  <c r="AA704" i="50"/>
  <c r="AA299" i="50"/>
  <c r="Y723" i="50"/>
  <c r="AA723" i="50"/>
  <c r="W348" i="50"/>
  <c r="X445" i="50"/>
  <c r="Z445" i="50"/>
  <c r="AA497" i="50"/>
  <c r="AA292" i="50"/>
  <c r="Y561" i="50"/>
  <c r="W561" i="50"/>
  <c r="V419" i="50"/>
  <c r="W160" i="50"/>
  <c r="Z176" i="50"/>
  <c r="Y720" i="50"/>
  <c r="X720" i="50"/>
  <c r="W608" i="50"/>
  <c r="Y608" i="50"/>
  <c r="V405" i="50"/>
  <c r="Z685" i="50"/>
  <c r="X685" i="50"/>
  <c r="Y667" i="50"/>
  <c r="W667" i="50"/>
  <c r="X390" i="50"/>
  <c r="V390" i="50"/>
  <c r="W598" i="50"/>
  <c r="W841" i="50"/>
  <c r="AA841" i="50"/>
  <c r="V652" i="50"/>
  <c r="AA652" i="50"/>
  <c r="V274" i="50"/>
  <c r="X274" i="50"/>
  <c r="AA67" i="50"/>
  <c r="Y67" i="50"/>
  <c r="V688" i="50"/>
  <c r="X688" i="50"/>
  <c r="AA407" i="50"/>
  <c r="V345" i="50"/>
  <c r="V365" i="50"/>
  <c r="Z528" i="50"/>
  <c r="X528" i="50"/>
  <c r="Y833" i="50"/>
  <c r="Z833" i="50"/>
  <c r="AA557" i="50"/>
  <c r="V557" i="50"/>
  <c r="V731" i="50"/>
  <c r="Y16" i="50"/>
  <c r="W16" i="50"/>
  <c r="X627" i="50"/>
  <c r="V627" i="50"/>
  <c r="V808" i="50"/>
  <c r="V58" i="50"/>
  <c r="X58" i="50"/>
  <c r="Z131" i="50"/>
  <c r="X550" i="50"/>
  <c r="V550" i="50"/>
  <c r="Y210" i="50"/>
  <c r="W210" i="50"/>
  <c r="Y647" i="50"/>
  <c r="W647" i="50"/>
  <c r="V76" i="50"/>
  <c r="Z169" i="50"/>
  <c r="X169" i="50"/>
  <c r="Z278" i="50"/>
  <c r="W278" i="50"/>
  <c r="V220" i="50"/>
  <c r="Z220" i="50"/>
  <c r="Y526" i="50"/>
  <c r="W526" i="50"/>
  <c r="AA767" i="50"/>
  <c r="AA130" i="50"/>
  <c r="Y130" i="50"/>
  <c r="V320" i="50"/>
  <c r="X320" i="50"/>
  <c r="V368" i="50"/>
  <c r="AA368" i="50"/>
  <c r="AA529" i="50"/>
  <c r="Y529" i="50"/>
  <c r="AA452" i="50"/>
  <c r="X431" i="50"/>
  <c r="Y735" i="50"/>
  <c r="V735" i="50"/>
  <c r="W722" i="50"/>
  <c r="W425" i="50"/>
  <c r="AA663" i="50"/>
  <c r="Y663" i="50"/>
  <c r="Y462" i="50"/>
  <c r="Z414" i="50"/>
  <c r="V110" i="50"/>
  <c r="AA110" i="50"/>
  <c r="Z541" i="50"/>
  <c r="V541" i="50"/>
  <c r="AA802" i="50"/>
  <c r="X802" i="50"/>
  <c r="AA293" i="50"/>
  <c r="Y630" i="50"/>
  <c r="AA630" i="50"/>
  <c r="V325" i="50"/>
  <c r="W656" i="50"/>
  <c r="X599" i="50"/>
  <c r="V599" i="50"/>
  <c r="X664" i="50"/>
  <c r="V664" i="50"/>
  <c r="AA135" i="50"/>
  <c r="Y171" i="50"/>
  <c r="W83" i="50"/>
  <c r="X92" i="50"/>
  <c r="U24" i="50"/>
  <c r="AD24" i="50"/>
  <c r="U75" i="50"/>
  <c r="AD75" i="50"/>
  <c r="U105" i="50"/>
  <c r="AD105" i="50"/>
  <c r="AD108" i="50"/>
  <c r="U108" i="50"/>
  <c r="U111" i="50"/>
  <c r="AD111" i="50"/>
  <c r="AD217" i="50"/>
  <c r="U217" i="50"/>
  <c r="U297" i="50"/>
  <c r="AD297" i="50"/>
  <c r="AD309" i="50"/>
  <c r="U309" i="50"/>
  <c r="AD317" i="50"/>
  <c r="U317" i="50"/>
  <c r="U333" i="50"/>
  <c r="AD333" i="50"/>
  <c r="AD260" i="50"/>
  <c r="U260" i="50"/>
  <c r="AD396" i="50"/>
  <c r="U396" i="50"/>
  <c r="AD401" i="50"/>
  <c r="U401" i="50"/>
  <c r="AD407" i="50"/>
  <c r="U407" i="50"/>
  <c r="U29" i="50"/>
  <c r="AD29" i="50"/>
  <c r="U116" i="50"/>
  <c r="AD116" i="50"/>
  <c r="AD172" i="50"/>
  <c r="U172" i="50"/>
  <c r="U136" i="50"/>
  <c r="AD136" i="50"/>
  <c r="AD322" i="50"/>
  <c r="U322" i="50"/>
  <c r="AD330" i="50"/>
  <c r="U330" i="50"/>
  <c r="AD253" i="50"/>
  <c r="U253" i="50"/>
  <c r="AD361" i="50"/>
  <c r="U361" i="50"/>
  <c r="AD385" i="50"/>
  <c r="U385" i="50"/>
  <c r="U389" i="50"/>
  <c r="AD389" i="50"/>
  <c r="U403" i="50"/>
  <c r="AD403" i="50"/>
  <c r="U30" i="50"/>
  <c r="AD30" i="50"/>
  <c r="AD42" i="50"/>
  <c r="U42" i="50"/>
  <c r="U114" i="50"/>
  <c r="AD114" i="50"/>
  <c r="U207" i="50"/>
  <c r="AD207" i="50"/>
  <c r="U210" i="50"/>
  <c r="AD210" i="50"/>
  <c r="U209" i="50"/>
  <c r="AD209" i="50"/>
  <c r="U208" i="50"/>
  <c r="AD208" i="50"/>
  <c r="U303" i="50"/>
  <c r="AD303" i="50"/>
  <c r="U402" i="50"/>
  <c r="AD402" i="50"/>
  <c r="AD31" i="50"/>
  <c r="U31" i="50"/>
  <c r="AD35" i="50"/>
  <c r="U35" i="50"/>
  <c r="AD44" i="50"/>
  <c r="U44" i="50"/>
  <c r="U272" i="50"/>
  <c r="AD272" i="50"/>
  <c r="AD276" i="50"/>
  <c r="U276" i="50"/>
  <c r="U316" i="50"/>
  <c r="AD316" i="50"/>
  <c r="U336" i="50"/>
  <c r="AD336" i="50"/>
  <c r="AD355" i="50"/>
  <c r="U355" i="50"/>
  <c r="AD6" i="50"/>
  <c r="U6" i="50"/>
  <c r="AD28" i="50"/>
  <c r="U28" i="50"/>
  <c r="U32" i="50"/>
  <c r="AD32" i="50"/>
  <c r="AD36" i="50"/>
  <c r="U36" i="50"/>
  <c r="U55" i="50"/>
  <c r="AD55" i="50"/>
  <c r="U71" i="50"/>
  <c r="AD71" i="50"/>
  <c r="AD40" i="50"/>
  <c r="U40" i="50"/>
  <c r="U47" i="50"/>
  <c r="AD47" i="50"/>
  <c r="AD134" i="50"/>
  <c r="U134" i="50"/>
  <c r="U137" i="50"/>
  <c r="AD137" i="50"/>
  <c r="AD124" i="50"/>
  <c r="U124" i="50"/>
  <c r="U170" i="50"/>
  <c r="AD170" i="50"/>
  <c r="AD215" i="50"/>
  <c r="U215" i="50"/>
  <c r="AD218" i="50"/>
  <c r="U218" i="50"/>
  <c r="U241" i="50"/>
  <c r="AD241" i="50"/>
  <c r="U251" i="50"/>
  <c r="AD251" i="50"/>
  <c r="AD267" i="50"/>
  <c r="U267" i="50"/>
  <c r="U273" i="50"/>
  <c r="AD273" i="50"/>
  <c r="AD281" i="50"/>
  <c r="U281" i="50"/>
  <c r="U285" i="50"/>
  <c r="AD285" i="50"/>
  <c r="AD289" i="50"/>
  <c r="U289" i="50"/>
  <c r="AD293" i="50"/>
  <c r="U293" i="50"/>
  <c r="AD301" i="50"/>
  <c r="U301" i="50"/>
  <c r="U305" i="50"/>
  <c r="AD305" i="50"/>
  <c r="AD313" i="50"/>
  <c r="U313" i="50"/>
  <c r="AD321" i="50"/>
  <c r="U321" i="50"/>
  <c r="AD325" i="50"/>
  <c r="U325" i="50"/>
  <c r="AD329" i="50"/>
  <c r="U329" i="50"/>
  <c r="U246" i="50"/>
  <c r="AD246" i="50"/>
  <c r="U254" i="50"/>
  <c r="AD254" i="50"/>
  <c r="U270" i="50"/>
  <c r="AD270" i="50"/>
  <c r="AD243" i="50"/>
  <c r="U243" i="50"/>
  <c r="U257" i="50"/>
  <c r="AD257" i="50"/>
  <c r="U360" i="50"/>
  <c r="AD360" i="50"/>
  <c r="U384" i="50"/>
  <c r="AD384" i="50"/>
  <c r="AD388" i="50"/>
  <c r="U388" i="50"/>
  <c r="U392" i="50"/>
  <c r="AD392" i="50"/>
  <c r="AD410" i="50"/>
  <c r="U410" i="50"/>
  <c r="AD400" i="50"/>
  <c r="U400" i="50"/>
  <c r="U3" i="50"/>
  <c r="AD3" i="50"/>
  <c r="AD22" i="50"/>
  <c r="U22" i="50"/>
  <c r="AD33" i="50"/>
  <c r="U33" i="50"/>
  <c r="AD37" i="50"/>
  <c r="U37" i="50"/>
  <c r="AD23" i="50"/>
  <c r="U23" i="50"/>
  <c r="AD56" i="50"/>
  <c r="U56" i="50"/>
  <c r="U72" i="50"/>
  <c r="AD72" i="50"/>
  <c r="AD76" i="50"/>
  <c r="U76" i="50"/>
  <c r="AD115" i="50"/>
  <c r="U115" i="50"/>
  <c r="U130" i="50"/>
  <c r="AD130" i="50"/>
  <c r="AD112" i="50"/>
  <c r="U112" i="50"/>
  <c r="AD133" i="50"/>
  <c r="U133" i="50"/>
  <c r="U127" i="50"/>
  <c r="AD127" i="50"/>
  <c r="AD171" i="50"/>
  <c r="U171" i="50"/>
  <c r="U211" i="50"/>
  <c r="AD211" i="50"/>
  <c r="AD214" i="50"/>
  <c r="U214" i="50"/>
  <c r="U213" i="50"/>
  <c r="AD213" i="50"/>
  <c r="AD212" i="50"/>
  <c r="U212" i="50"/>
  <c r="AD245" i="50"/>
  <c r="U245" i="50"/>
  <c r="AD274" i="50"/>
  <c r="U274" i="50"/>
  <c r="U282" i="50"/>
  <c r="AD282" i="50"/>
  <c r="U286" i="50"/>
  <c r="AD286" i="50"/>
  <c r="AD290" i="50"/>
  <c r="U290" i="50"/>
  <c r="AD294" i="50"/>
  <c r="U294" i="50"/>
  <c r="U298" i="50"/>
  <c r="AD298" i="50"/>
  <c r="U302" i="50"/>
  <c r="AD302" i="50"/>
  <c r="AD306" i="50"/>
  <c r="U306" i="50"/>
  <c r="AD310" i="50"/>
  <c r="U310" i="50"/>
  <c r="U314" i="50"/>
  <c r="AD314" i="50"/>
  <c r="AD318" i="50"/>
  <c r="U318" i="50"/>
  <c r="U326" i="50"/>
  <c r="AD326" i="50"/>
  <c r="AD334" i="50"/>
  <c r="U334" i="50"/>
  <c r="AD238" i="50"/>
  <c r="U238" i="50"/>
  <c r="AD250" i="50"/>
  <c r="U250" i="50"/>
  <c r="AD266" i="50"/>
  <c r="U266" i="50"/>
  <c r="U269" i="50"/>
  <c r="AD269" i="50"/>
  <c r="AD240" i="50"/>
  <c r="U240" i="50"/>
  <c r="AD256" i="50"/>
  <c r="U256" i="50"/>
  <c r="AD357" i="50"/>
  <c r="U357" i="50"/>
  <c r="U393" i="50"/>
  <c r="AD393" i="50"/>
  <c r="U397" i="50"/>
  <c r="AD397" i="50"/>
  <c r="AD406" i="50"/>
  <c r="U406" i="50"/>
  <c r="U7" i="50"/>
  <c r="AD7" i="50"/>
  <c r="AD5" i="50"/>
  <c r="U5" i="50"/>
  <c r="U25" i="50"/>
  <c r="AD25" i="50"/>
  <c r="U26" i="50"/>
  <c r="AD26" i="50"/>
  <c r="U34" i="50"/>
  <c r="AD34" i="50"/>
  <c r="AD38" i="50"/>
  <c r="U38" i="50"/>
  <c r="AD53" i="50"/>
  <c r="U53" i="50"/>
  <c r="U57" i="50"/>
  <c r="AD57" i="50"/>
  <c r="U73" i="50"/>
  <c r="AD73" i="50"/>
  <c r="AD77" i="50"/>
  <c r="U77" i="50"/>
  <c r="U48" i="50"/>
  <c r="AD48" i="50"/>
  <c r="U126" i="50"/>
  <c r="AD126" i="50"/>
  <c r="U129" i="50"/>
  <c r="AD129" i="50"/>
  <c r="AD118" i="50"/>
  <c r="U118" i="50"/>
  <c r="AD123" i="50"/>
  <c r="U123" i="50"/>
  <c r="AD259" i="50"/>
  <c r="U259" i="50"/>
  <c r="U275" i="50"/>
  <c r="AD275" i="50"/>
  <c r="U279" i="50"/>
  <c r="AD279" i="50"/>
  <c r="AD283" i="50"/>
  <c r="U283" i="50"/>
  <c r="U287" i="50"/>
  <c r="AD287" i="50"/>
  <c r="U291" i="50"/>
  <c r="AD291" i="50"/>
  <c r="AD295" i="50"/>
  <c r="U295" i="50"/>
  <c r="U299" i="50"/>
  <c r="AD299" i="50"/>
  <c r="U307" i="50"/>
  <c r="AD307" i="50"/>
  <c r="AD311" i="50"/>
  <c r="U311" i="50"/>
  <c r="U315" i="50"/>
  <c r="AD315" i="50"/>
  <c r="U319" i="50"/>
  <c r="AD319" i="50"/>
  <c r="U323" i="50"/>
  <c r="AD323" i="50"/>
  <c r="AD327" i="50"/>
  <c r="U327" i="50"/>
  <c r="U331" i="50"/>
  <c r="AD331" i="50"/>
  <c r="AD335" i="50"/>
  <c r="U335" i="50"/>
  <c r="AD242" i="50"/>
  <c r="U242" i="50"/>
  <c r="AD262" i="50"/>
  <c r="U262" i="50"/>
  <c r="U249" i="50"/>
  <c r="AD249" i="50"/>
  <c r="U265" i="50"/>
  <c r="AD265" i="50"/>
  <c r="U244" i="50"/>
  <c r="AD244" i="50"/>
  <c r="AD252" i="50"/>
  <c r="U252" i="50"/>
  <c r="U358" i="50"/>
  <c r="AD358" i="50"/>
  <c r="U382" i="50"/>
  <c r="AD382" i="50"/>
  <c r="U386" i="50"/>
  <c r="AD386" i="50"/>
  <c r="U390" i="50"/>
  <c r="AD390" i="50"/>
  <c r="U394" i="50"/>
  <c r="AD394" i="50"/>
  <c r="AD398" i="50"/>
  <c r="U398" i="50"/>
  <c r="U409" i="50"/>
  <c r="AD409" i="50"/>
  <c r="AD408" i="50"/>
  <c r="U408" i="50"/>
  <c r="AD399" i="50"/>
  <c r="U399" i="50"/>
  <c r="AD21" i="50"/>
  <c r="U21" i="50"/>
  <c r="AD27" i="50"/>
  <c r="U27" i="50"/>
  <c r="AD39" i="50"/>
  <c r="U39" i="50"/>
  <c r="U4" i="50"/>
  <c r="AD4" i="50"/>
  <c r="AD41" i="50"/>
  <c r="U41" i="50"/>
  <c r="AD54" i="50"/>
  <c r="U54" i="50"/>
  <c r="AD58" i="50"/>
  <c r="U58" i="50"/>
  <c r="U70" i="50"/>
  <c r="AD70" i="50"/>
  <c r="AD74" i="50"/>
  <c r="U74" i="50"/>
  <c r="AD78" i="50"/>
  <c r="U78" i="50"/>
  <c r="U109" i="50"/>
  <c r="AD109" i="50"/>
  <c r="AD106" i="50"/>
  <c r="U106" i="50"/>
  <c r="U110" i="50"/>
  <c r="AD110" i="50"/>
  <c r="U119" i="50"/>
  <c r="AD119" i="50"/>
  <c r="U122" i="50"/>
  <c r="AD122" i="50"/>
  <c r="U128" i="50"/>
  <c r="AD128" i="50"/>
  <c r="AD135" i="50"/>
  <c r="U135" i="50"/>
  <c r="AD255" i="50"/>
  <c r="U255" i="50"/>
  <c r="U271" i="50"/>
  <c r="AD271" i="50"/>
  <c r="U280" i="50"/>
  <c r="AD280" i="50"/>
  <c r="U284" i="50"/>
  <c r="AD284" i="50"/>
  <c r="U292" i="50"/>
  <c r="AD292" i="50"/>
  <c r="U300" i="50"/>
  <c r="AD300" i="50"/>
  <c r="U304" i="50"/>
  <c r="AD304" i="50"/>
  <c r="U308" i="50"/>
  <c r="AD308" i="50"/>
  <c r="U328" i="50"/>
  <c r="AD328" i="50"/>
  <c r="U332" i="50"/>
  <c r="AD332" i="50"/>
  <c r="AD258" i="50"/>
  <c r="U258" i="50"/>
  <c r="U239" i="50"/>
  <c r="AD239" i="50"/>
  <c r="U248" i="50"/>
  <c r="AD248" i="50"/>
  <c r="U264" i="50"/>
  <c r="AD264" i="50"/>
  <c r="AD359" i="50"/>
  <c r="U359" i="50"/>
  <c r="AD383" i="50"/>
  <c r="U383" i="50"/>
  <c r="AD387" i="50"/>
  <c r="U387" i="50"/>
  <c r="AD391" i="50"/>
  <c r="U391" i="50"/>
  <c r="AD395" i="50"/>
  <c r="U395" i="50"/>
  <c r="U405" i="50"/>
  <c r="AD405" i="50"/>
  <c r="U404" i="50"/>
  <c r="AD404" i="50"/>
  <c r="AD411" i="50"/>
  <c r="U411" i="50"/>
  <c r="U216" i="50"/>
  <c r="AD216" i="50"/>
  <c r="AD43" i="50"/>
  <c r="U43" i="50"/>
  <c r="U46" i="50"/>
  <c r="AD46" i="50"/>
  <c r="U263" i="50"/>
  <c r="AD263" i="50"/>
  <c r="AD278" i="50"/>
  <c r="U278" i="50"/>
  <c r="U45" i="50"/>
  <c r="AD45" i="50"/>
  <c r="U107" i="50"/>
  <c r="AD107" i="50"/>
  <c r="U268" i="50"/>
  <c r="AD268" i="50"/>
  <c r="U288" i="50"/>
  <c r="AD288" i="50"/>
  <c r="AD296" i="50"/>
  <c r="U296" i="50"/>
  <c r="U312" i="50"/>
  <c r="AD312" i="50"/>
  <c r="AD320" i="50"/>
  <c r="U320" i="50"/>
  <c r="AD324" i="50"/>
  <c r="U324" i="50"/>
  <c r="AD261" i="50"/>
  <c r="U261" i="50"/>
  <c r="AD15" i="50"/>
  <c r="U15" i="50"/>
  <c r="AD13" i="50"/>
  <c r="U13" i="50"/>
  <c r="AD9" i="50"/>
  <c r="U9" i="50"/>
  <c r="U16" i="50"/>
  <c r="AD16" i="50"/>
  <c r="U51" i="50"/>
  <c r="AD51" i="50"/>
  <c r="U59" i="50"/>
  <c r="AD59" i="50"/>
  <c r="U63" i="50"/>
  <c r="AD63" i="50"/>
  <c r="U67" i="50"/>
  <c r="AD67" i="50"/>
  <c r="U79" i="50"/>
  <c r="AD79" i="50"/>
  <c r="U83" i="50"/>
  <c r="AD83" i="50"/>
  <c r="U89" i="50"/>
  <c r="AD89" i="50"/>
  <c r="U92" i="50"/>
  <c r="AD92" i="50"/>
  <c r="U82" i="50"/>
  <c r="AD82" i="50"/>
  <c r="U99" i="50"/>
  <c r="AD99" i="50"/>
  <c r="U102" i="50"/>
  <c r="AD102" i="50"/>
  <c r="U121" i="50"/>
  <c r="AD121" i="50"/>
  <c r="U131" i="50"/>
  <c r="AD131" i="50"/>
  <c r="U147" i="50"/>
  <c r="AD147" i="50"/>
  <c r="U151" i="50"/>
  <c r="AD151" i="50"/>
  <c r="U176" i="50"/>
  <c r="AD176" i="50"/>
  <c r="U157" i="50"/>
  <c r="AD157" i="50"/>
  <c r="U165" i="50"/>
  <c r="AD165" i="50"/>
  <c r="U175" i="50"/>
  <c r="AD175" i="50"/>
  <c r="U191" i="50"/>
  <c r="AD191" i="50"/>
  <c r="U195" i="50"/>
  <c r="AD195" i="50"/>
  <c r="U199" i="50"/>
  <c r="AD199" i="50"/>
  <c r="U132" i="50"/>
  <c r="AD132" i="50"/>
  <c r="U186" i="50"/>
  <c r="AD186" i="50"/>
  <c r="U160" i="50"/>
  <c r="AD160" i="50"/>
  <c r="U168" i="50"/>
  <c r="AD168" i="50"/>
  <c r="U177" i="50"/>
  <c r="AD177" i="50"/>
  <c r="U202" i="50"/>
  <c r="AD202" i="50"/>
  <c r="U201" i="50"/>
  <c r="AD201" i="50"/>
  <c r="U226" i="50"/>
  <c r="AD226" i="50"/>
  <c r="U230" i="50"/>
  <c r="AD230" i="50"/>
  <c r="U234" i="50"/>
  <c r="AD234" i="50"/>
  <c r="U277" i="50"/>
  <c r="AD277" i="50"/>
  <c r="U337" i="50"/>
  <c r="AD337" i="50"/>
  <c r="U341" i="50"/>
  <c r="AD341" i="50"/>
  <c r="U247" i="50"/>
  <c r="AD247" i="50"/>
  <c r="U344" i="50"/>
  <c r="AD344" i="50"/>
  <c r="U348" i="50"/>
  <c r="AD348" i="50"/>
  <c r="U352" i="50"/>
  <c r="AD352" i="50"/>
  <c r="U356" i="50"/>
  <c r="AD356" i="50"/>
  <c r="U364" i="50"/>
  <c r="AD364" i="50"/>
  <c r="U368" i="50"/>
  <c r="AD368" i="50"/>
  <c r="U372" i="50"/>
  <c r="AD372" i="50"/>
  <c r="U376" i="50"/>
  <c r="AD376" i="50"/>
  <c r="U380" i="50"/>
  <c r="AD380" i="50"/>
  <c r="U447" i="50"/>
  <c r="AD447" i="50"/>
  <c r="U448" i="50"/>
  <c r="AD448" i="50"/>
  <c r="U456" i="50"/>
  <c r="AD456" i="50"/>
  <c r="U417" i="50"/>
  <c r="AD417" i="50"/>
  <c r="U426" i="50"/>
  <c r="AD426" i="50"/>
  <c r="U430" i="50"/>
  <c r="AD430" i="50"/>
  <c r="U434" i="50"/>
  <c r="AD434" i="50"/>
  <c r="U440" i="50"/>
  <c r="AD440" i="50"/>
  <c r="U443" i="50"/>
  <c r="AD443" i="50"/>
  <c r="U457" i="50"/>
  <c r="AD457" i="50"/>
  <c r="U416" i="50"/>
  <c r="AD416" i="50"/>
  <c r="U423" i="50"/>
  <c r="AD423" i="50"/>
  <c r="U8" i="50"/>
  <c r="AD8" i="50"/>
  <c r="U11" i="50"/>
  <c r="AD11" i="50"/>
  <c r="U17" i="50"/>
  <c r="AD17" i="50"/>
  <c r="U20" i="50"/>
  <c r="AD20" i="50"/>
  <c r="U52" i="50"/>
  <c r="AD52" i="50"/>
  <c r="U60" i="50"/>
  <c r="AD60" i="50"/>
  <c r="U64" i="50"/>
  <c r="AD64" i="50"/>
  <c r="U68" i="50"/>
  <c r="AD68" i="50"/>
  <c r="U80" i="50"/>
  <c r="AD80" i="50"/>
  <c r="U85" i="50"/>
  <c r="AD85" i="50"/>
  <c r="U101" i="50"/>
  <c r="AD101" i="50"/>
  <c r="U104" i="50"/>
  <c r="AD104" i="50"/>
  <c r="U84" i="50"/>
  <c r="AD84" i="50"/>
  <c r="U95" i="50"/>
  <c r="AD95" i="50"/>
  <c r="U98" i="50"/>
  <c r="AD98" i="50"/>
  <c r="U143" i="50"/>
  <c r="AD143" i="50"/>
  <c r="U144" i="50"/>
  <c r="AD144" i="50"/>
  <c r="U148" i="50"/>
  <c r="AD148" i="50"/>
  <c r="U152" i="50"/>
  <c r="AD152" i="50"/>
  <c r="U140" i="50"/>
  <c r="AD140" i="50"/>
  <c r="U188" i="50"/>
  <c r="AD188" i="50"/>
  <c r="U159" i="50"/>
  <c r="AD159" i="50"/>
  <c r="U167" i="50"/>
  <c r="AD167" i="50"/>
  <c r="U187" i="50"/>
  <c r="AD187" i="50"/>
  <c r="U192" i="50"/>
  <c r="AD192" i="50"/>
  <c r="U196" i="50"/>
  <c r="AD196" i="50"/>
  <c r="U200" i="50"/>
  <c r="AD200" i="50"/>
  <c r="U182" i="50"/>
  <c r="AD182" i="50"/>
  <c r="U162" i="50"/>
  <c r="AD162" i="50"/>
  <c r="U173" i="50"/>
  <c r="AD173" i="50"/>
  <c r="U189" i="50"/>
  <c r="AD189" i="50"/>
  <c r="U227" i="50"/>
  <c r="AD227" i="50"/>
  <c r="U231" i="50"/>
  <c r="AD231" i="50"/>
  <c r="U235" i="50"/>
  <c r="AD235" i="50"/>
  <c r="U338" i="50"/>
  <c r="AD338" i="50"/>
  <c r="U345" i="50"/>
  <c r="AD345" i="50"/>
  <c r="U349" i="50"/>
  <c r="AD349" i="50"/>
  <c r="U353" i="50"/>
  <c r="AD353" i="50"/>
  <c r="U365" i="50"/>
  <c r="AD365" i="50"/>
  <c r="U369" i="50"/>
  <c r="AD369" i="50"/>
  <c r="U373" i="50"/>
  <c r="AD373" i="50"/>
  <c r="U377" i="50"/>
  <c r="AD377" i="50"/>
  <c r="U381" i="50"/>
  <c r="AD381" i="50"/>
  <c r="U422" i="50"/>
  <c r="AD422" i="50"/>
  <c r="U444" i="50"/>
  <c r="AD444" i="50"/>
  <c r="U445" i="50"/>
  <c r="AD445" i="50"/>
  <c r="U446" i="50"/>
  <c r="AD446" i="50"/>
  <c r="U454" i="50"/>
  <c r="AD454" i="50"/>
  <c r="U455" i="50"/>
  <c r="AD455" i="50"/>
  <c r="U413" i="50"/>
  <c r="AD413" i="50"/>
  <c r="U427" i="50"/>
  <c r="AD427" i="50"/>
  <c r="U431" i="50"/>
  <c r="AD431" i="50"/>
  <c r="U435" i="50"/>
  <c r="AD435" i="50"/>
  <c r="U436" i="50"/>
  <c r="AD436" i="50"/>
  <c r="U441" i="50"/>
  <c r="AD441" i="50"/>
  <c r="U460" i="50"/>
  <c r="AD460" i="50"/>
  <c r="U412" i="50"/>
  <c r="AD412" i="50"/>
  <c r="U419" i="50"/>
  <c r="AD419" i="50"/>
  <c r="U10" i="50"/>
  <c r="AD10" i="50"/>
  <c r="U18" i="50"/>
  <c r="AD18" i="50"/>
  <c r="U19" i="50"/>
  <c r="AD19" i="50"/>
  <c r="U49" i="50"/>
  <c r="AD49" i="50"/>
  <c r="U61" i="50"/>
  <c r="AD61" i="50"/>
  <c r="U65" i="50"/>
  <c r="AD65" i="50"/>
  <c r="U69" i="50"/>
  <c r="AD69" i="50"/>
  <c r="U87" i="50"/>
  <c r="AD87" i="50"/>
  <c r="U97" i="50"/>
  <c r="AD97" i="50"/>
  <c r="U100" i="50"/>
  <c r="AD100" i="50"/>
  <c r="U86" i="50"/>
  <c r="AD86" i="50"/>
  <c r="U91" i="50"/>
  <c r="AD91" i="50"/>
  <c r="U94" i="50"/>
  <c r="AD94" i="50"/>
  <c r="U117" i="50"/>
  <c r="AD117" i="50"/>
  <c r="U142" i="50"/>
  <c r="AD142" i="50"/>
  <c r="U139" i="50"/>
  <c r="AD139" i="50"/>
  <c r="U145" i="50"/>
  <c r="AD145" i="50"/>
  <c r="U149" i="50"/>
  <c r="AD149" i="50"/>
  <c r="U153" i="50"/>
  <c r="AD153" i="50"/>
  <c r="U184" i="50"/>
  <c r="AD184" i="50"/>
  <c r="U161" i="50"/>
  <c r="AD161" i="50"/>
  <c r="U169" i="50"/>
  <c r="AD169" i="50"/>
  <c r="U183" i="50"/>
  <c r="AD183" i="50"/>
  <c r="U193" i="50"/>
  <c r="AD193" i="50"/>
  <c r="U197" i="50"/>
  <c r="AD197" i="50"/>
  <c r="U178" i="50"/>
  <c r="AD178" i="50"/>
  <c r="U156" i="50"/>
  <c r="AD156" i="50"/>
  <c r="U164" i="50"/>
  <c r="AD164" i="50"/>
  <c r="U185" i="50"/>
  <c r="AD185" i="50"/>
  <c r="U223" i="50"/>
  <c r="AD223" i="50"/>
  <c r="U224" i="50"/>
  <c r="AD224" i="50"/>
  <c r="U228" i="50"/>
  <c r="AD228" i="50"/>
  <c r="U232" i="50"/>
  <c r="AD232" i="50"/>
  <c r="U236" i="50"/>
  <c r="AD236" i="50"/>
  <c r="U339" i="50"/>
  <c r="AD339" i="50"/>
  <c r="U342" i="50"/>
  <c r="AD342" i="50"/>
  <c r="U346" i="50"/>
  <c r="AD346" i="50"/>
  <c r="U350" i="50"/>
  <c r="AD350" i="50"/>
  <c r="U354" i="50"/>
  <c r="AD354" i="50"/>
  <c r="U362" i="50"/>
  <c r="AD362" i="50"/>
  <c r="U366" i="50"/>
  <c r="AD366" i="50"/>
  <c r="U370" i="50"/>
  <c r="AD370" i="50"/>
  <c r="U374" i="50"/>
  <c r="AD374" i="50"/>
  <c r="U378" i="50"/>
  <c r="AD378" i="50"/>
  <c r="U418" i="50"/>
  <c r="AD418" i="50"/>
  <c r="U442" i="50"/>
  <c r="AD442" i="50"/>
  <c r="U451" i="50"/>
  <c r="AD451" i="50"/>
  <c r="U452" i="50"/>
  <c r="AD452" i="50"/>
  <c r="U453" i="50"/>
  <c r="AD453" i="50"/>
  <c r="U459" i="50"/>
  <c r="AD459" i="50"/>
  <c r="U428" i="50"/>
  <c r="AD428" i="50"/>
  <c r="U432" i="50"/>
  <c r="AD432" i="50"/>
  <c r="U437" i="50"/>
  <c r="AD437" i="50"/>
  <c r="U424" i="50"/>
  <c r="AD424" i="50"/>
  <c r="U415" i="50"/>
  <c r="AD415" i="50"/>
  <c r="U12" i="50"/>
  <c r="AD12" i="50"/>
  <c r="U14" i="50"/>
  <c r="AD14" i="50"/>
  <c r="U50" i="50"/>
  <c r="AD50" i="50"/>
  <c r="U62" i="50"/>
  <c r="AD62" i="50"/>
  <c r="U66" i="50"/>
  <c r="AD66" i="50"/>
  <c r="U81" i="50"/>
  <c r="AD81" i="50"/>
  <c r="U93" i="50"/>
  <c r="AD93" i="50"/>
  <c r="U96" i="50"/>
  <c r="AD96" i="50"/>
  <c r="U88" i="50"/>
  <c r="AD88" i="50"/>
  <c r="U103" i="50"/>
  <c r="AD103" i="50"/>
  <c r="U90" i="50"/>
  <c r="AD90" i="50"/>
  <c r="U138" i="50"/>
  <c r="AD138" i="50"/>
  <c r="U125" i="50"/>
  <c r="AD125" i="50"/>
  <c r="U141" i="50"/>
  <c r="AD141" i="50"/>
  <c r="U113" i="50"/>
  <c r="AD113" i="50"/>
  <c r="U120" i="50"/>
  <c r="AD120" i="50"/>
  <c r="U146" i="50"/>
  <c r="AD146" i="50"/>
  <c r="U150" i="50"/>
  <c r="AD150" i="50"/>
  <c r="U154" i="50"/>
  <c r="AD154" i="50"/>
  <c r="U180" i="50"/>
  <c r="AD180" i="50"/>
  <c r="U155" i="50"/>
  <c r="AD155" i="50"/>
  <c r="U163" i="50"/>
  <c r="AD163" i="50"/>
  <c r="U179" i="50"/>
  <c r="AD179" i="50"/>
  <c r="U194" i="50"/>
  <c r="AD194" i="50"/>
  <c r="U198" i="50"/>
  <c r="AD198" i="50"/>
  <c r="U174" i="50"/>
  <c r="AD174" i="50"/>
  <c r="U190" i="50"/>
  <c r="AD190" i="50"/>
  <c r="U158" i="50"/>
  <c r="AD158" i="50"/>
  <c r="U166" i="50"/>
  <c r="AD166" i="50"/>
  <c r="U181" i="50"/>
  <c r="AD181" i="50"/>
  <c r="U203" i="50"/>
  <c r="AD203" i="50"/>
  <c r="U219" i="50"/>
  <c r="AD219" i="50"/>
  <c r="U206" i="50"/>
  <c r="AD206" i="50"/>
  <c r="U222" i="50"/>
  <c r="AD222" i="50"/>
  <c r="U205" i="50"/>
  <c r="AD205" i="50"/>
  <c r="U221" i="50"/>
  <c r="AD221" i="50"/>
  <c r="U204" i="50"/>
  <c r="AD204" i="50"/>
  <c r="U220" i="50"/>
  <c r="AD220" i="50"/>
  <c r="U225" i="50"/>
  <c r="AD225" i="50"/>
  <c r="U229" i="50"/>
  <c r="AD229" i="50"/>
  <c r="U233" i="50"/>
  <c r="AD233" i="50"/>
  <c r="U237" i="50"/>
  <c r="AD237" i="50"/>
  <c r="U340" i="50"/>
  <c r="AD340" i="50"/>
  <c r="U343" i="50"/>
  <c r="AD343" i="50"/>
  <c r="U347" i="50"/>
  <c r="AD347" i="50"/>
  <c r="U351" i="50"/>
  <c r="AD351" i="50"/>
  <c r="U363" i="50"/>
  <c r="AD363" i="50"/>
  <c r="U367" i="50"/>
  <c r="AD367" i="50"/>
  <c r="U371" i="50"/>
  <c r="AD371" i="50"/>
  <c r="U375" i="50"/>
  <c r="AD375" i="50"/>
  <c r="U379" i="50"/>
  <c r="AD379" i="50"/>
  <c r="U414" i="50"/>
  <c r="AD414" i="50"/>
  <c r="U438" i="50"/>
  <c r="AD438" i="50"/>
  <c r="U439" i="50"/>
  <c r="AD439" i="50"/>
  <c r="U449" i="50"/>
  <c r="AD449" i="50"/>
  <c r="U450" i="50"/>
  <c r="AD450" i="50"/>
  <c r="U458" i="50"/>
  <c r="AD458" i="50"/>
  <c r="U421" i="50"/>
  <c r="AD421" i="50"/>
  <c r="U425" i="50"/>
  <c r="AD425" i="50"/>
  <c r="U429" i="50"/>
  <c r="AD429" i="50"/>
  <c r="U433" i="50"/>
  <c r="AD433" i="50"/>
  <c r="U420" i="50"/>
  <c r="AD420" i="50"/>
</calcChain>
</file>

<file path=xl/sharedStrings.xml><?xml version="1.0" encoding="utf-8"?>
<sst xmlns="http://schemas.openxmlformats.org/spreadsheetml/2006/main" count="202" uniqueCount="169">
  <si>
    <t>Save the file</t>
  </si>
  <si>
    <t>Check Business day (and stop the processing if today is not a Business day)</t>
  </si>
  <si>
    <t>Delete formulas before copying</t>
  </si>
  <si>
    <t>Step 1</t>
  </si>
  <si>
    <t>Step 2</t>
  </si>
  <si>
    <t>Step 3</t>
  </si>
  <si>
    <t>Step 4</t>
  </si>
  <si>
    <t>Step 5</t>
  </si>
  <si>
    <t>Step 6</t>
  </si>
  <si>
    <t>Copy formulas</t>
  </si>
  <si>
    <t>Input</t>
  </si>
  <si>
    <t>Output</t>
  </si>
  <si>
    <t>Copy-paste values to Output sheet</t>
  </si>
  <si>
    <t>Step 7</t>
  </si>
  <si>
    <t>Export the data contained in Output sheet</t>
  </si>
  <si>
    <t>This file</t>
  </si>
  <si>
    <t>Activate ?</t>
  </si>
  <si>
    <t>Step</t>
  </si>
  <si>
    <t>Concerned sheet</t>
  </si>
  <si>
    <t>Description</t>
  </si>
  <si>
    <t>Start the process as soon as the Excel file is open</t>
  </si>
  <si>
    <t>OUTPUT_SHEETNAME</t>
  </si>
  <si>
    <t>INPUT_COL_FIRSTFORMULA</t>
  </si>
  <si>
    <t>INPUT_COL_LASTFORMULA</t>
  </si>
  <si>
    <t>INPUT_COL_FIRSTDATA</t>
  </si>
  <si>
    <t>INPUT_COL_LASTDATA</t>
  </si>
  <si>
    <t>INPUT_LINE_FORMULAS</t>
  </si>
  <si>
    <t>INPUT_LINE_COUNT</t>
  </si>
  <si>
    <t>INPUT_LINE_FIRSTDATAFORCOPYINGDATA</t>
  </si>
  <si>
    <t>OUTPUT_COL_COUNT</t>
  </si>
  <si>
    <t>OUTPUT_COL_FIRSTDATA</t>
  </si>
  <si>
    <t>OUTPUT_LINE_COUNT</t>
  </si>
  <si>
    <t>OUTPUT_COL_LASTDATA</t>
  </si>
  <si>
    <t>A</t>
  </si>
  <si>
    <t>Default value</t>
  </si>
  <si>
    <t>Log processing status</t>
  </si>
  <si>
    <t>Automatically close the file at the end of all input sheets</t>
  </si>
  <si>
    <t>INPUT_COL_AREDATAUPDATED</t>
  </si>
  <si>
    <t>Optional (defaut : first formula in INPUT_LINE_FORMULAS line)
Column containing the first formula to copy in the input sheet</t>
  </si>
  <si>
    <t>Optional (default : last filled column on INPUT_LINE_COUNT line)
Column containing the last formula to copy in the input sheet</t>
  </si>
  <si>
    <t>Input Sheet parameters</t>
  </si>
  <si>
    <t>Output Sheet parameters</t>
  </si>
  <si>
    <t>Optional (default : last filled column on OUTPUT_LINE_COUNT line)
Last column to copy from Output sheet to exported file containing static data</t>
  </si>
  <si>
    <t>Optional (default : current filename of this file)
Filename to use when saving the file if requested in the process</t>
  </si>
  <si>
    <t>Check if data are updated (and stop the processing if data are not updated)</t>
  </si>
  <si>
    <t>Mail global status</t>
  </si>
  <si>
    <t>Global</t>
  </si>
  <si>
    <t>From iW Partners Gateway</t>
  </si>
  <si>
    <t>Optional (default: "Output" + Name of the input sheet where "Input" keyword is deleted)
Name of the Output sheet</t>
  </si>
  <si>
    <t>"00:00:01"</t>
  </si>
  <si>
    <t>"00:00:05"</t>
  </si>
  <si>
    <t>Logging</t>
  </si>
  <si>
    <t>LOG_FOLDER</t>
  </si>
  <si>
    <t>LOG_FILENAME</t>
  </si>
  <si>
    <t>Optional (see default value)
Filename of the logs</t>
  </si>
  <si>
    <t>Name of the workbook + .log (dynamically set)</t>
  </si>
  <si>
    <t>LOG_DEBUGLEVEL</t>
  </si>
  <si>
    <t>Control</t>
  </si>
  <si>
    <t>Save file</t>
  </si>
  <si>
    <t>CONTROL_VALUE_WAITDELAYAFTERDELETE</t>
  </si>
  <si>
    <t>CONTROL_VALUE_WAITDELAYAFTERCOPY</t>
  </si>
  <si>
    <t>Mail status</t>
  </si>
  <si>
    <t>MAIL_BODY</t>
  </si>
  <si>
    <t>MAIL_TO</t>
  </si>
  <si>
    <t>Export</t>
  </si>
  <si>
    <t>.</t>
  </si>
  <si>
    <t>Current name of the workbook (dynamically set)</t>
  </si>
  <si>
    <t>SAVE_FOLDER</t>
  </si>
  <si>
    <t>SAVE_FILENAME</t>
  </si>
  <si>
    <t>EXPORT_FILENAME</t>
  </si>
  <si>
    <t>Name of the Output sheet (dynamically set)</t>
  </si>
  <si>
    <t>Optional (default : name of the Output sheet)
Filename to use when exporting file containing static data.
Extension (if any) is removed.</t>
  </si>
  <si>
    <t>Optional (see default value)
Directory where the logs will be generated</t>
  </si>
  <si>
    <t>Optional (see default value)
Delay to wait after having deleting the formulas</t>
  </si>
  <si>
    <t>Optional (see default value)
Delay to wait after having copying the formulas</t>
  </si>
  <si>
    <t>Optional (see default value)
First column to copy from Input sheet to Output sheet</t>
  </si>
  <si>
    <t>Optional (see default value)
Reference line where the formulas are indicated</t>
  </si>
  <si>
    <t>Optional (see default value)
Reference line to count the columns in the Input sheet</t>
  </si>
  <si>
    <t>Optional (see default value)
First line with data calculated with formulas</t>
  </si>
  <si>
    <t>Optional (see default value)
First line to copy from Input sheet to Output sheet (can be different from INPUT_LINE_FIRSTDATAFORFORMULAS if labels shall be copied to Output sheet)</t>
  </si>
  <si>
    <t>Optional (see default value)
Reference column to count the lines in the Output sheet</t>
  </si>
  <si>
    <t>Optional (see default value)
First column from Output where data are copied</t>
  </si>
  <si>
    <t>Optional (see default value)
Reference line to count the columns in the Output sheet</t>
  </si>
  <si>
    <t>Optional (see default value)
First line to copy from Output sheet to exported file containing static data</t>
  </si>
  <si>
    <t>Optional (see default value)
Message body in the mail providing the global status</t>
  </si>
  <si>
    <t>Optional (see default value)
Destination of the mail providing the global status</t>
  </si>
  <si>
    <t>Optional (see default value)
Indicate that the file should be moved rather than save as (the initial file is deleted).
The deletion of the initial file is cancelled if SAVE_FOLDER is the current directory.</t>
  </si>
  <si>
    <t>Mandatory if the data updated check is requested (default is "")
The data update check is cancelled if this parameter equals ""
Column containing a boolean indicating if the (Bloomberg) data on this line are updated</t>
  </si>
  <si>
    <t>Optional (see default value)
Indicates if the debug level logs must be displayed</t>
  </si>
  <si>
    <t>Check libraries (FORK) references</t>
  </si>
  <si>
    <t>SAVE_MUSTMOVE</t>
  </si>
  <si>
    <t>SAVE_MUSTHORODATE</t>
  </si>
  <si>
    <t>EXPORT_MUSTHORODATE</t>
  </si>
  <si>
    <t>Optional (see default value)
The file will be saved with the date and time appended on the left of its filename.</t>
  </si>
  <si>
    <t>Optional (see default value)
The exported file will be saved with the date and time appended on the left of its filename.</t>
  </si>
  <si>
    <t>..\..\Data\_Logs</t>
  </si>
  <si>
    <t>Optional (default : current directory of this file)
Directory to save this file if requested in the process. There may be several directories, separated by semi-colon.</t>
  </si>
  <si>
    <t>INPUT_COL_COUNTFORCOPYINGDATA</t>
  </si>
  <si>
    <t>Optional (see default value)
Refence column to count the number of lines in the input sheet for copying formulas</t>
  </si>
  <si>
    <t>Optional (see default value)
Refence column to count the number of lines in the input sheet for copying data</t>
  </si>
  <si>
    <t>Date of report</t>
  </si>
  <si>
    <t>Input*</t>
  </si>
  <si>
    <t>Hide/Unhide Input sheets</t>
  </si>
  <si>
    <t>Hide / Unhide Input sheets</t>
  </si>
  <si>
    <t>HideInputSheets</t>
  </si>
  <si>
    <t>""</t>
  </si>
  <si>
    <t>Autostart</t>
  </si>
  <si>
    <t>AUTOSTART_COMPUTERS</t>
  </si>
  <si>
    <t>Optional (see default value)
List of computers on which the autostart will run if the Austostart checkbox is checked, separated by semi-colon. Null means all computers.</t>
  </si>
  <si>
    <t>EXPORT_FOLDERS</t>
  </si>
  <si>
    <t>APPS01</t>
  </si>
  <si>
    <t>MAIL_INDIRECTFOLDER</t>
  </si>
  <si>
    <t>Mandatory (no default value)
If empty, the status mail is commanded directly by the Transformer to Outlook.
Otherwise, the status is turned into a file which name is the status, and then stored in this folder to be sent by a gateway.</t>
  </si>
  <si>
    <t>INPUT_COL_COUNTFORCOPYINGFORMULAS</t>
  </si>
  <si>
    <t>INPUT_LINE_FIRSTDATAFORCOPYINGFORMULAS</t>
  </si>
  <si>
    <t>Bloomberg Request</t>
  </si>
  <si>
    <t>OUTPUT_LINE_FIRSTDATAFORCOPYINGDATA</t>
  </si>
  <si>
    <t>OUTPUT_LINE_LABELS</t>
  </si>
  <si>
    <t>Optional (see default value)
Reference line which contains labels</t>
  </si>
  <si>
    <t>Ticker</t>
  </si>
  <si>
    <t/>
  </si>
  <si>
    <t>..\To.RiskManagement.Outlook</t>
  </si>
  <si>
    <t>ZZ00WJMHJD 0</t>
  </si>
  <si>
    <t>XMU1 Comdty</t>
  </si>
  <si>
    <t>Fund Id</t>
  </si>
  <si>
    <t>Fund Code</t>
  </si>
  <si>
    <t>Fund Name</t>
  </si>
  <si>
    <t>Fund Compartment Id</t>
  </si>
  <si>
    <t>Fund Compartment Code</t>
  </si>
  <si>
    <t>Fund Compartment Name</t>
  </si>
  <si>
    <t>Datasource Id</t>
  </si>
  <si>
    <t>Datasource Name</t>
  </si>
  <si>
    <t>Holding Id</t>
  </si>
  <si>
    <t>Date</t>
  </si>
  <si>
    <t>Quantity</t>
  </si>
  <si>
    <t>Instrument Id</t>
  </si>
  <si>
    <t>Instrument Name</t>
  </si>
  <si>
    <t>Instrument Currency</t>
  </si>
  <si>
    <t>Asset Type</t>
  </si>
  <si>
    <t>CUSIP</t>
  </si>
  <si>
    <t>FIGI</t>
  </si>
  <si>
    <t>ISIN</t>
  </si>
  <si>
    <t>RIC</t>
  </si>
  <si>
    <t>iW Partners - DCM SYSTEMATIC FUND</t>
  </si>
  <si>
    <t>iW - DCM SYSTEMATIC FUND</t>
  </si>
  <si>
    <t>iW Partners - DIVERSIFIED ALPHA</t>
  </si>
  <si>
    <t>DIVERSIFIED ALPHA</t>
  </si>
  <si>
    <t>Pictet Fund Accounting</t>
  </si>
  <si>
    <t>110996-0</t>
  </si>
  <si>
    <t>AUSTRALIA 10Y TREASURY BOND</t>
  </si>
  <si>
    <t>AUD</t>
  </si>
  <si>
    <t>Bond Future</t>
  </si>
  <si>
    <t>12867977-0</t>
  </si>
  <si>
    <t>.\Archived</t>
  </si>
  <si>
    <t>..\..\Data\To.InternalGateway.Outlook</t>
  </si>
  <si>
    <t>NEWS_SENTIMENT</t>
  </si>
  <si>
    <t>NEWS_HEAT_STORY_FLOW_RT</t>
  </si>
  <si>
    <t>NEWS_HEAT_USER_ACTIVITY_RT</t>
  </si>
  <si>
    <t>NEWS_SENTIMENT_RT</t>
  </si>
  <si>
    <t>HAS_NEWS_TODAY</t>
  </si>
  <si>
    <t>TIME_OF_LAST_NEWS_STORY</t>
  </si>
  <si>
    <t>WIRE_OF_LAST_NEWS_STORY</t>
  </si>
  <si>
    <t>jn.charlier@apis-am.com</t>
  </si>
  <si>
    <t>"00:00:30"</t>
  </si>
  <si>
    <t>InputMADMAR</t>
  </si>
  <si>
    <t>CRNCY</t>
  </si>
  <si>
    <t>CRNCY_ADJ_MKT_CAP</t>
  </si>
  <si>
    <t>VOLUME_AVG_20D</t>
  </si>
  <si>
    <t>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</si>
</sst>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303336"/>
      <name val="Inherit"/>
    </font>
    <font>
      <b/>
      <sz val="9"/>
      <color theme="5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rgb="FF990000"/>
      <name val="Arial"/>
      <family val="2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0" fontId="9" fillId="0" borderId="0"/>
  </cellStyleXfs>
  <cellXfs count="5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4" fillId="0" borderId="0" xfId="0" applyFont="1"/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1" fontId="3" fillId="3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21" fontId="3" fillId="4" borderId="1" xfId="0" quotePrefix="1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21" fontId="3" fillId="6" borderId="1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4" borderId="2" xfId="0" applyFon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14" fontId="0" fillId="0" borderId="0" xfId="0" applyNumberFormat="1"/>
    <xf numFmtId="14" fontId="0" fillId="5" borderId="0" xfId="0" applyNumberFormat="1" applyFill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12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3" fillId="9" borderId="0" xfId="0" applyFont="1" applyFill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6EA92D"/>
      <color rgb="FFFFCC99"/>
      <color rgb="FF776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BDP|16189956588074143944</stp>
        <tr r="AD409" s="50"/>
        <tr r="AD213" s="50"/>
      </tp>
      <tp t="s">
        <v>#N/A N/A</v>
        <stp/>
        <stp>BDP|15643924768065153550</stp>
        <tr r="AD331" s="50"/>
      </tp>
      <tp t="s">
        <v>#N/A N/A</v>
        <stp/>
        <stp>BDP|13753183020758622228</stp>
        <tr r="AD317" s="50"/>
        <tr r="AD317" s="50"/>
      </tp>
      <tp t="s">
        <v>#N/A N/A</v>
        <stp/>
        <stp>BDP|13373996454446603324</stp>
        <tr r="U318" s="50"/>
        <tr r="U318" s="50"/>
      </tp>
      <tp t="s">
        <v>#N/A N/A</v>
        <stp/>
        <stp>BDP|17708894691858414465</stp>
        <tr r="AD275" s="50"/>
        <tr r="AD275" s="50"/>
      </tp>
      <tp t="s">
        <v>#N/A N/A</v>
        <stp/>
        <stp>BDP|10938027067234216838</stp>
        <tr r="AD27" s="50"/>
        <tr r="AD27" s="50"/>
      </tp>
      <tp t="s">
        <v>#N/A N/A</v>
        <stp/>
        <stp>BDP|13321604413396812854</stp>
        <tr r="U407" s="50"/>
        <tr r="U407" s="50"/>
      </tp>
      <tp t="s">
        <v>#N/A N/A</v>
        <stp/>
        <stp>BDP|17642282069281101860</stp>
        <tr r="AD271" s="50"/>
        <tr r="AD271" s="50"/>
      </tp>
      <tp t="s">
        <v>#N/A N/A</v>
        <stp/>
        <stp>BDP|11750079926191258868</stp>
        <tr r="U360" s="50"/>
        <tr r="U360" s="50"/>
      </tp>
      <tp t="s">
        <v>#N/A N/A</v>
        <stp/>
        <stp>BDP|12326589286875948011</stp>
        <tr r="U29" s="50"/>
      </tp>
      <tp t="s">
        <v>#N/A N/A</v>
        <stp/>
        <stp>BDP|15849439292383329025</stp>
        <tr r="U253" s="50"/>
        <tr r="U253" s="50"/>
      </tp>
      <tp t="s">
        <v>#N/A N/A</v>
        <stp/>
        <stp>BDP|12771948267385865369</stp>
        <tr r="U335" s="50"/>
        <tr r="U335" s="50"/>
      </tp>
      <tp t="s">
        <v>#N/A N/A</v>
        <stp/>
        <stp>BDP|15905820677918842998</stp>
        <tr r="U250" s="50"/>
        <tr r="U250" s="50"/>
      </tp>
      <tp t="s">
        <v>#N/A N/A</v>
        <stp/>
        <stp>BDP|10800777711555784861</stp>
        <tr r="U239" s="50"/>
        <tr r="U239" s="50"/>
      </tp>
      <tp t="s">
        <v>#N/A N/A</v>
        <stp/>
        <stp>BDP|16263008186570623531</stp>
        <tr r="U288" s="50"/>
        <tr r="U288" s="50"/>
      </tp>
      <tp t="s">
        <v>#N/A N/A</v>
        <stp/>
        <stp>BDP|10439961292508116301</stp>
        <tr r="AD46" s="50"/>
        <tr r="AD46" s="50"/>
      </tp>
      <tp t="s">
        <v>#N/A N/A</v>
        <stp/>
        <stp>BDP|14335807276235257564</stp>
        <tr r="AD108" s="50"/>
        <tr r="AD108" s="50"/>
      </tp>
      <tp t="s">
        <v>#N/A N/A</v>
        <stp/>
        <stp>BDP|12164760315628188731</stp>
        <tr r="AD35" s="50"/>
        <tr r="AD35" s="50"/>
      </tp>
      <tp t="s">
        <v>#N/A N/A</v>
        <stp/>
        <stp>BDP|16300169376013590862</stp>
        <tr r="AD272" s="50"/>
        <tr r="AD272" s="50"/>
      </tp>
      <tp t="s">
        <v>#N/A N/A</v>
        <stp/>
        <stp>BDP|14588012047679440222</stp>
        <tr r="AD70" s="50"/>
        <tr r="AD70" s="50"/>
      </tp>
      <tp t="s">
        <v>#N/A N/A</v>
        <stp/>
        <stp>BDP|12169089651785984940</stp>
        <tr r="U242" s="50"/>
        <tr r="U242" s="50"/>
      </tp>
      <tp t="s">
        <v>#N/A N/A</v>
        <stp/>
        <stp>BDP|16253200026748988590</stp>
        <tr r="AD308" s="50"/>
        <tr r="AD308" s="50"/>
      </tp>
      <tp t="s">
        <v>#N/A N/A</v>
        <stp/>
        <stp>BDP|16052950563259894874</stp>
        <tr r="U33" s="50"/>
      </tp>
      <tp t="s">
        <v>#N/A N/A</v>
        <stp/>
        <stp>BDP|12665040925819650198</stp>
        <tr r="U396" s="50"/>
        <tr r="U396" s="50"/>
      </tp>
      <tp t="s">
        <v>#N/A N/A</v>
        <stp/>
        <stp>BDP|12696426570020075981</stp>
        <tr r="AD385" s="50"/>
        <tr r="AD385" s="50"/>
      </tp>
      <tp t="s">
        <v>#N/A N/A</v>
        <stp/>
        <stp>BDP|10783205420728968011</stp>
        <tr r="U306" s="50"/>
        <tr r="U306" s="50"/>
      </tp>
      <tp t="s">
        <v>#N/A N/A</v>
        <stp/>
        <stp>BDP|12332217890094039514</stp>
        <tr r="AD332" s="50"/>
      </tp>
      <tp t="s">
        <v>#N/A N/A</v>
        <stp/>
        <stp>BDP|15623982039795773223</stp>
        <tr r="U216" s="50"/>
        <tr r="U216" s="50"/>
      </tp>
      <tp t="s">
        <v>#N/A N/A</v>
        <stp/>
        <stp>BDP|13099160450136644955</stp>
        <tr r="AD303" s="50"/>
        <tr r="AD303" s="50"/>
      </tp>
      <tp t="s">
        <v>#N/A N/A</v>
        <stp/>
        <stp>BDP|17564939103792096402</stp>
        <tr r="U37" s="50"/>
      </tp>
      <tp t="s">
        <v>#N/A N/A</v>
        <stp/>
        <stp>BDP|12943000682797463583</stp>
        <tr r="U402" s="50"/>
        <tr r="U402" s="50"/>
      </tp>
      <tp t="s">
        <v>#N/A N/A</v>
        <stp/>
        <stp>BDP|18137408330190197762</stp>
        <tr r="AD45" s="50"/>
        <tr r="AD45" s="50"/>
      </tp>
      <tp t="s">
        <v>#N/A N/A</v>
        <stp/>
        <stp>BDP|11323003939263619850</stp>
        <tr r="U42" s="50"/>
      </tp>
      <tp t="s">
        <v>#N/A N/A</v>
        <stp/>
        <stp>BDP|14724988396149353411</stp>
        <tr r="U310" s="50"/>
        <tr r="U310" s="50"/>
      </tp>
      <tp t="s">
        <v>#N/A N/A</v>
        <stp/>
        <stp>BDP|11195465880760826433</stp>
        <tr r="AD307" s="50"/>
        <tr r="AD307" s="50"/>
      </tp>
      <tp t="s">
        <v>#N/A N/A</v>
        <stp/>
        <stp>BDP|15129085320799023758</stp>
        <tr r="AD260" s="50"/>
        <tr r="AD260" s="50"/>
      </tp>
      <tp t="s">
        <v>#N/A N/A</v>
        <stp/>
        <stp>BDP|10433689856139617309</stp>
        <tr r="AD327" s="50"/>
        <tr r="AD327" s="50"/>
      </tp>
      <tp t="s">
        <v>#N/A N/A</v>
        <stp/>
        <stp>BDP|11547711579109615152</stp>
        <tr r="AD397" s="50"/>
        <tr r="AD397" s="50"/>
      </tp>
      <tp t="s">
        <v>#N/A N/A</v>
        <stp/>
        <stp>BDP|13904193887802240151</stp>
        <tr r="U406" s="50"/>
        <tr r="U406" s="50"/>
      </tp>
      <tp t="s">
        <v>#N/A N/A</v>
        <stp/>
        <stp>BDP|14472045472593590970</stp>
        <tr r="AD326" s="50"/>
        <tr r="AD326" s="50"/>
      </tp>
      <tp t="s">
        <v>#N/A N/A</v>
        <stp/>
        <stp>BDP|15789761643409529645</stp>
        <tr r="AD43" s="50"/>
        <tr r="AD43" s="50"/>
      </tp>
      <tp t="s">
        <v>#N/A N/A</v>
        <stp/>
        <stp>BDP|14996287343072419940</stp>
        <tr r="U361" s="50"/>
        <tr r="U361" s="50"/>
        <tr r="U330" s="50"/>
        <tr r="U330" s="50"/>
        <tr r="U217" s="50"/>
        <tr r="U217" s="50"/>
      </tp>
      <tp t="s">
        <v>#N/A N/A</v>
        <stp/>
        <stp>BDP|10324226868729361481</stp>
        <tr r="U314" s="50"/>
        <tr r="U314" s="50"/>
      </tp>
      <tp t="s">
        <v>#N/A N/A</v>
        <stp/>
        <stp>BDP|15523084690662837724</stp>
        <tr r="AD273" s="50"/>
        <tr r="AD273" s="50"/>
      </tp>
      <tp t="s">
        <v>#N/A N/A</v>
        <stp/>
        <stp>BDP|10473356062459270567</stp>
        <tr r="U411" s="50"/>
        <tr r="U411" s="50"/>
      </tp>
      <tp t="s">
        <v>#N/A N/A</v>
        <stp/>
        <stp>BDP|18294078942794791168</stp>
        <tr r="AD3" s="50"/>
        <tr r="AD3" s="50"/>
      </tp>
      <tp t="s">
        <v>#N/A N/A</v>
        <stp/>
        <stp>BDP|16613668400791039868</stp>
        <tr r="U317" s="50"/>
        <tr r="U317" s="50"/>
      </tp>
      <tp t="s">
        <v>#N/A N/A</v>
        <stp/>
        <stp>BDP|15546552099244849383</stp>
        <tr r="U359" s="50"/>
        <tr r="U359" s="50"/>
        <tr r="U408" s="50"/>
        <tr r="U408" s="50"/>
      </tp>
      <tp t="s">
        <v>#N/A N/A</v>
        <stp/>
        <stp>BDP|14962701163148066309</stp>
        <tr r="AD119" s="50"/>
        <tr r="AD170" s="50"/>
      </tp>
      <tp t="s">
        <v>#N/A N/A</v>
        <stp/>
        <stp>BDP|14538916482913343890</stp>
        <tr r="U297" s="50"/>
        <tr r="U297" s="50"/>
      </tp>
      <tp t="s">
        <v>#N/A N/A</v>
        <stp/>
        <stp>BDP|18334303066490417305</stp>
        <tr r="U256" s="50"/>
        <tr r="U256" s="50"/>
      </tp>
      <tp t="s">
        <v>#N/A N/A</v>
        <stp/>
        <stp>BDP|14162628225666765826</stp>
        <tr r="AD322" s="50"/>
        <tr r="AD322" s="50"/>
      </tp>
      <tp t="s">
        <v>#N/A N/A</v>
        <stp/>
        <stp>BDP|13049540083630284075</stp>
        <tr r="U281" s="50"/>
        <tr r="U281" s="50"/>
      </tp>
      <tp t="s">
        <v>#N/A N/A</v>
        <stp/>
        <stp>BDP|17882410620238985747</stp>
        <tr r="U43" s="50"/>
      </tp>
      <tp t="s">
        <v>#N/A N/A</v>
        <stp/>
        <stp>BDP|12301270587527149153</stp>
        <tr r="U215" s="50"/>
        <tr r="U215" s="50"/>
      </tp>
      <tp t="s">
        <v>#N/A N/A</v>
        <stp/>
        <stp>BDP|10390849701163215520</stp>
        <tr r="AD41" s="50"/>
        <tr r="AD41" s="50"/>
      </tp>
      <tp t="s">
        <v>#N/A Requesting Data...4283103857</v>
        <stp/>
        <stp>BDP|10983540476455153864</stp>
        <tr r="U461" s="50"/>
        <tr r="U462" s="50"/>
        <tr r="U463" s="50"/>
        <tr r="U464" s="50"/>
        <tr r="U465" s="50"/>
        <tr r="U466" s="50"/>
        <tr r="U467" s="50"/>
        <tr r="U468" s="50"/>
        <tr r="U469" s="50"/>
        <tr r="U470" s="50"/>
        <tr r="U471" s="50"/>
        <tr r="U472" s="50"/>
        <tr r="U473" s="50"/>
        <tr r="U474" s="50"/>
        <tr r="U475" s="50"/>
        <tr r="U476" s="50"/>
        <tr r="U477" s="50"/>
        <tr r="U478" s="50"/>
        <tr r="U479" s="50"/>
        <tr r="U480" s="50"/>
        <tr r="U481" s="50"/>
        <tr r="U482" s="50"/>
        <tr r="U483" s="50"/>
        <tr r="U484" s="50"/>
        <tr r="U485" s="50"/>
        <tr r="U486" s="50"/>
        <tr r="U487" s="50"/>
        <tr r="U488" s="50"/>
        <tr r="U489" s="50"/>
        <tr r="U500" s="50"/>
        <tr r="U501" s="50"/>
        <tr r="U502" s="50"/>
        <tr r="U503" s="50"/>
        <tr r="U504" s="50"/>
        <tr r="U505" s="50"/>
        <tr r="U506" s="50"/>
        <tr r="U507" s="50"/>
        <tr r="U508" s="50"/>
        <tr r="U509" s="50"/>
        <tr r="U510" s="50"/>
        <tr r="U511" s="50"/>
        <tr r="U512" s="50"/>
        <tr r="U513" s="50"/>
        <tr r="U514" s="50"/>
        <tr r="U515" s="50"/>
        <tr r="U516" s="50"/>
        <tr r="U517" s="50"/>
        <tr r="U518" s="50"/>
        <tr r="U519" s="50"/>
        <tr r="U520" s="50"/>
        <tr r="U521" s="50"/>
        <tr r="U522" s="50"/>
        <tr r="U523" s="50"/>
        <tr r="U524" s="50"/>
        <tr r="U525" s="50"/>
        <tr r="U526" s="50"/>
        <tr r="U527" s="50"/>
        <tr r="U528" s="50"/>
        <tr r="U529" s="50"/>
        <tr r="U530" s="50"/>
        <tr r="U531" s="50"/>
        <tr r="U532" s="50"/>
        <tr r="U533" s="50"/>
        <tr r="U534" s="50"/>
        <tr r="U535" s="50"/>
        <tr r="U536" s="50"/>
        <tr r="U537" s="50"/>
        <tr r="U538" s="50"/>
        <tr r="U539" s="50"/>
        <tr r="U540" s="50"/>
        <tr r="U544" s="50"/>
        <tr r="U545" s="50"/>
        <tr r="U546" s="50"/>
        <tr r="U547" s="50"/>
        <tr r="U548" s="50"/>
        <tr r="U549" s="50"/>
        <tr r="U550" s="50"/>
        <tr r="U551" s="50"/>
        <tr r="U552" s="50"/>
        <tr r="U553" s="50"/>
        <tr r="U554" s="50"/>
        <tr r="U555" s="50"/>
        <tr r="U556" s="50"/>
        <tr r="U557" s="50"/>
        <tr r="U558" s="50"/>
        <tr r="U559" s="50"/>
        <tr r="U560" s="50"/>
        <tr r="U561" s="50"/>
        <tr r="U562" s="50"/>
        <tr r="U563" s="50"/>
        <tr r="U564" s="50"/>
        <tr r="U565" s="50"/>
        <tr r="U566" s="50"/>
        <tr r="U567" s="50"/>
        <tr r="U568" s="50"/>
        <tr r="U569" s="50"/>
        <tr r="U570" s="50"/>
        <tr r="U571" s="50"/>
        <tr r="U572" s="50"/>
        <tr r="U573" s="50"/>
        <tr r="U574" s="50"/>
        <tr r="U575" s="50"/>
        <tr r="U581" s="50"/>
        <tr r="U587" s="50"/>
        <tr r="U588" s="50"/>
        <tr r="U589" s="50"/>
        <tr r="U597" s="50"/>
        <tr r="U599" s="50"/>
        <tr r="U600" s="50"/>
        <tr r="U601" s="50"/>
        <tr r="U602" s="50"/>
        <tr r="U603" s="50"/>
        <tr r="U604" s="50"/>
        <tr r="U605" s="50"/>
        <tr r="U606" s="50"/>
        <tr r="U607" s="50"/>
        <tr r="U608" s="50"/>
        <tr r="U609" s="50"/>
        <tr r="U610" s="50"/>
        <tr r="U611" s="50"/>
        <tr r="U612" s="50"/>
        <tr r="U613" s="50"/>
        <tr r="U614" s="50"/>
        <tr r="U615" s="50"/>
        <tr r="U616" s="50"/>
        <tr r="U617" s="50"/>
        <tr r="U618" s="50"/>
        <tr r="U628" s="50"/>
        <tr r="U629" s="50"/>
        <tr r="U630" s="50"/>
        <tr r="U634" s="50"/>
        <tr r="U635" s="50"/>
        <tr r="U636" s="50"/>
        <tr r="U637" s="50"/>
        <tr r="U638" s="50"/>
        <tr r="U639" s="50"/>
        <tr r="U640" s="50"/>
        <tr r="U641" s="50"/>
        <tr r="U642" s="50"/>
        <tr r="U643" s="50"/>
        <tr r="U644" s="50"/>
        <tr r="U645" s="50"/>
        <tr r="U646" s="50"/>
        <tr r="U647" s="50"/>
        <tr r="U648" s="50"/>
        <tr r="U649" s="50"/>
        <tr r="U650" s="50"/>
        <tr r="U651" s="50"/>
        <tr r="U660" s="50"/>
        <tr r="U718" s="50"/>
        <tr r="U719" s="50"/>
        <tr r="U746" s="50"/>
        <tr r="U747" s="50"/>
        <tr r="U748" s="50"/>
        <tr r="U749" s="50"/>
        <tr r="U750" s="50"/>
        <tr r="U751" s="50"/>
        <tr r="U752" s="50"/>
        <tr r="U753" s="50"/>
        <tr r="U754" s="50"/>
        <tr r="U755" s="50"/>
        <tr r="U756" s="50"/>
        <tr r="U757" s="50"/>
        <tr r="U758" s="50"/>
        <tr r="U759" s="50"/>
        <tr r="U760" s="50"/>
        <tr r="U761" s="50"/>
        <tr r="U762" s="50"/>
        <tr r="U763" s="50"/>
        <tr r="U764" s="50"/>
        <tr r="U766" s="50"/>
        <tr r="U770" s="50"/>
        <tr r="U771" s="50"/>
        <tr r="U772" s="50"/>
        <tr r="U773" s="50"/>
        <tr r="U774" s="50"/>
        <tr r="U775" s="50"/>
        <tr r="U776" s="50"/>
        <tr r="U777" s="50"/>
        <tr r="U778" s="50"/>
        <tr r="U779" s="50"/>
        <tr r="U780" s="50"/>
        <tr r="U781" s="50"/>
        <tr r="U782" s="50"/>
        <tr r="U783" s="50"/>
        <tr r="U784" s="50"/>
        <tr r="U785" s="50"/>
        <tr r="U786" s="50"/>
        <tr r="U787" s="50"/>
        <tr r="U788" s="50"/>
        <tr r="U820" s="50"/>
        <tr r="U821" s="50"/>
        <tr r="U823" s="50"/>
        <tr r="U824" s="50"/>
        <tr r="U825" s="50"/>
        <tr r="U826" s="50"/>
        <tr r="U827" s="50"/>
        <tr r="U828" s="50"/>
        <tr r="U829" s="50"/>
        <tr r="U830" s="50"/>
        <tr r="U831" s="50"/>
        <tr r="U832" s="50"/>
        <tr r="U833" s="50"/>
        <tr r="U834" s="50"/>
        <tr r="U835" s="50"/>
        <tr r="U836" s="50"/>
        <tr r="U837" s="50"/>
        <tr r="U838" s="50"/>
        <tr r="U839" s="50"/>
        <tr r="U840" s="50"/>
        <tr r="U841" s="50"/>
        <tr r="U842" s="50"/>
        <tr r="U843" s="50"/>
        <tr r="U844" s="50"/>
        <tr r="U845" s="50"/>
        <tr r="U846" s="50"/>
        <tr r="U847" s="50"/>
        <tr r="U848" s="50"/>
        <tr r="U849" s="50"/>
        <tr r="U850" s="50"/>
        <tr r="U851" s="50"/>
        <tr r="U852" s="50"/>
        <tr r="U853" s="50"/>
        <tr r="U854" s="50"/>
        <tr r="U855" s="50"/>
        <tr r="U856" s="50"/>
        <tr r="U857" s="50"/>
        <tr r="U864" s="50"/>
        <tr r="U865" s="50"/>
        <tr r="U866" s="50"/>
        <tr r="U867" s="50"/>
        <tr r="U868" s="50"/>
        <tr r="U869" s="50"/>
        <tr r="U870" s="50"/>
        <tr r="U871" s="50"/>
        <tr r="U872" s="50"/>
        <tr r="U873" s="50"/>
        <tr r="U874" s="50"/>
        <tr r="U875" s="50"/>
        <tr r="U876" s="50"/>
        <tr r="U877" s="50"/>
        <tr r="U878" s="50"/>
        <tr r="U879" s="50"/>
        <tr r="U880" s="50"/>
        <tr r="U881" s="50"/>
        <tr r="U882" s="50"/>
        <tr r="U883" s="50"/>
        <tr r="U884" s="50"/>
        <tr r="U702" s="50"/>
        <tr r="U721" s="50"/>
        <tr r="U801" s="50"/>
        <tr r="U693" s="50"/>
        <tr r="U692" s="50"/>
        <tr r="U657" s="50"/>
        <tr r="U493" s="50"/>
        <tr r="U742" s="50"/>
        <tr r="U671" s="50"/>
        <tr r="U681" s="50"/>
        <tr r="U675" s="50"/>
        <tr r="U744" s="50"/>
        <tr r="U580" s="50"/>
        <tr r="U795" s="50"/>
        <tr r="U577" s="50"/>
        <tr r="U627" s="50"/>
        <tr r="U626" s="50"/>
        <tr r="U670" s="50"/>
        <tr r="U715" s="50"/>
        <tr r="U673" s="50"/>
        <tr r="U800" s="50"/>
        <tr r="U729" s="50"/>
        <tr r="U700" s="50"/>
        <tr r="U685" s="50"/>
        <tr r="U730" s="50"/>
        <tr r="U736" s="50"/>
        <tr r="U811" s="50"/>
        <tr r="U706" s="50"/>
        <tr r="U596" s="50"/>
        <tr r="U676" s="50"/>
        <tr r="U813" s="50"/>
        <tr r="U725" s="50"/>
        <tr r="U791" s="50"/>
        <tr r="U767" s="50"/>
        <tr r="U816" s="50"/>
        <tr r="U620" s="50"/>
        <tr r="U621" s="50"/>
        <tr r="U674" s="50"/>
        <tr r="U822" s="50"/>
        <tr r="U739" s="50"/>
        <tr r="U678" s="50"/>
        <tr r="U598" s="50"/>
        <tr r="U703" s="50"/>
        <tr r="U740" s="50"/>
        <tr r="U677" s="50"/>
        <tr r="U704" s="50"/>
        <tr r="U797" s="50"/>
        <tr r="U726" s="50"/>
        <tr r="U735" s="50"/>
        <tr r="U690" s="50"/>
        <tr r="U709" s="50"/>
        <tr r="U499" s="50"/>
        <tr r="U863" s="50"/>
        <tr r="U745" s="50"/>
        <tr r="U658" s="50"/>
        <tr r="U633" s="50"/>
        <tr r="U664" s="50"/>
        <tr r="U491" s="50"/>
        <tr r="U595" s="50"/>
        <tr r="U694" s="50"/>
        <tr r="U707" s="50"/>
        <tr r="U705" s="50"/>
        <tr r="U810" s="50"/>
        <tr r="U727" s="50"/>
        <tr r="U542" s="50"/>
        <tr r="U490" s="50"/>
        <tr r="U858" s="50"/>
        <tr r="U803" s="50"/>
        <tr r="U632" s="50"/>
        <tr r="U734" s="50"/>
        <tr r="U769" s="50"/>
        <tr r="U717" s="50"/>
        <tr r="U623" s="50"/>
        <tr r="U812" s="50"/>
        <tr r="U666" s="50"/>
        <tr r="U714" s="50"/>
        <tr r="U805" s="50"/>
        <tr r="U732" s="50"/>
        <tr r="U699" s="50"/>
        <tr r="U768" s="50"/>
        <tr r="U815" s="50"/>
        <tr r="U492" s="50"/>
        <tr r="U716" s="50"/>
        <tr r="U625" s="50"/>
        <tr r="U817" s="50"/>
        <tr r="U543" s="50"/>
        <tr r="U592" s="50"/>
        <tr r="U498" s="50"/>
        <tr r="U862" s="50"/>
        <tr r="U695" s="50"/>
        <tr r="U696" s="50"/>
        <tr r="U594" s="50"/>
        <tr r="U682" s="50"/>
        <tr r="U576" s="50"/>
        <tr r="U584" s="50"/>
        <tr r="U802" s="50"/>
        <tr r="U720" s="50"/>
        <tr r="U765" s="50"/>
        <tr r="U494" s="50"/>
        <tr r="U619" s="50"/>
        <tr r="U796" s="50"/>
        <tr r="U809" s="50"/>
        <tr r="U814" s="50"/>
        <tr r="U496" s="50"/>
        <tr r="U860" s="50"/>
        <tr r="U808" s="50"/>
        <tr r="U712" s="50"/>
        <tr r="U792" s="50"/>
        <tr r="U578" s="50"/>
        <tr r="U722" s="50"/>
        <tr r="U793" s="50"/>
        <tr r="U679" s="50"/>
        <tr r="U728" s="50"/>
        <tr r="U799" s="50"/>
        <tr r="U672" s="50"/>
        <tr r="U731" s="50"/>
        <tr r="U585" s="50"/>
        <tr r="U743" s="50"/>
        <tr r="U663" s="50"/>
        <tr r="U541" s="50"/>
        <tr r="U586" s="50"/>
        <tr r="U582" s="50"/>
        <tr r="U593" s="50"/>
        <tr r="U662" s="50"/>
        <tr r="U708" s="50"/>
        <tr r="U495" s="50"/>
        <tr r="U859" s="50"/>
        <tr r="U711" s="50"/>
        <tr r="U668" s="50"/>
        <tr r="U655" s="50"/>
        <tr r="U688" s="50"/>
        <tr r="U697" s="50"/>
        <tr r="U683" s="50"/>
        <tr r="U741" s="50"/>
        <tr r="U737" s="50"/>
        <tr r="U583" s="50"/>
        <tr r="U807" s="50"/>
        <tr r="U652" s="50"/>
        <tr r="U689" s="50"/>
        <tr r="U806" s="50"/>
        <tr r="U590" s="50"/>
        <tr r="U659" s="50"/>
        <tr r="U687" s="50"/>
        <tr r="U698" s="50"/>
        <tr r="U819" s="50"/>
        <tr r="U591" s="50"/>
        <tr r="U624" s="50"/>
        <tr r="U684" s="50"/>
        <tr r="U798" s="50"/>
        <tr r="U713" s="50"/>
        <tr r="U579" s="50"/>
        <tr r="U680" s="50"/>
        <tr r="U686" s="50"/>
        <tr r="U653" s="50"/>
        <tr r="U794" s="50"/>
        <tr r="U790" s="50"/>
        <tr r="U656" s="50"/>
        <tr r="U667" s="50"/>
        <tr r="U661" s="50"/>
        <tr r="U733" s="50"/>
        <tr r="U691" s="50"/>
        <tr r="U738" s="50"/>
        <tr r="U818" s="50"/>
        <tr r="U723" s="50"/>
        <tr r="U701" s="50"/>
        <tr r="U665" s="50"/>
        <tr r="U631" s="50"/>
        <tr r="U669" s="50"/>
        <tr r="U724" s="50"/>
        <tr r="U710" s="50"/>
        <tr r="U804" s="50"/>
        <tr r="U654" s="50"/>
        <tr r="U497" s="50"/>
        <tr r="U861" s="50"/>
        <tr r="U789" s="50"/>
        <tr r="U622" s="50"/>
        <tr r="U1" s="50"/>
      </tp>
      <tp t="s">
        <v>#N/A N/A</v>
        <stp/>
        <stp>BDP|13641333922639596436</stp>
        <tr r="U22" s="50"/>
      </tp>
      <tp t="s">
        <v>#N/A N/A</v>
        <stp/>
        <stp>BDP|15606987261420861573</stp>
        <tr r="U322" s="50"/>
        <tr r="U322" s="50"/>
      </tp>
      <tp t="s">
        <v>#N/A N/A</v>
        <stp/>
        <stp>BDP|17599810009663818370</stp>
        <tr r="AD319" s="50"/>
        <tr r="AD319" s="50"/>
      </tp>
      <tp t="s">
        <v>#N/A N/A</v>
        <stp/>
        <stp>BDP|11835725076937941913</stp>
        <tr r="U283" s="50"/>
        <tr r="U283" s="50"/>
      </tp>
      <tp t="s">
        <v>#N/A N/A</v>
        <stp/>
        <stp>BDP|12903422789581189047</stp>
        <tr r="U327" s="50"/>
        <tr r="U327" s="50"/>
      </tp>
      <tp t="s">
        <v>#N/A N/A</v>
        <stp/>
        <stp>BDP|12923065383362037470</stp>
        <tr r="AD336" s="50"/>
      </tp>
      <tp t="s">
        <v>#N/A N/A</v>
        <stp/>
        <stp>BDP|13203193204616236875</stp>
        <tr r="U320" s="50"/>
        <tr r="U320" s="50"/>
      </tp>
      <tp t="s">
        <v>#N/A N/A</v>
        <stp/>
        <stp>BDP|16513707801634131983</stp>
        <tr r="U243" s="50"/>
        <tr r="U243" s="50"/>
      </tp>
      <tp t="s">
        <v>#N/A N/A</v>
        <stp/>
        <stp>BDP|16454899923692848296</stp>
        <tr r="AD360" s="50"/>
      </tp>
      <tp t="s">
        <v>#N/A N/A</v>
        <stp/>
        <stp>BDP|13443590774504413924</stp>
        <tr r="AD137" s="50"/>
      </tp>
      <tp t="s">
        <v>#N/A N/A</v>
        <stp/>
        <stp>BDP|13982064503619200600</stp>
        <tr r="AD333" s="50"/>
      </tp>
      <tp t="s">
        <v>#N/A N/A</v>
        <stp/>
        <stp>BDP|10589275690255616276</stp>
        <tr r="U296" s="50"/>
        <tr r="U296" s="50"/>
      </tp>
      <tp t="s">
        <v>#N/A N/A</v>
        <stp/>
        <stp>BDP|14183278995844890796</stp>
        <tr r="AD116" s="50"/>
      </tp>
      <tp t="s">
        <v>#N/A N/A</v>
        <stp/>
        <stp>BDP|17493739845489744106</stp>
        <tr r="U255" s="50"/>
        <tr r="U255" s="50"/>
      </tp>
      <tp t="s">
        <v>#N/A N/A</v>
        <stp/>
        <stp>BDP|13280287329308218752</stp>
        <tr r="AD251" s="50"/>
        <tr r="AD251" s="50"/>
      </tp>
      <tp t="s">
        <v>#N/A N/A</v>
        <stp/>
        <stp>BDP|11592732116189602212</stp>
        <tr r="AD74" s="50"/>
        <tr r="AD74" s="50"/>
      </tp>
      <tp t="s">
        <v>#N/A Requesting Data...2797604354</v>
        <stp/>
        <stp>BDP|14195067337858182286</stp>
        <tr r="AC1" s="50"/>
      </tp>
      <tp t="s">
        <v>#N/A N/A</v>
        <stp/>
        <stp>BDP|18074887955748066079</stp>
        <tr r="U133" s="50"/>
        <tr r="U133" s="50"/>
      </tp>
      <tp t="s">
        <v>#N/A N/A</v>
        <stp/>
        <stp>BDP|16074097480221163259</stp>
        <tr r="U309" s="50"/>
        <tr r="U309" s="50"/>
      </tp>
      <tp t="s">
        <v>#N/A N/A</v>
        <stp/>
        <stp>BDP|12368518508969465333</stp>
        <tr r="U383" s="50"/>
        <tr r="U383" s="50"/>
      </tp>
      <tp t="s">
        <v>#N/A N/A</v>
        <stp/>
        <stp>BDP|15141274433808321192</stp>
        <tr r="U391" s="50"/>
        <tr r="U391" s="50"/>
        <tr r="U274" s="50"/>
        <tr r="U274" s="50"/>
      </tp>
      <tp t="s">
        <v>#N/A N/A</v>
        <stp/>
        <stp>BDP|13934435646198329618</stp>
        <tr r="U420" s="50"/>
        <tr r="U433" s="50"/>
        <tr r="U429" s="50"/>
        <tr r="U425" s="50"/>
        <tr r="U421" s="50"/>
        <tr r="U458" s="50"/>
        <tr r="U450" s="50"/>
        <tr r="U449" s="50"/>
        <tr r="U439" s="50"/>
        <tr r="U438" s="50"/>
        <tr r="U414" s="50"/>
        <tr r="U379" s="50"/>
        <tr r="U375" s="50"/>
        <tr r="U371" s="50"/>
        <tr r="U367" s="50"/>
        <tr r="U363" s="50"/>
        <tr r="U351" s="50"/>
        <tr r="U347" s="50"/>
        <tr r="U343" s="50"/>
        <tr r="U340" s="50"/>
        <tr r="U237" s="50"/>
        <tr r="U233" s="50"/>
        <tr r="U229" s="50"/>
        <tr r="U225" s="50"/>
        <tr r="U220" s="50"/>
        <tr r="U204" s="50"/>
        <tr r="U221" s="50"/>
        <tr r="U205" s="50"/>
        <tr r="U222" s="50"/>
        <tr r="U206" s="50"/>
        <tr r="U219" s="50"/>
        <tr r="U203" s="50"/>
        <tr r="U181" s="50"/>
        <tr r="U166" s="50"/>
        <tr r="U158" s="50"/>
        <tr r="U190" s="50"/>
        <tr r="U174" s="50"/>
        <tr r="U198" s="50"/>
        <tr r="U194" s="50"/>
        <tr r="U179" s="50"/>
        <tr r="U163" s="50"/>
        <tr r="U155" s="50"/>
        <tr r="U180" s="50"/>
        <tr r="U154" s="50"/>
        <tr r="U150" s="50"/>
        <tr r="U146" s="50"/>
        <tr r="U120" s="50"/>
        <tr r="U113" s="50"/>
        <tr r="U141" s="50"/>
        <tr r="U125" s="50"/>
        <tr r="U138" s="50"/>
        <tr r="U90" s="50"/>
        <tr r="U103" s="50"/>
        <tr r="U88" s="50"/>
        <tr r="U96" s="50"/>
        <tr r="U93" s="50"/>
        <tr r="U81" s="50"/>
        <tr r="U66" s="50"/>
        <tr r="U62" s="50"/>
        <tr r="U50" s="50"/>
        <tr r="U14" s="50"/>
        <tr r="U12" s="50"/>
        <tr r="U415" s="50"/>
        <tr r="U424" s="50"/>
        <tr r="U437" s="50"/>
        <tr r="U432" s="50"/>
        <tr r="U428" s="50"/>
        <tr r="U459" s="50"/>
        <tr r="U453" s="50"/>
        <tr r="U452" s="50"/>
        <tr r="U451" s="50"/>
        <tr r="U442" s="50"/>
        <tr r="U418" s="50"/>
        <tr r="U378" s="50"/>
        <tr r="U374" s="50"/>
        <tr r="U370" s="50"/>
        <tr r="U366" s="50"/>
        <tr r="U362" s="50"/>
        <tr r="U354" s="50"/>
        <tr r="U350" s="50"/>
        <tr r="U346" s="50"/>
        <tr r="U342" s="50"/>
        <tr r="U339" s="50"/>
        <tr r="U236" s="50"/>
        <tr r="U232" s="50"/>
        <tr r="U228" s="50"/>
        <tr r="U224" s="50"/>
        <tr r="U223" s="50"/>
        <tr r="U185" s="50"/>
        <tr r="U164" s="50"/>
        <tr r="U156" s="50"/>
        <tr r="U178" s="50"/>
        <tr r="U197" s="50"/>
        <tr r="U193" s="50"/>
        <tr r="U183" s="50"/>
        <tr r="U169" s="50"/>
        <tr r="U161" s="50"/>
        <tr r="U184" s="50"/>
        <tr r="U153" s="50"/>
        <tr r="U149" s="50"/>
        <tr r="U145" s="50"/>
        <tr r="U139" s="50"/>
        <tr r="U142" s="50"/>
        <tr r="U117" s="50"/>
        <tr r="U94" s="50"/>
        <tr r="U91" s="50"/>
        <tr r="U86" s="50"/>
        <tr r="U100" s="50"/>
        <tr r="U97" s="50"/>
        <tr r="U87" s="50"/>
        <tr r="U69" s="50"/>
        <tr r="U65" s="50"/>
        <tr r="U61" s="50"/>
        <tr r="U49" s="50"/>
        <tr r="U19" s="50"/>
        <tr r="U18" s="50"/>
        <tr r="U10" s="50"/>
        <tr r="U419" s="50"/>
        <tr r="U412" s="50"/>
        <tr r="U460" s="50"/>
        <tr r="U441" s="50"/>
        <tr r="U436" s="50"/>
        <tr r="U435" s="50"/>
        <tr r="U431" s="50"/>
        <tr r="U427" s="50"/>
        <tr r="U413" s="50"/>
        <tr r="U455" s="50"/>
        <tr r="U454" s="50"/>
        <tr r="U446" s="50"/>
        <tr r="U445" s="50"/>
        <tr r="U444" s="50"/>
        <tr r="U422" s="50"/>
        <tr r="U381" s="50"/>
        <tr r="U377" s="50"/>
        <tr r="U373" s="50"/>
        <tr r="U369" s="50"/>
        <tr r="U365" s="50"/>
        <tr r="U353" s="50"/>
        <tr r="U349" s="50"/>
        <tr r="U345" s="50"/>
        <tr r="U338" s="50"/>
        <tr r="U235" s="50"/>
        <tr r="U231" s="50"/>
        <tr r="U227" s="50"/>
        <tr r="U189" s="50"/>
        <tr r="U173" s="50"/>
        <tr r="U162" s="50"/>
        <tr r="U182" s="50"/>
        <tr r="U200" s="50"/>
        <tr r="U196" s="50"/>
        <tr r="U192" s="50"/>
        <tr r="U187" s="50"/>
        <tr r="U167" s="50"/>
        <tr r="U159" s="50"/>
        <tr r="U188" s="50"/>
        <tr r="U140" s="50"/>
        <tr r="U152" s="50"/>
        <tr r="U148" s="50"/>
        <tr r="U144" s="50"/>
        <tr r="U143" s="50"/>
        <tr r="U98" s="50"/>
        <tr r="U95" s="50"/>
        <tr r="U84" s="50"/>
        <tr r="U104" s="50"/>
        <tr r="U101" s="50"/>
        <tr r="U85" s="50"/>
        <tr r="U80" s="50"/>
        <tr r="U68" s="50"/>
        <tr r="U64" s="50"/>
        <tr r="U60" s="50"/>
        <tr r="U52" s="50"/>
        <tr r="U20" s="50"/>
        <tr r="U17" s="50"/>
        <tr r="U11" s="50"/>
        <tr r="U8" s="50"/>
        <tr r="U423" s="50"/>
        <tr r="U416" s="50"/>
        <tr r="U457" s="50"/>
        <tr r="U443" s="50"/>
        <tr r="U440" s="50"/>
        <tr r="U434" s="50"/>
        <tr r="U430" s="50"/>
        <tr r="U426" s="50"/>
        <tr r="U417" s="50"/>
        <tr r="U456" s="50"/>
        <tr r="U448" s="50"/>
        <tr r="U447" s="50"/>
        <tr r="U380" s="50"/>
        <tr r="U376" s="50"/>
        <tr r="U372" s="50"/>
        <tr r="U368" s="50"/>
        <tr r="U364" s="50"/>
        <tr r="U356" s="50"/>
        <tr r="U352" s="50"/>
        <tr r="U348" s="50"/>
        <tr r="U344" s="50"/>
        <tr r="U247" s="50"/>
        <tr r="U341" s="50"/>
        <tr r="U337" s="50"/>
        <tr r="U277" s="50"/>
        <tr r="U234" s="50"/>
        <tr r="U230" s="50"/>
        <tr r="U226" s="50"/>
        <tr r="U201" s="50"/>
        <tr r="U202" s="50"/>
        <tr r="U177" s="50"/>
        <tr r="U168" s="50"/>
        <tr r="U160" s="50"/>
        <tr r="U186" s="50"/>
        <tr r="U132" s="50"/>
        <tr r="U199" s="50"/>
        <tr r="U195" s="50"/>
        <tr r="U191" s="50"/>
        <tr r="U175" s="50"/>
        <tr r="U165" s="50"/>
        <tr r="U157" s="50"/>
        <tr r="U176" s="50"/>
        <tr r="U151" s="50"/>
        <tr r="U147" s="50"/>
        <tr r="U131" s="50"/>
        <tr r="U121" s="50"/>
        <tr r="U102" s="50"/>
        <tr r="U99" s="50"/>
        <tr r="U82" s="50"/>
        <tr r="U92" s="50"/>
        <tr r="U89" s="50"/>
        <tr r="U83" s="50"/>
        <tr r="U79" s="50"/>
        <tr r="U67" s="50"/>
        <tr r="U63" s="50"/>
        <tr r="U59" s="50"/>
        <tr r="U51" s="50"/>
        <tr r="U16" s="50"/>
        <tr r="U9" s="50"/>
        <tr r="U13" s="50"/>
        <tr r="U15" s="50"/>
      </tp>
      <tp t="s">
        <v>#N/A N/A</v>
        <stp/>
        <stp>BDP|18369346509744964264</stp>
        <tr r="AD110" s="50"/>
        <tr r="AD110" s="50"/>
      </tp>
      <tp t="s">
        <v>#N/A N/A</v>
        <stp/>
        <stp>BDP|16119476816658440649</stp>
        <tr r="U5" s="50"/>
      </tp>
      <tp t="s">
        <v>#N/A N/A</v>
        <stp/>
        <stp>BDP|13539157414639371745</stp>
        <tr r="AD390" s="50"/>
        <tr r="AD390" s="50"/>
      </tp>
      <tp t="s">
        <v>#N/A N/A</v>
        <stp/>
        <stp>BDP|14698400185920221571</stp>
        <tr r="U6" s="50"/>
      </tp>
      <tp t="s">
        <v>#N/A N/A</v>
        <stp/>
        <stp>BDP|11521973381265574805</stp>
        <tr r="AD282" s="50"/>
        <tr r="AD282" s="50"/>
      </tp>
      <tp t="s">
        <v>#N/A N/A</v>
        <stp/>
        <stp>BDP|15826566346865441366</stp>
        <tr r="U313" s="50"/>
        <tr r="U313" s="50"/>
      </tp>
      <tp t="s">
        <v>#N/A N/A</v>
        <stp/>
        <stp>BDP|14902580428416068750</stp>
        <tr r="AD402" s="50"/>
      </tp>
      <tp t="s">
        <v>#N/A N/A</v>
        <stp/>
        <stp>BDP|12537103551875920120</stp>
        <tr r="AD393" s="50"/>
        <tr r="AD393" s="50"/>
      </tp>
      <tp t="s">
        <v>#N/A N/A</v>
        <stp/>
        <stp>BDP|16252183018341836540</stp>
        <tr r="U214" s="50"/>
        <tr r="U214" s="50"/>
      </tp>
      <tp t="s">
        <v>#N/A N/A</v>
        <stp/>
        <stp>BDP|17856666611041686380</stp>
        <tr r="AD297" s="50"/>
        <tr r="AD297" s="50"/>
      </tp>
      <tp t="s">
        <v>#N/A N/A</v>
        <stp/>
        <stp>BDP|13986810380217865612</stp>
        <tr r="AD314" s="50"/>
        <tr r="AD314" s="50"/>
      </tp>
      <tp t="s">
        <v>#N/A N/A</v>
        <stp/>
        <stp>BDP|16699960411254660842</stp>
        <tr r="U245" s="50"/>
        <tr r="U245" s="50"/>
      </tp>
      <tp t="s">
        <v>#N/A N/A</v>
        <stp/>
        <stp>BDP|12684553552724196591</stp>
        <tr r="U74" s="50"/>
      </tp>
      <tp t="s">
        <v>#N/A N/A</v>
        <stp/>
        <stp>BDP|10959206874792617438</stp>
        <tr r="U355" s="50"/>
        <tr r="U355" s="50"/>
      </tp>
      <tp t="s">
        <v>#N/A N/A</v>
        <stp/>
        <stp>BDP|16062871149910609930</stp>
        <tr r="AD128" s="50"/>
      </tp>
      <tp t="s">
        <v>#N/A N/A</v>
        <stp/>
        <stp>BDP|10129044608165715606</stp>
        <tr r="U137" s="50"/>
      </tp>
      <tp t="s">
        <v>#N/A N/A</v>
        <stp/>
        <stp>BDP|17314999084053457608</stp>
        <tr r="AD209" s="50"/>
      </tp>
      <tp t="s">
        <v>#N/A N/A</v>
        <stp/>
        <stp>BDP|15400566650497877162</stp>
        <tr r="AD384" s="50"/>
        <tr r="AD384" s="50"/>
      </tp>
      <tp t="s">
        <v>#N/A N/A</v>
        <stp/>
        <stp>BDP|11183064804163835144</stp>
        <tr r="U384" s="50"/>
        <tr r="U384" s="50"/>
      </tp>
      <tp t="s">
        <v>#N/A N/A</v>
        <stp/>
        <stp>BDP|17661615048094178209</stp>
        <tr r="AD239" s="50"/>
        <tr r="AD239" s="50"/>
      </tp>
      <tp t="s">
        <v>#N/A N/A</v>
        <stp/>
        <stp>BDP|11288364935501573350</stp>
        <tr r="U358" s="50"/>
        <tr r="U358" s="50"/>
      </tp>
      <tp t="s">
        <v>#N/A N/A</v>
        <stp/>
        <stp>BDP|10693872293105246705</stp>
        <tr r="AD72" s="50"/>
        <tr r="AD72" s="50"/>
      </tp>
      <tp t="s">
        <v>#N/A N/A</v>
        <stp/>
        <stp>BDP|17572753528817853607</stp>
        <tr r="AD24" s="50"/>
        <tr r="AD24" s="50"/>
      </tp>
      <tp t="s">
        <v>#N/A N/A</v>
        <stp/>
        <stp>BDP|18404070750768796673</stp>
        <tr r="U35" s="50"/>
      </tp>
      <tp t="s">
        <v>#N/A N/A</v>
        <stp/>
        <stp>BDP|14783290791795820925</stp>
        <tr r="AD44" s="50"/>
        <tr r="AD44" s="50"/>
      </tp>
      <tp t="s">
        <v>#N/A N/A</v>
        <stp/>
        <stp>BDP|17508342856022463066</stp>
        <tr r="AD208" s="50"/>
      </tp>
      <tp t="s">
        <v>#N/A N/A</v>
        <stp/>
        <stp>BDP|16869135125560204691</stp>
        <tr r="U108" s="50"/>
        <tr r="U108" s="50"/>
      </tp>
      <tp t="s">
        <v>#N/A N/A</v>
        <stp/>
        <stp>BDP|16579655112204081669</stp>
        <tr r="U44" s="50"/>
      </tp>
      <tp t="s">
        <v>#N/A N/A</v>
        <stp/>
        <stp>BDP|10024097099069732330</stp>
        <tr r="U252" s="50"/>
        <tr r="U252" s="50"/>
      </tp>
      <tp t="s">
        <v>#N/A N/A</v>
        <stp/>
        <stp>BDP|12757048955567050313</stp>
        <tr r="U207" s="50"/>
        <tr r="U207" s="50"/>
      </tp>
      <tp t="s">
        <v>#N/A N/A</v>
        <stp/>
        <stp>BDP|16548636706432909204</stp>
        <tr r="U45" s="50"/>
      </tp>
      <tp t="s">
        <v>#N/A N/A</v>
        <stp/>
        <stp>BDP|10200148007829927839</stp>
        <tr r="U106" s="50"/>
        <tr r="U106" s="50"/>
      </tp>
      <tp t="s">
        <v>#N/A N/A</v>
        <stp/>
        <stp>BDP|10623011082798765080</stp>
        <tr r="AD313" s="50"/>
        <tr r="AD313" s="50"/>
      </tp>
      <tp t="s">
        <v>#N/A N/A</v>
        <stp/>
        <stp>BDP|16805631443860422422</stp>
        <tr r="AD287" s="50"/>
        <tr r="AD287" s="50"/>
      </tp>
      <tp t="s">
        <v>#N/A N/A</v>
        <stp/>
        <stp>BDP|15924052370993307115</stp>
        <tr r="U395" s="50"/>
        <tr r="U395" s="50"/>
      </tp>
      <tp t="s">
        <v>#N/A N/A</v>
        <stp/>
        <stp>BDP|16302617179255270280</stp>
        <tr r="U171" s="50"/>
        <tr r="U171" s="50"/>
        <tr r="U124" s="50"/>
        <tr r="U124" s="50"/>
      </tp>
      <tp t="s">
        <v>#N/A N/A</v>
        <stp/>
        <stp>BDP|12594662715111747413</stp>
        <tr r="AD73" s="50"/>
        <tr r="AD73" s="50"/>
      </tp>
      <tp t="s">
        <v>#N/A Requesting Data...4154873514</v>
        <stp/>
        <stp>BDP|15153283669374611565</stp>
        <tr r="AB1" s="50"/>
      </tp>
      <tp t="s">
        <v>#N/A N/A</v>
        <stp/>
        <stp>BDP|13260121326146487617</stp>
        <tr r="U123" s="50"/>
        <tr r="U123" s="50"/>
      </tp>
      <tp t="s">
        <v>#N/A N/A</v>
        <stp/>
        <stp>BDP|18106615364831733961</stp>
        <tr r="U76" s="50"/>
      </tp>
      <tp t="s">
        <v>#N/A N/A</v>
        <stp/>
        <stp>BDP|11010056351347033331</stp>
        <tr r="AD7" s="50"/>
        <tr r="AD7" s="50"/>
      </tp>
      <tp t="s">
        <v>#N/A N/A</v>
        <stp/>
        <stp>BDP|12275574781848276707</stp>
        <tr r="AD405" s="50"/>
        <tr r="AD405" s="50"/>
      </tp>
      <tp t="s">
        <v>#N/A N/A</v>
        <stp/>
        <stp>BDP|12873816441607423844</stp>
        <tr r="U218" s="50"/>
        <tr r="U218" s="50"/>
      </tp>
      <tp t="s">
        <v>#N/A N/A</v>
        <stp/>
        <stp>BDP|12803144621521304139</stp>
        <tr r="U389" s="50"/>
        <tr r="U389" s="50"/>
      </tp>
      <tp t="s">
        <v>#N/A N/A</v>
        <stp/>
        <stp>BDP|10612055167032849506</stp>
        <tr r="AD304" s="50"/>
        <tr r="AD304" s="50"/>
      </tp>
      <tp t="s">
        <v>#N/A N/A</v>
        <stp/>
        <stp>BDP|17178313940261864079</stp>
        <tr r="AD216" s="50"/>
      </tp>
      <tp t="s">
        <v>#N/A N/A</v>
        <stp/>
        <stp>BDP|13881444113180747761</stp>
        <tr r="U23" s="50"/>
      </tp>
      <tp t="s">
        <v>#N/A N/A</v>
        <stp/>
        <stp>BDP|12212309625054014697</stp>
        <tr r="U208" s="50"/>
        <tr r="U208" s="50"/>
      </tp>
      <tp t="s">
        <v>#N/A N/A</v>
        <stp/>
        <stp>BDP|12892106836570840188</stp>
        <tr r="AD407" s="50"/>
        <tr r="AD407" s="50"/>
      </tp>
      <tp t="s">
        <v>#N/A N/A</v>
        <stp/>
        <stp>BDP|11663551244149328851</stp>
        <tr r="AD109" s="50"/>
        <tr r="AD109" s="50"/>
      </tp>
      <tp t="s">
        <v>#N/A N/A</v>
        <stp/>
        <stp>BDP|16695033135171439541</stp>
        <tr r="U78" s="50"/>
      </tp>
      <tp t="s">
        <v>#N/A N/A</v>
        <stp/>
        <stp>BDP|10200744746820319230</stp>
        <tr r="AD242" s="50"/>
        <tr r="AD242" s="50"/>
      </tp>
      <tp t="s">
        <v>#N/A N/A</v>
        <stp/>
        <stp>BDP|17341070855393518043</stp>
        <tr r="AD358" s="50"/>
      </tp>
      <tp t="s">
        <v>#N/A N/A</v>
        <stp/>
        <stp>BDP|10774513807182354624</stp>
        <tr r="AD71" s="50"/>
        <tr r="AD71" s="50"/>
      </tp>
      <tp t="s">
        <v>#N/A N/A</v>
        <stp/>
        <stp>BDP|15491820934018327726</stp>
        <tr r="U260" s="50"/>
        <tr r="U260" s="50"/>
      </tp>
      <tp t="s">
        <v>#N/A N/A</v>
        <stp/>
        <stp>BDP|13174552195317535971</stp>
        <tr r="U212" s="50"/>
        <tr r="U212" s="50"/>
      </tp>
      <tp t="s">
        <v>#N/A N/A</v>
        <stp/>
        <stp>BDP|14137353636945761077</stp>
        <tr r="AD29" s="50"/>
        <tr r="AD29" s="50"/>
      </tp>
      <tp t="s">
        <v>#N/A N/A</v>
        <stp/>
        <stp>BDP|15253346868043501290</stp>
        <tr r="AD249" s="50"/>
        <tr r="AD249" s="50"/>
      </tp>
      <tp t="s">
        <v>#N/A N/A</v>
        <stp/>
        <stp>BDP|17655384558646013642</stp>
        <tr r="AD207" s="50"/>
        <tr r="AD207" s="50"/>
      </tp>
      <tp t="s">
        <v>#N/A N/A</v>
        <stp/>
        <stp>BDP|17216615006842423242</stp>
        <tr r="AD111" s="50"/>
      </tp>
      <tp t="s">
        <v>#N/A N/A</v>
        <stp/>
        <stp>BDP|13622175731706578601</stp>
        <tr r="AD309" s="50"/>
        <tr r="AD309" s="50"/>
      </tp>
      <tp t="s">
        <v>#N/A N/A</v>
        <stp/>
        <stp>BDP|16392809410686198860</stp>
        <tr r="AD248" s="50"/>
        <tr r="AD248" s="50"/>
      </tp>
      <tp t="s">
        <v>#N/A N/A</v>
        <stp/>
        <stp>BDP|10124679840227195437</stp>
        <tr r="AD241" s="50"/>
        <tr r="AD241" s="50"/>
      </tp>
      <tp t="s">
        <v>#N/A N/A</v>
        <stp/>
        <stp>BDP|14973923236901229960</stp>
        <tr r="AD305" s="50"/>
        <tr r="AD305" s="50"/>
      </tp>
      <tp t="s">
        <v>#N/A N/A</v>
        <stp/>
        <stp>BDP|15417784252987272641</stp>
        <tr r="AD253" s="50"/>
        <tr r="AD253" s="50"/>
      </tp>
      <tp t="s">
        <v>#N/A N/A</v>
        <stp/>
        <stp>BDP|10880133756551032366</stp>
        <tr r="U4" s="50"/>
      </tp>
      <tp t="s">
        <v>#N/A N/A</v>
        <stp/>
        <stp>BDP|11821904765429028161</stp>
        <tr r="AD394" s="50"/>
        <tr r="AD394" s="50"/>
      </tp>
      <tp t="s">
        <v>#N/A N/A</v>
        <stp/>
        <stp>BDP|10329720737932834043</stp>
        <tr r="AD126" s="50"/>
      </tp>
      <tp t="s">
        <v>#N/A N/A</v>
        <stp/>
        <stp>BDP|18089663638983349874</stp>
        <tr r="AD285" s="50"/>
        <tr r="AD285" s="50"/>
      </tp>
      <tp t="s">
        <v>#N/A N/A</v>
        <stp/>
        <stp>BDP|10930035422205018146</stp>
        <tr r="U7" s="50"/>
      </tp>
      <tp t="s">
        <v>#N/A N/A</v>
        <stp/>
        <stp>BDP|10612101329201364406</stp>
        <tr r="U266" s="50"/>
        <tr r="U266" s="50"/>
      </tp>
      <tp t="s">
        <v>#N/A N/A</v>
        <stp/>
        <stp>BDP|17483310703231061392</stp>
        <tr r="AD32" s="50"/>
        <tr r="AD32" s="50"/>
      </tp>
      <tp t="s">
        <v>#N/A N/A</v>
        <stp/>
        <stp>BDP|10133391875703159131</stp>
        <tr r="U307" s="50"/>
        <tr r="U307" s="50"/>
      </tp>
      <tp t="s">
        <v>#N/A N/A</v>
        <stp/>
        <stp>BDP|10838253015474352151</stp>
        <tr r="AD398" s="50"/>
        <tr r="AD311" s="50"/>
      </tp>
      <tp t="s">
        <v>#N/A N/A</v>
        <stp/>
        <stp>BDP|12678193734930879625</stp>
        <tr r="AD105" s="50"/>
        <tr r="AD105" s="50"/>
      </tp>
      <tp t="s">
        <v>#N/A N/A</v>
        <stp/>
        <stp>BDP|13466221358095918745</stp>
        <tr r="AD401" s="50"/>
        <tr r="AD401" s="50"/>
      </tp>
      <tp t="s">
        <v>#N/A N/A</v>
        <stp/>
        <stp>BDP|14193738004656597309</stp>
        <tr r="AD210" s="50"/>
        <tr r="AD210" s="50"/>
      </tp>
      <tp t="s">
        <v>#N/A N/A</v>
        <stp/>
        <stp>BDP|10306649016609358879</stp>
        <tr r="U257" s="50"/>
        <tr r="U257" s="50"/>
      </tp>
      <tp t="s">
        <v>#N/A N/A</v>
        <stp/>
        <stp>BDP|14560864384055039721</stp>
        <tr r="U401" s="50"/>
        <tr r="U401" s="50"/>
      </tp>
      <tp t="s">
        <v>#N/A N/A</v>
        <stp/>
        <stp>BDP|16698016773523499445</stp>
        <tr r="AD288" s="50"/>
        <tr r="AD288" s="50"/>
      </tp>
      <tp t="s">
        <v>#N/A N/A</v>
        <stp/>
        <stp>BDP|17843175725633615182</stp>
        <tr r="AD404" s="50"/>
      </tp>
      <tp t="s">
        <v>#N/A N/A</v>
        <stp/>
        <stp>BDP|13767390510347356147</stp>
        <tr r="AD316" s="50"/>
        <tr r="AD316" s="50"/>
      </tp>
      <tp t="s">
        <v>#N/A N/A</v>
        <stp/>
        <stp>BDP|10133493254885700340</stp>
        <tr r="AD280" s="50"/>
      </tp>
      <tp t="s">
        <v>#N/A N/A</v>
        <stp/>
        <stp>BDP|14381439770886679683</stp>
        <tr r="U31" s="50"/>
      </tp>
      <tp t="s">
        <v>#N/A N/A</v>
        <stp/>
        <stp>BDP|10426477138502570202</stp>
        <tr r="AD295" s="50"/>
        <tr r="AD295" s="50"/>
      </tp>
      <tp t="s">
        <v>#N/A N/A</v>
        <stp/>
        <stp>BDP|14904217219784640469</stp>
        <tr r="U295" s="50"/>
        <tr r="U295" s="50"/>
      </tp>
      <tp t="s">
        <v>#N/A N/A</v>
        <stp/>
        <stp>BDP|14663048932275029500</stp>
        <tr r="AD257" s="50"/>
        <tr r="AD257" s="50"/>
      </tp>
      <tp t="s">
        <v>#N/A N/A</v>
        <stp/>
        <stp>BDP|15346526613814694271</stp>
        <tr r="U278" s="50"/>
        <tr r="U278" s="50"/>
      </tp>
      <tp t="s">
        <v>#N/A N/A</v>
        <stp/>
        <stp>BDP|17167367763647247251</stp>
        <tr r="U118" s="50"/>
        <tr r="U118" s="50"/>
      </tp>
      <tp t="s">
        <v>#N/A N/A</v>
        <stp/>
        <stp>BDP|16496607140232158172</stp>
        <tr r="AD292" s="50"/>
        <tr r="AD292" s="50"/>
      </tp>
      <tp t="s">
        <v>#N/A N/A</v>
        <stp/>
        <stp>BDP|10050349412250237514</stp>
        <tr r="AD281" s="50"/>
        <tr r="AD281" s="50"/>
      </tp>
      <tp t="s">
        <v>#N/A N/A</v>
        <stp/>
        <stp>BDP|17902064443843190793</stp>
        <tr r="AD136" s="50"/>
      </tp>
      <tp t="s">
        <v>#N/A N/A</v>
        <stp/>
        <stp>BDP|13414948779080051900</stp>
        <tr r="U111" s="50"/>
        <tr r="U111" s="50"/>
      </tp>
      <tp t="s">
        <v>#N/A N/A</v>
        <stp/>
        <stp>BDP|16386021557590723797</stp>
        <tr r="U27" s="50"/>
      </tp>
      <tp t="s">
        <v>#N/A N/A</v>
        <stp/>
        <stp>BDP|13023219048807587645</stp>
        <tr r="U399" s="50"/>
        <tr r="U399" s="50"/>
      </tp>
      <tp t="s">
        <v>#N/A N/A</v>
        <stp/>
        <stp>BDP|13584549925280879042</stp>
        <tr r="U36" s="50"/>
      </tp>
      <tp t="s">
        <v>#N/A N/A</v>
        <stp/>
        <stp>BDP|11390216849686136504</stp>
        <tr r="U41" s="50"/>
      </tp>
      <tp t="s">
        <v>#N/A N/A</v>
        <stp/>
        <stp>BDP|16950689262663442189</stp>
        <tr r="AD302" s="50"/>
        <tr r="AD302" s="50"/>
      </tp>
      <tp t="s">
        <v>#N/A N/A</v>
        <stp/>
        <stp>BDP|10597491200078310815</stp>
        <tr r="U405" s="50"/>
        <tr r="U405" s="50"/>
      </tp>
      <tp t="s">
        <v>#N/A N/A</v>
        <stp/>
        <stp>BDP|14790509950616110685</stp>
        <tr r="AD246" s="50"/>
        <tr r="AD246" s="50"/>
      </tp>
      <tp t="s">
        <v>#N/A N/A</v>
        <stp/>
        <stp>BDP|16047788102551357495</stp>
        <tr r="U261" s="50"/>
        <tr r="U261" s="50"/>
      </tp>
      <tp t="s">
        <v>#N/A N/A</v>
        <stp/>
        <stp>BDP|12581627603862077247</stp>
        <tr r="U21" s="50"/>
      </tp>
      <tp t="s">
        <v>#N/A N/A</v>
        <stp/>
        <stp>BDP|14047849272157056857</stp>
        <tr r="AD130" s="50"/>
      </tp>
      <tp t="s">
        <v>#N/A N/A</v>
        <stp/>
        <stp>BDP|13180502771912009727</stp>
        <tr r="U210" s="50"/>
        <tr r="U210" s="50"/>
      </tp>
      <tp t="s">
        <v>#N/A N/A</v>
        <stp/>
        <stp>BDP|17248378100583533351</stp>
        <tr r="AD389" s="50"/>
        <tr r="AD389" s="50"/>
      </tp>
      <tp t="s">
        <v>#N/A N/A</v>
        <stp/>
        <stp>BDP|13251175394546613932</stp>
        <tr r="AD129" s="50"/>
      </tp>
      <tp t="s">
        <v>#N/A N/A</v>
        <stp/>
        <stp>BDP|10783722175372002674</stp>
        <tr r="U119" s="50"/>
        <tr r="U119" s="50"/>
        <tr r="U170" s="50"/>
        <tr r="U170" s="50"/>
      </tp>
      <tp t="s">
        <v>#N/A N/A</v>
        <stp/>
        <stp>BDP|15630015123800447379</stp>
        <tr r="AD4" s="50"/>
        <tr r="AD4" s="50"/>
      </tp>
      <tp t="s">
        <v>#N/A N/A</v>
        <stp/>
        <stp>BDP|10779559546453700650</stp>
        <tr r="AD359" s="50"/>
        <tr r="AD408" s="50"/>
      </tp>
      <tp t="s">
        <v>#N/A N/A</v>
        <stp/>
        <stp>BDP|13017578167516114274</stp>
        <tr r="AD34" s="50"/>
        <tr r="AD34" s="50"/>
      </tp>
      <tp t="s">
        <v>#N/A N/A</v>
        <stp/>
        <stp>BDP|11483231320301202438</stp>
        <tr r="U398" s="50"/>
        <tr r="U398" s="50"/>
        <tr r="U311" s="50"/>
        <tr r="U311" s="50"/>
      </tp>
      <tp t="s">
        <v>#N/A N/A</v>
        <stp/>
        <stp>BDP|15285701610215464209</stp>
        <tr r="U290" s="50"/>
        <tr r="U290" s="50"/>
      </tp>
      <tp t="s">
        <v>#N/A N/A</v>
        <stp/>
        <stp>BDP|14241450553665020599</stp>
        <tr r="AD328" s="50"/>
        <tr r="AD328" s="50"/>
      </tp>
      <tp t="s">
        <v>#N/A N/A</v>
        <stp/>
        <stp>BDP|16169507172719485880</stp>
        <tr r="U385" s="50"/>
        <tr r="U385" s="50"/>
      </tp>
      <tp t="s">
        <v>#N/A N/A</v>
        <stp/>
        <stp>BDP|10419358774538396999</stp>
        <tr r="U211" s="50"/>
        <tr r="U211" s="50"/>
      </tp>
      <tp t="s">
        <v>#N/A N/A</v>
        <stp/>
        <stp>BDP|13143088559350861361</stp>
        <tr r="U301" s="50"/>
        <tr r="U301" s="50"/>
      </tp>
      <tp t="s">
        <v>#N/A N/A</v>
        <stp/>
        <stp>BDP|10354009817033884729</stp>
        <tr r="AD395" s="50"/>
        <tr r="AD395" s="50"/>
      </tp>
      <tp t="s">
        <v>#N/A N/A</v>
        <stp/>
        <stp>BDP|16602748944033741303</stp>
        <tr r="AD392" s="50"/>
        <tr r="AD392" s="50"/>
      </tp>
      <tp t="s">
        <v>#N/A N/A</v>
        <stp/>
        <stp>BDP|12234040123203563614</stp>
        <tr r="U387" s="50"/>
        <tr r="U387" s="50"/>
      </tp>
      <tp t="s">
        <v>#N/A N/A</v>
        <stp/>
        <stp>BDP|13563289046307894700</stp>
        <tr r="AD211" s="50"/>
      </tp>
      <tp t="s">
        <v>#N/A N/A</v>
        <stp/>
        <stp>BDP|12301508438876654789</stp>
        <tr r="U209" s="50"/>
        <tr r="U209" s="50"/>
      </tp>
      <tp t="s">
        <v>#N/A N/A</v>
        <stp/>
        <stp>BDP|18097346831938047501</stp>
        <tr r="U259" s="50"/>
        <tr r="U259" s="50"/>
      </tp>
      <tp t="s">
        <v>#N/A N/A</v>
        <stp/>
        <stp>BDP|10085095448197342660</stp>
        <tr r="U34" s="50"/>
      </tp>
      <tp t="s">
        <v>#N/A Requesting Data...3986473124</v>
        <stp/>
        <stp>BDP|15068276949920314694</stp>
        <tr r="AA1" s="50"/>
      </tp>
      <tp t="s">
        <v>#N/A N/A</v>
        <stp/>
        <stp>BDP|10251160615163344655</stp>
        <tr r="U53" s="50"/>
      </tp>
    </main>
    <main first="bofaddin.rtdserver">
      <tp t="s">
        <v>#N/A N/A</v>
        <stp/>
        <stp>BDP|1095689404642274929</stp>
        <tr r="U299" s="50"/>
        <tr r="U299" s="50"/>
      </tp>
      <tp t="s">
        <v>#N/A N/A</v>
        <stp/>
        <stp>BDP|7583158084185872702</stp>
        <tr r="U271" s="50"/>
        <tr r="U271" s="50"/>
      </tp>
      <tp t="s">
        <v>#N/A N/A</v>
        <stp/>
        <stp>BDP|8036067549245590583</stp>
        <tr r="AD28" s="50"/>
        <tr r="AD28" s="50"/>
      </tp>
      <tp t="s">
        <v>#N/A N/A</v>
        <stp/>
        <stp>BDP|9198735185963476912</stp>
        <tr r="AD265" s="50"/>
        <tr r="AD265" s="50"/>
      </tp>
      <tp t="s">
        <v>#N/A N/A</v>
        <stp/>
        <stp>BDP|4968946685571283888</stp>
        <tr r="U71" s="50"/>
      </tp>
      <tp t="s">
        <v>#N/A N/A</v>
        <stp/>
        <stp>BDP|6035273276267720858</stp>
        <tr r="AD37" s="50"/>
        <tr r="AD37" s="50"/>
      </tp>
      <tp t="s">
        <v>#N/A N/A</v>
        <stp/>
        <stp>BDP|8788239172378129975</stp>
        <tr r="U289" s="50"/>
        <tr r="U289" s="50"/>
      </tp>
      <tp t="s">
        <v>#N/A N/A</v>
        <stp/>
        <stp>BDP|1386263834595164964</stp>
        <tr r="U270" s="50"/>
        <tr r="U270" s="50"/>
      </tp>
      <tp t="s">
        <v>#N/A N/A</v>
        <stp/>
        <stp>BDP|2604356693710155472</stp>
        <tr r="AD171" s="50"/>
        <tr r="AD124" s="50"/>
      </tp>
      <tp t="s">
        <v>#N/A N/A</v>
        <stp/>
        <stp>BDP|9706237134550653422</stp>
        <tr r="AD75" s="50"/>
        <tr r="AD75" s="50"/>
      </tp>
      <tp t="s">
        <v>#N/A N/A</v>
        <stp/>
        <stp>BDP|2587387292165915137</stp>
        <tr r="U392" s="50"/>
        <tr r="U392" s="50"/>
      </tp>
      <tp t="s">
        <v>#N/A N/A</v>
        <stp/>
        <stp>BDP|7703129183462413193</stp>
        <tr r="U400" s="50"/>
        <tr r="U400" s="50"/>
      </tp>
      <tp t="s">
        <v>#N/A N/A</v>
        <stp/>
        <stp>BDP|8183217369615432451</stp>
        <tr r="U279" s="50"/>
        <tr r="U279" s="50"/>
      </tp>
      <tp t="s">
        <v>#N/A N/A</v>
        <stp/>
        <stp>BDP|7121923818293691123</stp>
        <tr r="U357" s="50"/>
        <tr r="U357" s="50"/>
      </tp>
      <tp t="s">
        <v>#N/A Requesting Data...3650645044</v>
        <stp/>
        <stp>BDP|6679657489217550239</stp>
        <tr r="Z1" s="50"/>
      </tp>
      <tp t="s">
        <v>#N/A N/A</v>
        <stp/>
        <stp>BDP|8715668462150265500</stp>
        <tr r="U388" s="50"/>
        <tr r="U388" s="50"/>
      </tp>
      <tp t="s">
        <v>#N/A N/A</v>
        <stp/>
        <stp>BDP|5535470812168471525</stp>
        <tr r="U294" s="50"/>
        <tr r="U294" s="50"/>
      </tp>
      <tp t="s">
        <v>#N/A N/A</v>
        <stp/>
        <stp>BDP|1384804998796001818</stp>
        <tr r="U244" s="50"/>
        <tr r="U244" s="50"/>
      </tp>
      <tp t="s">
        <v>#N/A N/A</v>
        <stp/>
        <stp>BDP|8596975456769618388</stp>
        <tr r="U24" s="50"/>
      </tp>
      <tp t="s">
        <v>#N/A N/A</v>
        <stp/>
        <stp>BDP|3193861426977101088</stp>
        <tr r="AD115" s="50"/>
      </tp>
      <tp t="s">
        <v>#N/A N/A</v>
        <stp/>
        <stp>BDP|8913072972873631221</stp>
        <tr r="AD286" s="50"/>
        <tr r="AD286" s="50"/>
      </tp>
      <tp t="s">
        <v>#N/A N/A</v>
        <stp/>
        <stp>BDP|5542186733908082178</stp>
        <tr r="AD77" s="50"/>
        <tr r="AD77" s="50"/>
      </tp>
      <tp t="s">
        <v>#N/A N/A</v>
        <stp/>
        <stp>BDP|5041961351326161188</stp>
        <tr r="AD6" s="50"/>
        <tr r="AD6" s="50"/>
      </tp>
      <tp t="s">
        <v>#N/A Requesting Data...3092520239</v>
        <stp/>
        <stp>BDP|8842355257858050860</stp>
        <tr r="V1" s="50"/>
      </tp>
      <tp t="s">
        <v>#N/A N/A</v>
        <stp/>
        <stp>BDP|2946042282395148122</stp>
        <tr r="AD284" s="50"/>
        <tr r="AD284" s="50"/>
      </tp>
      <tp t="s">
        <v>#N/A N/A</v>
        <stp/>
        <stp>BDP|4173319843098763562</stp>
        <tr r="AD135" s="50"/>
      </tp>
      <tp t="s">
        <v>#N/A N/A</v>
        <stp/>
        <stp>BDP|9430758843190486459</stp>
        <tr r="U114" s="50"/>
        <tr r="U114" s="50"/>
      </tp>
      <tp t="s">
        <v>#N/A N/A</v>
        <stp/>
        <stp>BDP|1285481922940341986</stp>
        <tr r="AD388" s="50"/>
        <tr r="AD388" s="50"/>
      </tp>
      <tp t="s">
        <v>#N/A N/A</v>
        <stp/>
        <stp>BDP|7929291389492987161</stp>
        <tr r="U135" s="50"/>
        <tr r="U135" s="50"/>
      </tp>
      <tp t="s">
        <v>#N/A N/A</v>
        <stp/>
        <stp>BDP|2318956950208102830</stp>
        <tr r="AD335" s="50"/>
      </tp>
      <tp t="s">
        <v>#N/A N/A</v>
        <stp/>
        <stp>BDP|3605010370379019324</stp>
        <tr r="AD276" s="50"/>
        <tr r="AD276" s="50"/>
      </tp>
      <tp t="s">
        <v>#N/A N/A</v>
        <stp/>
        <stp>BDP|8246691715993429300</stp>
        <tr r="AD387" s="50"/>
        <tr r="AD387" s="50"/>
      </tp>
      <tp t="s">
        <v>#N/A N/A</v>
        <stp/>
        <stp>BDP|2741571289891557172</stp>
        <tr r="AD400" s="50"/>
        <tr r="AD400" s="50"/>
      </tp>
      <tp t="s">
        <v>#N/A N/A</v>
        <stp/>
        <stp>BDP|8881836636555079944</stp>
        <tr r="U105" s="50"/>
        <tr r="U105" s="50"/>
      </tp>
      <tp t="s">
        <v>#N/A Requesting Data...2431241062</v>
        <stp/>
        <stp>BDP|8835370461735782766</stp>
        <tr r="Y1" s="50"/>
      </tp>
      <tp t="s">
        <v>#N/A N/A</v>
        <stp/>
        <stp>BDP|9242660730991392287</stp>
        <tr r="U324" s="50"/>
        <tr r="U324" s="50"/>
      </tp>
      <tp t="s">
        <v>#N/A N/A</v>
        <stp/>
        <stp>BDP|6158473472708880202</stp>
        <tr r="U276" s="50"/>
        <tr r="U276" s="50"/>
      </tp>
      <tp t="s">
        <v>#N/A N/A</v>
        <stp/>
        <stp>BDP|9820279269260940232</stp>
        <tr r="U32" s="50"/>
      </tp>
      <tp t="s">
        <v>#N/A N/A</v>
        <stp/>
        <stp>BDP|3217194790822050684</stp>
        <tr r="U273" s="50"/>
        <tr r="U273" s="50"/>
      </tp>
      <tp t="s">
        <v>#N/A N/A</v>
        <stp/>
        <stp>BDP|5404936771437899380</stp>
        <tr r="AD301" s="50"/>
        <tr r="AD301" s="50"/>
      </tp>
      <tp t="s">
        <v>#N/A N/A</v>
        <stp/>
        <stp>BDP|5310305887600029131</stp>
        <tr r="U302" s="50"/>
        <tr r="U302" s="50"/>
      </tp>
      <tp t="s">
        <v>#N/A N/A</v>
        <stp/>
        <stp>BDP|1909550967798442582</stp>
        <tr r="U25" s="50"/>
      </tp>
      <tp t="s">
        <v>#N/A N/A</v>
        <stp/>
        <stp>BDP|3661760304572164923</stp>
        <tr r="AD263" s="50"/>
        <tr r="AD263" s="50"/>
      </tp>
      <tp t="s">
        <v>#N/A N/A</v>
        <stp/>
        <stp>BDP|1222031176329756043</stp>
        <tr r="U3" s="50"/>
      </tp>
      <tp t="s">
        <v>#N/A N/A</v>
        <stp/>
        <stp>BDP|5539916512464922150</stp>
        <tr r="AD39" s="50"/>
        <tr r="AD39" s="50"/>
      </tp>
      <tp t="s">
        <v>#N/A N/A</v>
        <stp/>
        <stp>BDP|9175111889070572865</stp>
        <tr r="AD268" s="50"/>
        <tr r="AD268" s="50"/>
      </tp>
      <tp t="s">
        <v>#N/A N/A</v>
        <stp/>
        <stp>BDP|3630798664299563351</stp>
        <tr r="U75" s="50"/>
      </tp>
      <tp t="s">
        <v>#N/A N/A</v>
        <stp/>
        <stp>BDP|4920868919272988711</stp>
        <tr r="U72" s="50"/>
      </tp>
      <tp t="s">
        <v>#N/A N/A</v>
        <stp/>
        <stp>BDP|1696740306726918804</stp>
        <tr r="U332" s="50"/>
        <tr r="U332" s="50"/>
      </tp>
      <tp t="s">
        <v>#N/A N/A</v>
        <stp/>
        <stp>BDP|1810451518784240867</stp>
        <tr r="AD218" s="50"/>
      </tp>
      <tp t="s">
        <v>#N/A N/A</v>
        <stp/>
        <stp>BDP|6363472175219938492</stp>
        <tr r="U319" s="50"/>
        <tr r="U319" s="50"/>
      </tp>
      <tp t="s">
        <v>#N/A N/A</v>
        <stp/>
        <stp>BDP|7406994847581988351</stp>
        <tr r="U280" s="50"/>
        <tr r="U280" s="50"/>
      </tp>
      <tp t="s">
        <v>#N/A N/A</v>
        <stp/>
        <stp>BDP|6162152640168150328</stp>
        <tr r="AD382" s="50"/>
        <tr r="AD382" s="50"/>
      </tp>
      <tp t="s">
        <v>#N/A N/A</v>
        <stp/>
        <stp>BDP|1873271553738978622</stp>
        <tr r="U300" s="50"/>
        <tr r="U300" s="50"/>
      </tp>
      <tp t="s">
        <v>#N/A N/A</v>
        <stp/>
        <stp>BDP|9635749188386447899</stp>
        <tr r="U304" s="50"/>
        <tr r="U304" s="50"/>
      </tp>
      <tp t="s">
        <v>#N/A N/A</v>
        <stp/>
        <stp>BDP|9409854586207367637</stp>
        <tr r="U316" s="50"/>
        <tr r="U316" s="50"/>
      </tp>
      <tp t="s">
        <v>#N/A N/A</v>
        <stp/>
        <stp>BDP|9822080400347304782</stp>
        <tr r="AD256" s="50"/>
      </tp>
      <tp t="s">
        <v>#N/A N/A</v>
        <stp/>
        <stp>BDP|7260855047832653088</stp>
        <tr r="U128" s="50"/>
        <tr r="U128" s="50"/>
      </tp>
      <tp t="s">
        <v>#N/A Requesting Data...3315670111</v>
        <stp/>
        <stp>BDP|7342914408105462237</stp>
        <tr r="X1" s="50"/>
      </tp>
      <tp t="s">
        <v>#N/A N/A</v>
        <stp/>
        <stp>BDP|1168475590112677726</stp>
        <tr r="AD267" s="50"/>
        <tr r="AD267" s="50"/>
      </tp>
      <tp t="s">
        <v>#N/A N/A</v>
        <stp/>
        <stp>BDP|8508058411330738054</stp>
        <tr r="AD315" s="50"/>
        <tr r="AD315" s="50"/>
      </tp>
      <tp t="s">
        <v>#N/A N/A</v>
        <stp/>
        <stp>BDP|8805614743983893010</stp>
        <tr r="AD25" s="50"/>
        <tr r="AD25" s="50"/>
      </tp>
      <tp t="s">
        <v>#N/A N/A</v>
        <stp/>
        <stp>BDP|5284859213625545011</stp>
        <tr r="AD266" s="50"/>
        <tr r="AD266" s="50"/>
      </tp>
      <tp t="s">
        <v>#N/A N/A</v>
        <stp/>
        <stp>BDP|6121843572564612400</stp>
        <tr r="U40" s="50"/>
      </tp>
      <tp t="s">
        <v>#N/A N/A</v>
        <stp/>
        <stp>BDP|9125675640855531728</stp>
        <tr r="AD31" s="50"/>
        <tr r="AD31" s="50"/>
      </tp>
      <tp t="s">
        <v>#N/A N/A</v>
        <stp/>
        <stp>BDP|4714191788690509450</stp>
        <tr r="AD298" s="50"/>
        <tr r="AD298" s="50"/>
      </tp>
      <tp t="s">
        <v>#N/A N/A</v>
        <stp/>
        <stp>BDP|2169612821669341678</stp>
        <tr r="U291" s="50"/>
        <tr r="U291" s="50"/>
      </tp>
      <tp t="s">
        <v>#N/A N/A</v>
        <stp/>
        <stp>BDP|8634469917252905547</stp>
        <tr r="AD42" s="50"/>
        <tr r="AD42" s="50"/>
      </tp>
      <tp t="s">
        <v>#N/A N/A</v>
        <stp/>
        <stp>BDP|7950353399087615097</stp>
        <tr r="AD299" s="50"/>
        <tr r="AD299" s="50"/>
      </tp>
      <tp t="s">
        <v>#N/A N/A</v>
        <stp/>
        <stp>BDP|7934932133835175201</stp>
        <tr r="AD310" s="50"/>
        <tr r="AD310" s="50"/>
      </tp>
      <tp t="s">
        <v>#N/A N/A</v>
        <stp/>
        <stp>BDP|2230087873169977683</stp>
        <tr r="AD5" s="50"/>
        <tr r="AD5" s="50"/>
      </tp>
      <tp t="s">
        <v>#N/A N/A</v>
        <stp/>
        <stp>BDP|8137712650993897346</stp>
        <tr r="AD403" s="50"/>
        <tr r="AD403" s="50"/>
      </tp>
      <tp t="s">
        <v>#N/A N/A</v>
        <stp/>
        <stp>BDP|9093575057213493098</stp>
        <tr r="AD127" s="50"/>
      </tp>
      <tp t="s">
        <v>#N/A N/A</v>
        <stp/>
        <stp>BDP|2113416384460839412</stp>
        <tr r="AD78" s="50"/>
        <tr r="AD78" s="50"/>
      </tp>
      <tp t="s">
        <v>#N/A N/A</v>
        <stp/>
        <stp>BDP|5440843867135799424</stp>
        <tr r="U262" s="50"/>
        <tr r="U262" s="50"/>
      </tp>
      <tp t="s">
        <v>#N/A N/A</v>
        <stp/>
        <stp>BDP|3554655624124317944</stp>
        <tr r="U303" s="50"/>
        <tr r="U303" s="50"/>
      </tp>
      <tp t="s">
        <v>#N/A N/A</v>
        <stp/>
        <stp>BDP|6261925120633540444</stp>
        <tr r="AD420" s="50"/>
        <tr r="AD433" s="50"/>
        <tr r="AD429" s="50"/>
        <tr r="AD425" s="50"/>
        <tr r="AD421" s="50"/>
        <tr r="AD458" s="50"/>
        <tr r="AD450" s="50"/>
        <tr r="AD449" s="50"/>
        <tr r="AD439" s="50"/>
        <tr r="AD438" s="50"/>
        <tr r="AD414" s="50"/>
        <tr r="AD379" s="50"/>
        <tr r="AD375" s="50"/>
        <tr r="AD371" s="50"/>
        <tr r="AD367" s="50"/>
        <tr r="AD363" s="50"/>
        <tr r="AD351" s="50"/>
        <tr r="AD347" s="50"/>
        <tr r="AD343" s="50"/>
        <tr r="AD340" s="50"/>
        <tr r="AD237" s="50"/>
        <tr r="AD233" s="50"/>
        <tr r="AD229" s="50"/>
        <tr r="AD225" s="50"/>
        <tr r="AD220" s="50"/>
        <tr r="AD204" s="50"/>
        <tr r="AD221" s="50"/>
        <tr r="AD205" s="50"/>
        <tr r="AD222" s="50"/>
        <tr r="AD206" s="50"/>
        <tr r="AD219" s="50"/>
        <tr r="AD203" s="50"/>
        <tr r="AD181" s="50"/>
        <tr r="AD166" s="50"/>
        <tr r="AD158" s="50"/>
        <tr r="AD190" s="50"/>
        <tr r="AD174" s="50"/>
        <tr r="AD198" s="50"/>
        <tr r="AD194" s="50"/>
        <tr r="AD179" s="50"/>
        <tr r="AD163" s="50"/>
        <tr r="AD155" s="50"/>
        <tr r="AD180" s="50"/>
        <tr r="AD154" s="50"/>
        <tr r="AD150" s="50"/>
        <tr r="AD146" s="50"/>
        <tr r="AD120" s="50"/>
        <tr r="AD113" s="50"/>
        <tr r="AD141" s="50"/>
        <tr r="AD125" s="50"/>
        <tr r="AD138" s="50"/>
        <tr r="AD90" s="50"/>
        <tr r="AD103" s="50"/>
        <tr r="AD88" s="50"/>
        <tr r="AD96" s="50"/>
        <tr r="AD93" s="50"/>
        <tr r="AD81" s="50"/>
        <tr r="AD66" s="50"/>
        <tr r="AD62" s="50"/>
        <tr r="AD50" s="50"/>
        <tr r="AD14" s="50"/>
        <tr r="AD12" s="50"/>
        <tr r="AD415" s="50"/>
        <tr r="AD424" s="50"/>
        <tr r="AD437" s="50"/>
        <tr r="AD432" s="50"/>
        <tr r="AD428" s="50"/>
        <tr r="AD459" s="50"/>
        <tr r="AD453" s="50"/>
        <tr r="AD452" s="50"/>
        <tr r="AD451" s="50"/>
        <tr r="AD442" s="50"/>
        <tr r="AD418" s="50"/>
        <tr r="AD378" s="50"/>
        <tr r="AD374" s="50"/>
        <tr r="AD370" s="50"/>
        <tr r="AD366" s="50"/>
        <tr r="AD362" s="50"/>
        <tr r="AD354" s="50"/>
        <tr r="AD350" s="50"/>
        <tr r="AD346" s="50"/>
        <tr r="AD342" s="50"/>
        <tr r="AD339" s="50"/>
        <tr r="AD236" s="50"/>
        <tr r="AD232" s="50"/>
        <tr r="AD228" s="50"/>
        <tr r="AD224" s="50"/>
        <tr r="AD223" s="50"/>
        <tr r="AD185" s="50"/>
        <tr r="AD164" s="50"/>
        <tr r="AD156" s="50"/>
        <tr r="AD178" s="50"/>
        <tr r="AD197" s="50"/>
        <tr r="AD193" s="50"/>
        <tr r="AD183" s="50"/>
        <tr r="AD169" s="50"/>
        <tr r="AD161" s="50"/>
        <tr r="AD184" s="50"/>
        <tr r="AD153" s="50"/>
        <tr r="AD149" s="50"/>
        <tr r="AD145" s="50"/>
        <tr r="AD139" s="50"/>
        <tr r="AD142" s="50"/>
        <tr r="AD117" s="50"/>
        <tr r="AD94" s="50"/>
        <tr r="AD91" s="50"/>
        <tr r="AD86" s="50"/>
        <tr r="AD100" s="50"/>
        <tr r="AD97" s="50"/>
        <tr r="AD87" s="50"/>
        <tr r="AD69" s="50"/>
        <tr r="AD65" s="50"/>
        <tr r="AD61" s="50"/>
        <tr r="AD49" s="50"/>
        <tr r="AD19" s="50"/>
        <tr r="AD18" s="50"/>
        <tr r="AD10" s="50"/>
        <tr r="AD419" s="50"/>
        <tr r="AD412" s="50"/>
        <tr r="AD460" s="50"/>
        <tr r="AD441" s="50"/>
        <tr r="AD436" s="50"/>
        <tr r="AD435" s="50"/>
        <tr r="AD431" s="50"/>
        <tr r="AD427" s="50"/>
        <tr r="AD413" s="50"/>
        <tr r="AD455" s="50"/>
        <tr r="AD454" s="50"/>
        <tr r="AD446" s="50"/>
        <tr r="AD445" s="50"/>
        <tr r="AD444" s="50"/>
        <tr r="AD422" s="50"/>
        <tr r="AD381" s="50"/>
        <tr r="AD377" s="50"/>
        <tr r="AD373" s="50"/>
        <tr r="AD369" s="50"/>
        <tr r="AD365" s="50"/>
        <tr r="AD353" s="50"/>
        <tr r="AD349" s="50"/>
        <tr r="AD345" s="50"/>
        <tr r="AD338" s="50"/>
        <tr r="AD235" s="50"/>
        <tr r="AD231" s="50"/>
        <tr r="AD227" s="50"/>
        <tr r="AD189" s="50"/>
        <tr r="AD173" s="50"/>
        <tr r="AD162" s="50"/>
        <tr r="AD182" s="50"/>
        <tr r="AD200" s="50"/>
        <tr r="AD196" s="50"/>
        <tr r="AD192" s="50"/>
        <tr r="AD187" s="50"/>
        <tr r="AD167" s="50"/>
        <tr r="AD159" s="50"/>
        <tr r="AD188" s="50"/>
        <tr r="AD140" s="50"/>
        <tr r="AD152" s="50"/>
        <tr r="AD148" s="50"/>
        <tr r="AD144" s="50"/>
        <tr r="AD143" s="50"/>
        <tr r="AD98" s="50"/>
        <tr r="AD95" s="50"/>
        <tr r="AD84" s="50"/>
        <tr r="AD104" s="50"/>
        <tr r="AD101" s="50"/>
        <tr r="AD85" s="50"/>
        <tr r="AD80" s="50"/>
        <tr r="AD68" s="50"/>
        <tr r="AD64" s="50"/>
        <tr r="AD60" s="50"/>
        <tr r="AD52" s="50"/>
        <tr r="AD20" s="50"/>
        <tr r="AD17" s="50"/>
        <tr r="AD11" s="50"/>
        <tr r="AD8" s="50"/>
        <tr r="AD423" s="50"/>
        <tr r="AD416" s="50"/>
        <tr r="AD457" s="50"/>
        <tr r="AD443" s="50"/>
        <tr r="AD440" s="50"/>
        <tr r="AD434" s="50"/>
        <tr r="AD430" s="50"/>
        <tr r="AD426" s="50"/>
        <tr r="AD417" s="50"/>
        <tr r="AD456" s="50"/>
        <tr r="AD448" s="50"/>
        <tr r="AD447" s="50"/>
        <tr r="AD380" s="50"/>
        <tr r="AD376" s="50"/>
        <tr r="AD372" s="50"/>
        <tr r="AD368" s="50"/>
        <tr r="AD364" s="50"/>
        <tr r="AD356" s="50"/>
        <tr r="AD352" s="50"/>
        <tr r="AD348" s="50"/>
        <tr r="AD344" s="50"/>
        <tr r="AD247" s="50"/>
        <tr r="AD341" s="50"/>
        <tr r="AD337" s="50"/>
        <tr r="AD277" s="50"/>
        <tr r="AD234" s="50"/>
        <tr r="AD230" s="50"/>
        <tr r="AD226" s="50"/>
        <tr r="AD201" s="50"/>
        <tr r="AD202" s="50"/>
        <tr r="AD177" s="50"/>
        <tr r="AD168" s="50"/>
        <tr r="AD160" s="50"/>
        <tr r="AD186" s="50"/>
        <tr r="AD132" s="50"/>
        <tr r="AD199" s="50"/>
        <tr r="AD195" s="50"/>
        <tr r="AD191" s="50"/>
        <tr r="AD175" s="50"/>
        <tr r="AD165" s="50"/>
        <tr r="AD157" s="50"/>
        <tr r="AD176" s="50"/>
        <tr r="AD151" s="50"/>
        <tr r="AD147" s="50"/>
        <tr r="AD131" s="50"/>
        <tr r="AD121" s="50"/>
        <tr r="AD102" s="50"/>
        <tr r="AD99" s="50"/>
        <tr r="AD82" s="50"/>
        <tr r="AD92" s="50"/>
        <tr r="AD89" s="50"/>
        <tr r="AD83" s="50"/>
        <tr r="AD79" s="50"/>
        <tr r="AD67" s="50"/>
        <tr r="AD63" s="50"/>
        <tr r="AD59" s="50"/>
        <tr r="AD51" s="50"/>
        <tr r="AD16" s="50"/>
        <tr r="AD9" s="50"/>
        <tr r="AD13" s="50"/>
        <tr r="AD15" s="50"/>
      </tp>
      <tp t="s">
        <v>#N/A N/A</v>
        <stp/>
        <stp>BDP|1482105696965755624</stp>
        <tr r="U47" s="50"/>
      </tp>
      <tp t="s">
        <v>#N/A N/A</v>
        <stp/>
        <stp>BDP|8604503911713692545</stp>
        <tr r="U136" s="50"/>
      </tp>
      <tp t="s">
        <v>#N/A N/A</v>
        <stp/>
        <stp>BDP|2740906338665204670</stp>
        <tr r="U267" s="50"/>
        <tr r="U267" s="50"/>
      </tp>
      <tp t="s">
        <v>#N/A N/A</v>
        <stp/>
        <stp>BDP|1833018972619224415</stp>
        <tr r="U305" s="50"/>
        <tr r="U305" s="50"/>
      </tp>
      <tp t="s">
        <v>#N/A N/A</v>
        <stp/>
        <stp>BDP|8756089263875382070</stp>
        <tr r="AD254" s="50"/>
        <tr r="AD254" s="50"/>
      </tp>
      <tp t="s">
        <v>#N/A N/A</v>
        <stp/>
        <stp>BDP|3011734825404780980</stp>
        <tr r="AD238" s="50"/>
      </tp>
      <tp t="s">
        <v>#N/A N/A</v>
        <stp/>
        <stp>BDP|9485554629162503743</stp>
        <tr r="U240" s="50"/>
        <tr r="U240" s="50"/>
      </tp>
      <tp t="s">
        <v>#N/A N/A</v>
        <stp/>
        <stp>BDP|4920085098337516126</stp>
        <tr r="U282" s="50"/>
        <tr r="U282" s="50"/>
      </tp>
      <tp t="s">
        <v>#N/A N/A</v>
        <stp/>
        <stp>BDP|9381996884660508346</stp>
        <tr r="U134" s="50"/>
        <tr r="U134" s="50"/>
      </tp>
      <tp t="s">
        <v>#N/A N/A</v>
        <stp/>
        <stp>BDP|1732949039395301553</stp>
        <tr r="AD215" s="50"/>
      </tp>
      <tp t="s">
        <v>#N/A N/A</v>
        <stp/>
        <stp>BDP|1253917339710466039</stp>
        <tr r="AD306" s="50"/>
        <tr r="AD306" s="50"/>
      </tp>
      <tp t="s">
        <v>#N/A N/A</v>
        <stp/>
        <stp>BDP|6096119553548605143</stp>
        <tr r="U328" s="50"/>
        <tr r="U328" s="50"/>
      </tp>
      <tp t="s">
        <v>#N/A N/A</v>
        <stp/>
        <stp>BDP|6884610891049050423</stp>
        <tr r="AD334" s="50"/>
      </tp>
      <tp t="s">
        <v>#N/A N/A</v>
        <stp/>
        <stp>BDP|3956390063033023188</stp>
        <tr r="U254" s="50"/>
        <tr r="U254" s="50"/>
      </tp>
      <tp t="s">
        <v>#N/A N/A</v>
        <stp/>
        <stp>BDP|5905304371391038433</stp>
        <tr r="U58" s="50"/>
      </tp>
      <tp t="s">
        <v>#N/A N/A</v>
        <stp/>
        <stp>BDP|1088579213619611891</stp>
        <tr r="AD245" s="50"/>
        <tr r="AD245" s="50"/>
      </tp>
      <tp t="s">
        <v>#N/A N/A</v>
        <stp/>
        <stp>BDP|9599877715987821343</stp>
        <tr r="U249" s="50"/>
        <tr r="U249" s="50"/>
      </tp>
      <tp t="s">
        <v>#N/A N/A</v>
        <stp/>
        <stp>BDP|7939967327568302039</stp>
        <tr r="AD240" s="50"/>
        <tr r="AD240" s="50"/>
      </tp>
      <tp t="s">
        <v>#N/A N/A</v>
        <stp/>
        <stp>BDP|4843050220292535066</stp>
        <tr r="U393" s="50"/>
        <tr r="U393" s="50"/>
      </tp>
      <tp t="s">
        <v>#N/A N/A</v>
        <stp/>
        <stp>BDP|4008045694078960177</stp>
        <tr r="U329" s="50"/>
        <tr r="U329" s="50"/>
      </tp>
      <tp t="s">
        <v>#N/A N/A</v>
        <stp/>
        <stp>BDP|2303080663076535623</stp>
        <tr r="U323" s="50"/>
        <tr r="U323" s="50"/>
      </tp>
      <tp t="s">
        <v>#N/A N/A</v>
        <stp/>
        <stp>BDP|2039183875837857792</stp>
        <tr r="AD357" s="50"/>
      </tp>
      <tp t="s">
        <v>#N/A N/A</v>
        <stp/>
        <stp>BDP|1644374467335371591</stp>
        <tr r="AD112" s="50"/>
      </tp>
      <tp t="s">
        <v>#N/A N/A</v>
        <stp/>
        <stp>BDP|9620162307414829831</stp>
        <tr r="U39" s="50"/>
      </tp>
      <tp t="s">
        <v>#N/A N/A</v>
        <stp/>
        <stp>BDP|8890740007648899315</stp>
        <tr r="AD355" s="50"/>
        <tr r="AD355" s="50"/>
      </tp>
      <tp t="s">
        <v>#N/A N/A</v>
        <stp/>
        <stp>BDP|1477199001570809456</stp>
        <tr r="U265" s="50"/>
        <tr r="U265" s="50"/>
      </tp>
      <tp t="s">
        <v>#N/A N/A</v>
        <stp/>
        <stp>BDP|2254058411212518546</stp>
        <tr r="U269" s="50"/>
        <tr r="U269" s="50"/>
      </tp>
      <tp t="s">
        <v>#N/A N/A</v>
        <stp/>
        <stp>BDP|2422563830029295975</stp>
        <tr r="U112" s="50"/>
        <tr r="U112" s="50"/>
      </tp>
      <tp t="s">
        <v>#N/A N/A</v>
        <stp/>
        <stp>BDP|4908043548693210735</stp>
        <tr r="U326" s="50"/>
        <tr r="U326" s="50"/>
      </tp>
      <tp t="s">
        <v>#N/A N/A</v>
        <stp/>
        <stp>BDP|3154756860644704390</stp>
        <tr r="U292" s="50"/>
        <tr r="U292" s="50"/>
      </tp>
      <tp t="s">
        <v>#N/A N/A</v>
        <stp/>
        <stp>BDP|9797851028516655050</stp>
        <tr r="U238" s="50"/>
        <tr r="U238" s="50"/>
      </tp>
      <tp t="s">
        <v>#N/A N/A</v>
        <stp/>
        <stp>BDP|1265087643592735276</stp>
        <tr r="U26" s="50"/>
      </tp>
      <tp t="s">
        <v>#N/A N/A</v>
        <stp/>
        <stp>BDP|2839570037649276844</stp>
        <tr r="AD399" s="50"/>
        <tr r="AD399" s="50"/>
      </tp>
      <tp t="s">
        <v>#N/A N/A</v>
        <stp/>
        <stp>BDP|9252185687257421267</stp>
        <tr r="U116" s="50"/>
        <tr r="U116" s="50"/>
      </tp>
      <tp t="s">
        <v>#N/A N/A</v>
        <stp/>
        <stp>BDP|5172035754187793233</stp>
        <tr r="AD264" s="50"/>
        <tr r="AD264" s="50"/>
      </tp>
      <tp t="s">
        <v>#N/A N/A</v>
        <stp/>
        <stp>BDP|4015076900793561206</stp>
        <tr r="AD289" s="50"/>
        <tr r="AD289" s="50"/>
      </tp>
      <tp t="s">
        <v>#N/A N/A</v>
        <stp/>
        <stp>BDP|2169835904157240875</stp>
        <tr r="U386" s="50"/>
        <tr r="U386" s="50"/>
      </tp>
      <tp t="s">
        <v>#N/A N/A</v>
        <stp/>
        <stp>BDP|1772340592416564848</stp>
        <tr r="U284" s="50"/>
        <tr r="U284" s="50"/>
      </tp>
      <tp t="s">
        <v>#N/A N/A</v>
        <stp/>
        <stp>BDP|8902718251267181886</stp>
        <tr r="U30" s="50"/>
      </tp>
      <tp t="s">
        <v>#N/A N/A</v>
        <stp/>
        <stp>BDP|1186087902523541789</stp>
        <tr r="U331" s="50"/>
        <tr r="U331" s="50"/>
      </tp>
      <tp t="s">
        <v>#N/A N/A</v>
        <stp/>
        <stp>BDP|4933354191999803202</stp>
        <tr r="AD134" s="50"/>
      </tp>
      <tp t="s">
        <v>#N/A N/A</v>
        <stp/>
        <stp>BDP|9536593173648511503</stp>
        <tr r="U334" s="50"/>
        <tr r="U334" s="50"/>
      </tp>
      <tp t="s">
        <v>#N/A N/A</v>
        <stp/>
        <stp>BDP|5977119647760024641</stp>
        <tr r="AD410" s="50"/>
        <tr r="AD410" s="50"/>
      </tp>
      <tp t="s">
        <v>#N/A N/A</v>
        <stp/>
        <stp>BDP|7781310692952849979</stp>
        <tr r="U410" s="50"/>
        <tr r="U410" s="50"/>
      </tp>
      <tp t="s">
        <v>#N/A N/A</v>
        <stp/>
        <stp>BDP|2393032753185280497</stp>
        <tr r="U73" s="50"/>
      </tp>
      <tp t="s">
        <v>#N/A N/A</v>
        <stp/>
        <stp>BDP|2573072409123390711</stp>
        <tr r="U54" s="50"/>
      </tp>
      <tp t="s">
        <v>#N/A N/A</v>
        <stp/>
        <stp>BDP|5559752047575652584</stp>
        <tr r="AD318" s="50"/>
        <tr r="AD318" s="50"/>
      </tp>
      <tp t="s">
        <v>#N/A N/A</v>
        <stp/>
        <stp>BDP|3855707060655589132</stp>
        <tr r="U110" s="50"/>
        <tr r="U110" s="50"/>
      </tp>
      <tp t="s">
        <v>#N/A Requesting Data...4209830435</v>
        <stp/>
        <stp>BDP|3429191086908507411</stp>
        <tr r="W1" s="50"/>
      </tp>
      <tp t="s">
        <v>#N/A N/A</v>
        <stp/>
        <stp>BDP|8672174180164750391</stp>
        <tr r="U77" s="50"/>
      </tp>
      <tp t="s">
        <v>#N/A N/A</v>
        <stp/>
        <stp>BDP|4524019844690882659</stp>
        <tr r="U397" s="50"/>
      </tp>
      <tp t="s">
        <v>#N/A N/A</v>
        <stp/>
        <stp>BDP|2156534656093141743</stp>
        <tr r="AD262" s="50"/>
        <tr r="AD262" s="50"/>
      </tp>
      <tp t="s">
        <v>#N/A N/A</v>
        <stp/>
        <stp>BDP|2757442812165222449</stp>
        <tr r="U321" s="50"/>
        <tr r="U321" s="50"/>
      </tp>
      <tp t="s">
        <v>#N/A N/A</v>
        <stp/>
        <stp>BDP|7117835416730489875</stp>
        <tr r="U325" s="50"/>
        <tr r="U325" s="50"/>
      </tp>
      <tp t="s">
        <v>#N/A N/A</v>
        <stp/>
        <stp>BDP|2298593879022631405</stp>
        <tr r="AD386" s="50"/>
        <tr r="AD386" s="50"/>
      </tp>
      <tp t="s">
        <v>#N/A N/A</v>
        <stp/>
        <stp>BDP|1638212087695487817</stp>
        <tr r="AD406" s="50"/>
        <tr r="AD406" s="50"/>
      </tp>
      <tp t="s">
        <v>#N/A N/A</v>
        <stp/>
        <stp>BDP|7176984416200047841</stp>
        <tr r="AD212" s="50"/>
      </tp>
      <tp t="s">
        <v>#N/A N/A</v>
        <stp/>
        <stp>BDP|6619706847956044493</stp>
        <tr r="U285" s="50"/>
        <tr r="U285" s="50"/>
      </tp>
      <tp t="s">
        <v>#N/A N/A</v>
        <stp/>
        <stp>BDP|6632478598765237923</stp>
        <tr r="AD123" s="50"/>
      </tp>
      <tp t="s">
        <v>#N/A N/A</v>
        <stp/>
        <stp>BDP|7601567699935832982</stp>
        <tr r="AD33" s="50"/>
        <tr r="AD33" s="50"/>
      </tp>
      <tp t="s">
        <v>#N/A N/A</v>
        <stp/>
        <stp>BDP|1672226675936093586</stp>
        <tr r="AD259" s="50"/>
        <tr r="AD259" s="50"/>
      </tp>
      <tp t="s">
        <v>#N/A N/A</v>
        <stp/>
        <stp>BDP|6194939169049099777</stp>
        <tr r="AD38" s="50"/>
        <tr r="AD38" s="50"/>
      </tp>
      <tp t="s">
        <v>#N/A N/A</v>
        <stp/>
        <stp>BDP|5145547618000719671</stp>
        <tr r="U404" s="50"/>
        <tr r="U404" s="50"/>
      </tp>
      <tp t="s">
        <v>#N/A N/A</v>
        <stp/>
        <stp>BDP|7290630274764087577</stp>
        <tr r="AD293" s="50"/>
        <tr r="AD293" s="50"/>
      </tp>
      <tp t="s">
        <v>#N/A N/A</v>
        <stp/>
        <stp>BDP|6782221737105796574</stp>
        <tr r="AD391" s="50"/>
        <tr r="AD391" s="50"/>
        <tr r="AD274" s="50"/>
        <tr r="AD274" s="50"/>
      </tp>
      <tp t="s">
        <v>#N/A N/A</v>
        <stp/>
        <stp>BDP|5371738552300650042</stp>
        <tr r="AD269" s="50"/>
        <tr r="AD269" s="50"/>
      </tp>
      <tp t="s">
        <v>#N/A N/A</v>
        <stp/>
        <stp>BDP|2765345756757375408</stp>
        <tr r="AD22" s="50"/>
        <tr r="AD22" s="50"/>
      </tp>
      <tp t="s">
        <v>#N/A N/A</v>
        <stp/>
        <stp>BDP|8385667847575503818</stp>
        <tr r="AD383" s="50"/>
        <tr r="AD383" s="50"/>
      </tp>
      <tp t="s">
        <v>#N/A N/A</v>
        <stp/>
        <stp>BDP|6797410446515381451</stp>
        <tr r="AD411" s="50"/>
      </tp>
      <tp t="s">
        <v>#N/A N/A</v>
        <stp/>
        <stp>BDP|1963503474604321090</stp>
        <tr r="U264" s="50"/>
        <tr r="U264" s="50"/>
      </tp>
      <tp t="s">
        <v>#N/A N/A</v>
        <stp/>
        <stp>BDP|3738571575745301314</stp>
        <tr r="AD361" s="50"/>
        <tr r="AD330" s="50"/>
        <tr r="AD217" s="50"/>
      </tp>
      <tp t="s">
        <v>#N/A N/A</v>
        <stp/>
        <stp>BDP|9170842615412470508</stp>
        <tr r="U258" s="50"/>
        <tr r="U258" s="50"/>
      </tp>
      <tp t="s">
        <v>#N/A N/A</v>
        <stp/>
        <stp>BDP|7383030761851693737</stp>
        <tr r="AD76" s="50"/>
        <tr r="AD76" s="50"/>
      </tp>
      <tp t="s">
        <v>#N/A N/A</v>
        <stp/>
        <stp>BDP|8621831371409046902</stp>
        <tr r="U38" s="50"/>
      </tp>
      <tp t="s">
        <v>#N/A N/A</v>
        <stp/>
        <stp>BDP|1744191305572797593</stp>
        <tr r="AD58" s="50"/>
        <tr r="AD58" s="50"/>
      </tp>
      <tp t="s">
        <v>#N/A N/A</v>
        <stp/>
        <stp>BDP|3469330676497566715</stp>
        <tr r="AD172" s="50"/>
      </tp>
      <tp t="s">
        <v>#N/A N/A</v>
        <stp/>
        <stp>BDP|3459724368801020363</stp>
        <tr r="U336" s="50"/>
        <tr r="U336" s="50"/>
      </tp>
      <tp t="s">
        <v>#N/A N/A</v>
        <stp/>
        <stp>BDP|1273289367776177334</stp>
        <tr r="AD53" s="50"/>
        <tr r="AD53" s="50"/>
      </tp>
      <tp t="s">
        <v>#N/A N/A</v>
        <stp/>
        <stp>BDP|9853247309552298984</stp>
        <tr r="AD122" s="50"/>
      </tp>
      <tp t="s">
        <v>#N/A N/A</v>
        <stp/>
        <stp>BDP|3394057790272367896</stp>
        <tr r="AD396" s="50"/>
        <tr r="AD396" s="50"/>
      </tp>
      <tp t="s">
        <v>#N/A N/A</v>
        <stp/>
        <stp>BDP|3142063967484845148</stp>
        <tr r="AD323" s="50"/>
        <tr r="AD323" s="50"/>
      </tp>
      <tp t="s">
        <v>#N/A N/A</v>
        <stp/>
        <stp>BDP|1091132309316313648</stp>
        <tr r="U70" s="50"/>
      </tp>
      <tp t="s">
        <v>#N/A N/A</v>
        <stp/>
        <stp>BDP|9671340352078189727</stp>
        <tr r="AD114" s="50"/>
      </tp>
      <tp t="s">
        <v>#N/A N/A</v>
        <stp/>
        <stp>BDP|3742222225613316022</stp>
        <tr r="AD312" s="50"/>
      </tp>
      <tp t="s">
        <v>#N/A N/A</v>
        <stp/>
        <stp>BDP|1874139832184087785</stp>
        <tr r="AD133" s="50"/>
      </tp>
      <tp t="s">
        <v>#N/A N/A</v>
        <stp/>
        <stp>BDP|6621309432413525570</stp>
        <tr r="AD23" s="50"/>
        <tr r="AD23" s="50"/>
      </tp>
      <tp t="s">
        <v>#N/A N/A</v>
        <stp/>
        <stp>BDP|1620536218795390088</stp>
        <tr r="AD106" s="50"/>
        <tr r="AD106" s="50"/>
      </tp>
      <tp t="s">
        <v>#N/A N/A</v>
        <stp/>
        <stp>BDP|3710932200822375834</stp>
        <tr r="U403" s="50"/>
        <tr r="U403" s="50"/>
      </tp>
      <tp t="s">
        <v>#N/A N/A</v>
        <stp/>
        <stp>BDP|7832348192934963935</stp>
        <tr r="AD118" s="50"/>
      </tp>
      <tp t="s">
        <v>#N/A Requesting Data...3143543234</v>
        <stp/>
        <stp>BDP|2293627517891086421</stp>
        <tr r="AD461" s="50"/>
        <tr r="AD462" s="50"/>
        <tr r="AD463" s="50"/>
        <tr r="AD464" s="50"/>
        <tr r="AD465" s="50"/>
        <tr r="AD466" s="50"/>
        <tr r="AD467" s="50"/>
        <tr r="AD468" s="50"/>
        <tr r="AD469" s="50"/>
        <tr r="AD470" s="50"/>
        <tr r="AD471" s="50"/>
        <tr r="AD472" s="50"/>
        <tr r="AD473" s="50"/>
        <tr r="AD474" s="50"/>
        <tr r="AD475" s="50"/>
        <tr r="AD476" s="50"/>
        <tr r="AD477" s="50"/>
        <tr r="AD478" s="50"/>
        <tr r="AD479" s="50"/>
        <tr r="AD480" s="50"/>
        <tr r="AD481" s="50"/>
        <tr r="AD482" s="50"/>
        <tr r="AD483" s="50"/>
        <tr r="AD484" s="50"/>
        <tr r="AD485" s="50"/>
        <tr r="AD486" s="50"/>
        <tr r="AD487" s="50"/>
        <tr r="AD488" s="50"/>
        <tr r="AD489" s="50"/>
        <tr r="AD500" s="50"/>
        <tr r="AD501" s="50"/>
        <tr r="AD502" s="50"/>
        <tr r="AD503" s="50"/>
        <tr r="AD504" s="50"/>
        <tr r="AD505" s="50"/>
        <tr r="AD506" s="50"/>
        <tr r="AD507" s="50"/>
        <tr r="AD508" s="50"/>
        <tr r="AD509" s="50"/>
        <tr r="AD510" s="50"/>
        <tr r="AD511" s="50"/>
        <tr r="AD512" s="50"/>
        <tr r="AD513" s="50"/>
        <tr r="AD514" s="50"/>
        <tr r="AD515" s="50"/>
        <tr r="AD516" s="50"/>
        <tr r="AD517" s="50"/>
        <tr r="AD518" s="50"/>
        <tr r="AD519" s="50"/>
        <tr r="AD520" s="50"/>
        <tr r="AD521" s="50"/>
        <tr r="AD522" s="50"/>
        <tr r="AD523" s="50"/>
        <tr r="AD524" s="50"/>
        <tr r="AD525" s="50"/>
        <tr r="AD526" s="50"/>
        <tr r="AD527" s="50"/>
        <tr r="AD528" s="50"/>
        <tr r="AD529" s="50"/>
        <tr r="AD530" s="50"/>
        <tr r="AD531" s="50"/>
        <tr r="AD532" s="50"/>
        <tr r="AD533" s="50"/>
        <tr r="AD534" s="50"/>
        <tr r="AD535" s="50"/>
        <tr r="AD536" s="50"/>
        <tr r="AD537" s="50"/>
        <tr r="AD538" s="50"/>
        <tr r="AD539" s="50"/>
        <tr r="AD540" s="50"/>
        <tr r="AD544" s="50"/>
        <tr r="AD545" s="50"/>
        <tr r="AD546" s="50"/>
        <tr r="AD547" s="50"/>
        <tr r="AD548" s="50"/>
        <tr r="AD549" s="50"/>
        <tr r="AD550" s="50"/>
        <tr r="AD551" s="50"/>
        <tr r="AD552" s="50"/>
        <tr r="AD553" s="50"/>
        <tr r="AD554" s="50"/>
        <tr r="AD555" s="50"/>
        <tr r="AD556" s="50"/>
        <tr r="AD557" s="50"/>
        <tr r="AD558" s="50"/>
        <tr r="AD559" s="50"/>
        <tr r="AD560" s="50"/>
        <tr r="AD561" s="50"/>
        <tr r="AD562" s="50"/>
        <tr r="AD563" s="50"/>
        <tr r="AD564" s="50"/>
        <tr r="AD565" s="50"/>
        <tr r="AD566" s="50"/>
        <tr r="AD567" s="50"/>
        <tr r="AD568" s="50"/>
        <tr r="AD569" s="50"/>
        <tr r="AD570" s="50"/>
        <tr r="AD571" s="50"/>
        <tr r="AD572" s="50"/>
        <tr r="AD573" s="50"/>
        <tr r="AD574" s="50"/>
        <tr r="AD575" s="50"/>
        <tr r="AD581" s="50"/>
        <tr r="AD587" s="50"/>
        <tr r="AD588" s="50"/>
        <tr r="AD589" s="50"/>
        <tr r="AD597" s="50"/>
        <tr r="AD599" s="50"/>
        <tr r="AD600" s="50"/>
        <tr r="AD601" s="50"/>
        <tr r="AD602" s="50"/>
        <tr r="AD603" s="50"/>
        <tr r="AD604" s="50"/>
        <tr r="AD605" s="50"/>
        <tr r="AD606" s="50"/>
        <tr r="AD607" s="50"/>
        <tr r="AD608" s="50"/>
        <tr r="AD609" s="50"/>
        <tr r="AD610" s="50"/>
        <tr r="AD611" s="50"/>
        <tr r="AD612" s="50"/>
        <tr r="AD613" s="50"/>
        <tr r="AD614" s="50"/>
        <tr r="AD615" s="50"/>
        <tr r="AD616" s="50"/>
        <tr r="AD617" s="50"/>
        <tr r="AD618" s="50"/>
        <tr r="AD628" s="50"/>
        <tr r="AD629" s="50"/>
        <tr r="AD630" s="50"/>
        <tr r="AD634" s="50"/>
        <tr r="AD635" s="50"/>
        <tr r="AD636" s="50"/>
        <tr r="AD637" s="50"/>
        <tr r="AD638" s="50"/>
        <tr r="AD639" s="50"/>
        <tr r="AD640" s="50"/>
        <tr r="AD641" s="50"/>
        <tr r="AD642" s="50"/>
        <tr r="AD643" s="50"/>
        <tr r="AD644" s="50"/>
        <tr r="AD645" s="50"/>
        <tr r="AD646" s="50"/>
        <tr r="AD647" s="50"/>
        <tr r="AD648" s="50"/>
        <tr r="AD649" s="50"/>
        <tr r="AD650" s="50"/>
        <tr r="AD651" s="50"/>
        <tr r="AD660" s="50"/>
        <tr r="AD718" s="50"/>
        <tr r="AD719" s="50"/>
        <tr r="AD746" s="50"/>
        <tr r="AD747" s="50"/>
        <tr r="AD748" s="50"/>
        <tr r="AD749" s="50"/>
        <tr r="AD750" s="50"/>
        <tr r="AD751" s="50"/>
        <tr r="AD752" s="50"/>
        <tr r="AD753" s="50"/>
        <tr r="AD754" s="50"/>
        <tr r="AD755" s="50"/>
        <tr r="AD756" s="50"/>
        <tr r="AD757" s="50"/>
        <tr r="AD758" s="50"/>
        <tr r="AD759" s="50"/>
        <tr r="AD760" s="50"/>
        <tr r="AD761" s="50"/>
        <tr r="AD762" s="50"/>
        <tr r="AD763" s="50"/>
        <tr r="AD764" s="50"/>
        <tr r="AD766" s="50"/>
        <tr r="AD770" s="50"/>
        <tr r="AD771" s="50"/>
        <tr r="AD772" s="50"/>
        <tr r="AD773" s="50"/>
        <tr r="AD774" s="50"/>
        <tr r="AD775" s="50"/>
        <tr r="AD776" s="50"/>
        <tr r="AD777" s="50"/>
        <tr r="AD778" s="50"/>
        <tr r="AD779" s="50"/>
        <tr r="AD780" s="50"/>
        <tr r="AD781" s="50"/>
        <tr r="AD782" s="50"/>
        <tr r="AD783" s="50"/>
        <tr r="AD784" s="50"/>
        <tr r="AD785" s="50"/>
        <tr r="AD786" s="50"/>
        <tr r="AD787" s="50"/>
        <tr r="AD788" s="50"/>
        <tr r="AD820" s="50"/>
        <tr r="AD821" s="50"/>
        <tr r="AD823" s="50"/>
        <tr r="AD824" s="50"/>
        <tr r="AD825" s="50"/>
        <tr r="AD826" s="50"/>
        <tr r="AD827" s="50"/>
        <tr r="AD828" s="50"/>
        <tr r="AD829" s="50"/>
        <tr r="AD830" s="50"/>
        <tr r="AD831" s="50"/>
        <tr r="AD832" s="50"/>
        <tr r="AD833" s="50"/>
        <tr r="AD834" s="50"/>
        <tr r="AD835" s="50"/>
        <tr r="AD836" s="50"/>
        <tr r="AD837" s="50"/>
        <tr r="AD838" s="50"/>
        <tr r="AD839" s="50"/>
        <tr r="AD840" s="50"/>
        <tr r="AD841" s="50"/>
        <tr r="AD842" s="50"/>
        <tr r="AD843" s="50"/>
        <tr r="AD844" s="50"/>
        <tr r="AD845" s="50"/>
        <tr r="AD846" s="50"/>
        <tr r="AD847" s="50"/>
        <tr r="AD848" s="50"/>
        <tr r="AD849" s="50"/>
        <tr r="AD850" s="50"/>
        <tr r="AD851" s="50"/>
        <tr r="AD852" s="50"/>
        <tr r="AD853" s="50"/>
        <tr r="AD854" s="50"/>
        <tr r="AD855" s="50"/>
        <tr r="AD856" s="50"/>
        <tr r="AD857" s="50"/>
        <tr r="AD864" s="50"/>
        <tr r="AD865" s="50"/>
        <tr r="AD866" s="50"/>
        <tr r="AD867" s="50"/>
        <tr r="AD868" s="50"/>
        <tr r="AD869" s="50"/>
        <tr r="AD870" s="50"/>
        <tr r="AD871" s="50"/>
        <tr r="AD872" s="50"/>
        <tr r="AD873" s="50"/>
        <tr r="AD874" s="50"/>
        <tr r="AD875" s="50"/>
        <tr r="AD876" s="50"/>
        <tr r="AD877" s="50"/>
        <tr r="AD878" s="50"/>
        <tr r="AD879" s="50"/>
        <tr r="AD880" s="50"/>
        <tr r="AD881" s="50"/>
        <tr r="AD882" s="50"/>
        <tr r="AD883" s="50"/>
        <tr r="AD884" s="50"/>
        <tr r="AD742" s="50"/>
        <tr r="AD493" s="50"/>
        <tr r="AD671" s="50"/>
        <tr r="AD721" s="50"/>
        <tr r="AD692" s="50"/>
        <tr r="AD801" s="50"/>
        <tr r="AD693" s="50"/>
        <tr r="AD657" s="50"/>
        <tr r="AD702" s="50"/>
        <tr r="AD795" s="50"/>
        <tr r="AD626" s="50"/>
        <tr r="AD577" s="50"/>
        <tr r="AD580" s="50"/>
        <tr r="AD670" s="50"/>
        <tr r="AD627" s="50"/>
        <tr r="AD681" s="50"/>
        <tr r="AD675" s="50"/>
        <tr r="AD744" s="50"/>
        <tr r="AD700" s="50"/>
        <tr r="AD729" s="50"/>
        <tr r="AD685" s="50"/>
        <tr r="AD673" s="50"/>
        <tr r="AD715" s="50"/>
        <tr r="AD800" s="50"/>
        <tr r="AD596" s="50"/>
        <tr r="AD676" s="50"/>
        <tr r="AD813" s="50"/>
        <tr r="AD736" s="50"/>
        <tr r="AD730" s="50"/>
        <tr r="AD811" s="50"/>
        <tr r="AD706" s="50"/>
        <tr r="AD739" s="50"/>
        <tr r="AD822" s="50"/>
        <tr r="AD725" s="50"/>
        <tr r="AD791" s="50"/>
        <tr r="AD674" s="50"/>
        <tr r="AD816" s="50"/>
        <tr r="AD621" s="50"/>
        <tr r="AD767" s="50"/>
        <tr r="AD620" s="50"/>
        <tr r="AD726" s="50"/>
        <tr r="AD677" s="50"/>
        <tr r="AD797" s="50"/>
        <tr r="AD704" s="50"/>
        <tr r="AD735" s="50"/>
        <tr r="AD703" s="50"/>
        <tr r="AD678" s="50"/>
        <tr r="AD740" s="50"/>
        <tr r="AD598" s="50"/>
        <tr r="AD633" s="50"/>
        <tr r="AD595" s="50"/>
        <tr r="AD491" s="50"/>
        <tr r="AD664" s="50"/>
        <tr r="AD690" s="50"/>
        <tr r="AD709" s="50"/>
        <tr r="AD658" s="50"/>
        <tr r="AD745" s="50"/>
        <tr r="AD499" s="50"/>
        <tr r="AD863" s="50"/>
        <tr r="AD490" s="50"/>
        <tr r="AD858" s="50"/>
        <tr r="AD803" s="50"/>
        <tr r="AD542" s="50"/>
        <tr r="AD632" s="50"/>
        <tr r="AD734" s="50"/>
        <tr r="AD769" s="50"/>
        <tr r="AD694" s="50"/>
        <tr r="AD727" s="50"/>
        <tr r="AD810" s="50"/>
        <tr r="AD705" s="50"/>
        <tr r="AD707" s="50"/>
        <tr r="AD699" s="50"/>
        <tr r="AD732" s="50"/>
        <tr r="AD716" s="50"/>
        <tr r="AD768" s="50"/>
        <tr r="AD815" s="50"/>
        <tr r="AD714" s="50"/>
        <tr r="AD805" s="50"/>
        <tr r="AD492" s="50"/>
        <tr r="AD812" s="50"/>
        <tr r="AD623" s="50"/>
        <tr r="AD717" s="50"/>
        <tr r="AD666" s="50"/>
        <tr r="AD695" s="50"/>
        <tr r="AD696" s="50"/>
        <tr r="AD498" s="50"/>
        <tr r="AD862" s="50"/>
        <tr r="AD543" s="50"/>
        <tr r="AD592" s="50"/>
        <tr r="AD625" s="50"/>
        <tr r="AD817" s="50"/>
        <tr r="AD765" s="50"/>
        <tr r="AD494" s="50"/>
        <tr r="AD576" s="50"/>
        <tr r="AD720" s="50"/>
        <tr r="AD584" s="50"/>
        <tr r="AD682" s="50"/>
        <tr r="AD594" s="50"/>
        <tr r="AD802" s="50"/>
        <tr r="AD792" s="50"/>
        <tr r="AD814" s="50"/>
        <tr r="AD808" s="50"/>
        <tr r="AD712" s="50"/>
        <tr r="AD722" s="50"/>
        <tr r="AD578" s="50"/>
        <tr r="AD809" s="50"/>
        <tr r="AD496" s="50"/>
        <tr r="AD860" s="50"/>
        <tr r="AD796" s="50"/>
        <tr r="AD619" s="50"/>
        <tr r="AD663" s="50"/>
        <tr r="AD672" s="50"/>
        <tr r="AD731" s="50"/>
        <tr r="AD793" s="50"/>
        <tr r="AD743" s="50"/>
        <tr r="AD585" s="50"/>
        <tr r="AD541" s="50"/>
        <tr r="AD586" s="50"/>
        <tr r="AD728" s="50"/>
        <tr r="AD679" s="50"/>
        <tr r="AD799" s="50"/>
        <tr r="AD582" s="50"/>
        <tr r="AD688" s="50"/>
        <tr r="AD655" s="50"/>
        <tr r="AD708" s="50"/>
        <tr r="AD711" s="50"/>
        <tr r="AD593" s="50"/>
        <tr r="AD495" s="50"/>
        <tr r="AD859" s="50"/>
        <tr r="AD668" s="50"/>
        <tr r="AD662" s="50"/>
        <tr r="AD689" s="50"/>
        <tr r="AD807" s="50"/>
        <tr r="AD806" s="50"/>
        <tr r="AD737" s="50"/>
        <tr r="AD652" s="50"/>
        <tr r="AD583" s="50"/>
        <tr r="AD741" s="50"/>
        <tr r="AD683" s="50"/>
        <tr r="AD697" s="50"/>
        <tr r="AD684" s="50"/>
        <tr r="AD798" s="50"/>
        <tr r="AD819" s="50"/>
        <tr r="AD713" s="50"/>
        <tr r="AD591" s="50"/>
        <tr r="AD624" s="50"/>
        <tr r="AD698" s="50"/>
        <tr r="AD687" s="50"/>
        <tr r="AD659" s="50"/>
        <tr r="AD590" s="50"/>
        <tr r="AD653" s="50"/>
        <tr r="AD667" s="50"/>
        <tr r="AD794" s="50"/>
        <tr r="AD656" s="50"/>
        <tr r="AD790" s="50"/>
        <tr r="AD686" s="50"/>
        <tr r="AD579" s="50"/>
        <tr r="AD680" s="50"/>
        <tr r="AD723" s="50"/>
        <tr r="AD818" s="50"/>
        <tr r="AD733" s="50"/>
        <tr r="AD738" s="50"/>
        <tr r="AD661" s="50"/>
        <tr r="AD691" s="50"/>
        <tr r="AD724" s="50"/>
        <tr r="AD665" s="50"/>
        <tr r="AD669" s="50"/>
        <tr r="AD631" s="50"/>
        <tr r="AD701" s="50"/>
        <tr r="AD622" s="50"/>
        <tr r="AD789" s="50"/>
        <tr r="AD654" s="50"/>
        <tr r="AD804" s="50"/>
        <tr r="AD710" s="50"/>
        <tr r="AD497" s="50"/>
        <tr r="AD861" s="50"/>
        <tr r="AD1" s="50"/>
      </tp>
      <tp t="s">
        <v>#N/A N/A</v>
        <stp/>
        <stp>BDP|4988822574332612834</stp>
        <tr r="AD244" s="50"/>
        <tr r="AD244" s="50"/>
      </tp>
      <tp t="s">
        <v>#N/A N/A</v>
        <stp/>
        <stp>BDP|1397375409027399466</stp>
        <tr r="AD214" s="50"/>
      </tp>
      <tp t="s">
        <v>#N/A N/A</v>
        <stp/>
        <stp>BDP|4514629868104396127</stp>
        <tr r="U127" s="50"/>
        <tr r="U127" s="50"/>
      </tp>
      <tp t="s">
        <v>#N/A N/A</v>
        <stp/>
        <stp>BDP|3097880784890682275</stp>
        <tr r="U390" s="50"/>
        <tr r="U390" s="50"/>
      </tp>
      <tp t="s">
        <v>#N/A N/A</v>
        <stp/>
        <stp>BDP|3818170566614104150</stp>
        <tr r="AD291" s="50"/>
        <tr r="AD291" s="50"/>
      </tp>
      <tp t="s">
        <v>#N/A N/A</v>
        <stp/>
        <stp>BDP|2165690139010119632</stp>
        <tr r="AD325" s="50"/>
        <tr r="AD325" s="50"/>
      </tp>
      <tp t="s">
        <v>#N/A N/A</v>
        <stp/>
        <stp>BDP|4565675652065240327</stp>
        <tr r="U241" s="50"/>
        <tr r="U241" s="50"/>
      </tp>
      <tp t="s">
        <v>#N/A N/A</v>
        <stp/>
        <stp>BDP|2385215921361219276</stp>
        <tr r="AD258" s="50"/>
        <tr r="AD258" s="50"/>
      </tp>
      <tp t="s">
        <v>#N/A N/A</v>
        <stp/>
        <stp>BDP|7552069218622500587</stp>
        <tr r="U109" s="50"/>
        <tr r="U109" s="50"/>
      </tp>
      <tp t="s">
        <v>#N/A N/A</v>
        <stp/>
        <stp>BDP|4031599231115633693</stp>
        <tr r="U409" s="50"/>
        <tr r="U409" s="50"/>
        <tr r="U213" s="50"/>
        <tr r="U213" s="50"/>
      </tp>
      <tp t="s">
        <v>#N/A N/A</v>
        <stp/>
        <stp>BDP|9537614904399062778</stp>
        <tr r="U130" s="50"/>
        <tr r="U130" s="50"/>
      </tp>
      <tp t="s">
        <v>#N/A N/A</v>
        <stp/>
        <stp>BDP|3617365561092260544</stp>
        <tr r="AD30" s="50"/>
        <tr r="AD30" s="50"/>
      </tp>
      <tp t="s">
        <v>#N/A N/A</v>
        <stp/>
        <stp>BDP|1944092338786891541</stp>
        <tr r="AD250" s="50"/>
        <tr r="AD250" s="50"/>
      </tp>
      <tp t="s">
        <v>#N/A N/A</v>
        <stp/>
        <stp>BDP|7407725233327093518</stp>
        <tr r="U56" s="50"/>
      </tp>
      <tp t="s">
        <v>#N/A N/A</v>
        <stp/>
        <stp>BDP|1839286877952494764</stp>
        <tr r="AD329" s="50"/>
      </tp>
      <tp t="s">
        <v>#N/A N/A</v>
        <stp/>
        <stp>BDP|4084584659515013399</stp>
        <tr r="U251" s="50"/>
        <tr r="U251" s="50"/>
      </tp>
      <tp t="s">
        <v>#N/A N/A</v>
        <stp/>
        <stp>BDP|5896937986822152427</stp>
        <tr r="U248" s="50"/>
        <tr r="U248" s="50"/>
      </tp>
      <tp t="s">
        <v>#N/A N/A</v>
        <stp/>
        <stp>BDP|8813539815967123937</stp>
        <tr r="U272" s="50"/>
        <tr r="U272" s="50"/>
      </tp>
      <tp t="s">
        <v>#N/A N/A</v>
        <stp/>
        <stp>BDP|6959345274792622222</stp>
        <tr r="U115" s="50"/>
        <tr r="U115" s="50"/>
      </tp>
      <tp t="s">
        <v>#N/A N/A</v>
        <stp/>
        <stp>BDP|8368247603539556135</stp>
        <tr r="AD243" s="50"/>
        <tr r="AD243" s="50"/>
      </tp>
      <tp t="s">
        <v>#N/A N/A</v>
        <stp/>
        <stp>BDP|3527983830968956329</stp>
        <tr r="U333" s="50"/>
        <tr r="U333" s="50"/>
      </tp>
      <tp t="s">
        <v>#N/A N/A</v>
        <stp/>
        <stp>BDP|1792725479155461722</stp>
        <tr r="AD56" s="50"/>
        <tr r="AD56" s="50"/>
      </tp>
      <tp t="s">
        <v>#N/A N/A</v>
        <stp/>
        <stp>BDP|4996671318595539595</stp>
        <tr r="AD36" s="50"/>
        <tr r="AD36" s="50"/>
      </tp>
      <tp t="s">
        <v>#N/A N/A</v>
        <stp/>
        <stp>BDP|9886720000685230821</stp>
        <tr r="U172" s="50"/>
        <tr r="U172" s="50"/>
      </tp>
      <tp t="s">
        <v>#N/A N/A</v>
        <stp/>
        <stp>BDP|8044192382510253238</stp>
        <tr r="AD300" s="50"/>
        <tr r="AD300" s="50"/>
      </tp>
      <tp t="s">
        <v>#N/A N/A</v>
        <stp/>
        <stp>BDP|4311166600680902660</stp>
        <tr r="U129" s="50"/>
        <tr r="U129" s="50"/>
      </tp>
      <tp t="s">
        <v>#N/A N/A</v>
        <stp/>
        <stp>BDP|1836521068916071791</stp>
        <tr r="U275" s="50"/>
        <tr r="U275" s="50"/>
      </tp>
      <tp t="s">
        <v>#N/A N/A</v>
        <stp/>
        <stp>BDP|6311267666872982316</stp>
        <tr r="AD26" s="50"/>
        <tr r="AD26" s="50"/>
      </tp>
      <tp t="s">
        <v>#N/A N/A</v>
        <stp/>
        <stp>BDP|8332029065524519995</stp>
        <tr r="U28" s="50"/>
      </tp>
      <tp t="s">
        <v>#N/A N/A</v>
        <stp/>
        <stp>BDP|8951268187726374754</stp>
        <tr r="AD279" s="50"/>
        <tr r="AD279" s="50"/>
      </tp>
      <tp t="s">
        <v>#N/A N/A</v>
        <stp/>
        <stp>BDP|4664353269471646324</stp>
        <tr r="AD21" s="50"/>
        <tr r="AD21" s="50"/>
      </tp>
      <tp t="s">
        <v>#N/A N/A</v>
        <stp/>
        <stp>BDP|7302582477882080408</stp>
        <tr r="U246" s="50"/>
        <tr r="U246" s="50"/>
      </tp>
      <tp t="s">
        <v>#N/A N/A</v>
        <stp/>
        <stp>BDP|2549079019210510020</stp>
        <tr r="U55" s="50"/>
      </tp>
      <tp t="s">
        <v>#N/A N/A</v>
        <stp/>
        <stp>BDP|4457905770388123193</stp>
        <tr r="AD47" s="50"/>
        <tr r="AD47" s="50"/>
      </tp>
      <tp t="s">
        <v>#N/A N/A</v>
        <stp/>
        <stp>BDP|2557310340365280345</stp>
        <tr r="AD270" s="50"/>
        <tr r="AD270" s="50"/>
      </tp>
      <tp t="s">
        <v>#N/A N/A</v>
        <stp/>
        <stp>BDP|2228420047720700123</stp>
        <tr r="U298" s="50"/>
        <tr r="U298" s="50"/>
      </tp>
      <tp t="s">
        <v>#N/A N/A</v>
        <stp/>
        <stp>BDP|7478191200294960178</stp>
        <tr r="U293" s="50"/>
        <tr r="U293" s="50"/>
      </tp>
      <tp t="s">
        <v>#N/A N/A</v>
        <stp/>
        <stp>BDP|8146332482802916296</stp>
        <tr r="AD255" s="50"/>
        <tr r="AD255" s="50"/>
      </tp>
      <tp t="s">
        <v>#N/A N/A</v>
        <stp/>
        <stp>BDP|6145450410359704932</stp>
        <tr r="AD55" s="50"/>
        <tr r="AD55" s="50"/>
      </tp>
      <tp t="s">
        <v>#N/A N/A</v>
        <stp/>
        <stp>BDP|7868725060593212694</stp>
        <tr r="AD252" s="50"/>
        <tr r="AD252" s="50"/>
      </tp>
      <tp t="s">
        <v>#N/A N/A</v>
        <stp/>
        <stp>BDP|4808477544236926149</stp>
        <tr r="U382" s="50"/>
        <tr r="U382" s="50"/>
      </tp>
      <tp t="s">
        <v>#N/A N/A</v>
        <stp/>
        <stp>BDP|5217240164686519430</stp>
        <tr r="U126" s="50"/>
        <tr r="U126" s="50"/>
      </tp>
      <tp t="s">
        <v>#N/A N/A</v>
        <stp/>
        <stp>BDP|1791851448246957863</stp>
        <tr r="AD321" s="50"/>
        <tr r="AD321" s="50"/>
      </tp>
      <tp t="s">
        <v>#N/A N/A</v>
        <stp/>
        <stp>BDP|5647416480183011920</stp>
        <tr r="AD290" s="50"/>
        <tr r="AD290" s="50"/>
      </tp>
      <tp t="s">
        <v>#N/A N/A</v>
        <stp/>
        <stp>BDP|2608380973424169195</stp>
        <tr r="AD283" s="50"/>
        <tr r="AD283" s="50"/>
      </tp>
      <tp t="s">
        <v>#N/A N/A</v>
        <stp/>
        <stp>BDP|83869351497343199</stp>
        <tr r="U394" s="50"/>
        <tr r="U394" s="50"/>
      </tp>
      <tp t="s">
        <v>#N/A N/A</v>
        <stp/>
        <stp>BDP|79468814822130910</stp>
        <tr r="U57" s="50"/>
      </tp>
      <tp t="s">
        <v>#N/A N/A</v>
        <stp/>
        <stp>BDP|35225444458858072</stp>
        <tr r="U315" s="50"/>
        <tr r="U315" s="50"/>
      </tp>
      <tp t="s">
        <v>#N/A N/A</v>
        <stp/>
        <stp>BDP|23001401030856341</stp>
        <tr r="AD294" s="50"/>
        <tr r="AD294" s="50"/>
      </tp>
      <tp t="s">
        <v>#N/A N/A</v>
        <stp/>
        <stp>BDP|125118108787540354</stp>
        <tr r="AD54" s="50"/>
        <tr r="AD54" s="50"/>
      </tp>
      <tp t="s">
        <v>#N/A N/A</v>
        <stp/>
        <stp>BDP|878024982789255435</stp>
        <tr r="AD320" s="50"/>
        <tr r="AD320" s="50"/>
      </tp>
      <tp t="s">
        <v>#N/A N/A</v>
        <stp/>
        <stp>BDP|519965187262549611</stp>
        <tr r="U312" s="50"/>
        <tr r="U312" s="50"/>
      </tp>
      <tp t="s">
        <v>#N/A N/A</v>
        <stp/>
        <stp>BDP|330465535566902489</stp>
        <tr r="AD261" s="50"/>
        <tr r="AD261" s="50"/>
      </tp>
      <tp t="s">
        <v>#N/A N/A</v>
        <stp/>
        <stp>BDP|482211777436439785</stp>
        <tr r="AD278" s="50"/>
        <tr r="AD278" s="50"/>
      </tp>
      <tp t="s">
        <v>#N/A N/A</v>
        <stp/>
        <stp>BDP|409470435713555082</stp>
        <tr r="AD296" s="50"/>
        <tr r="AD296" s="50"/>
      </tp>
      <tp t="s">
        <v>#N/A N/A</v>
        <stp/>
        <stp>BDP|684151446726969797</stp>
        <tr r="AD107" s="50"/>
        <tr r="AD107" s="50"/>
      </tp>
      <tp t="s">
        <v>#N/A N/A</v>
        <stp/>
        <stp>BDP|191744303213386031</stp>
        <tr r="AD48" s="50"/>
        <tr r="AD48" s="50"/>
      </tp>
      <tp t="s">
        <v>#N/A N/A</v>
        <stp/>
        <stp>BDP|307002829855574384</stp>
        <tr r="AD40" s="50"/>
        <tr r="AD40" s="50"/>
      </tp>
      <tp t="s">
        <v>#N/A N/A</v>
        <stp/>
        <stp>BDP|465179615925483264</stp>
        <tr r="U107" s="50"/>
        <tr r="U107" s="50"/>
      </tp>
      <tp t="s">
        <v>#N/A N/A</v>
        <stp/>
        <stp>BDP|743294001907129310</stp>
        <tr r="U268" s="50"/>
        <tr r="U268" s="50"/>
      </tp>
      <tp t="s">
        <v>#N/A N/A</v>
        <stp/>
        <stp>BDP|400392748854454576</stp>
        <tr r="AD324" s="50"/>
        <tr r="AD324" s="50"/>
      </tp>
      <tp t="s">
        <v>#N/A N/A</v>
        <stp/>
        <stp>BDP|183598713773133403</stp>
        <tr r="U286" s="50"/>
        <tr r="U286" s="50"/>
      </tp>
      <tp t="s">
        <v>#N/A N/A</v>
        <stp/>
        <stp>BDP|154829877404982772</stp>
        <tr r="U287" s="50"/>
        <tr r="U287" s="50"/>
      </tp>
      <tp t="s">
        <v>#N/A N/A</v>
        <stp/>
        <stp>BDP|598629203037861945</stp>
        <tr r="U263" s="50"/>
        <tr r="U263" s="50"/>
      </tp>
      <tp t="s">
        <v>#N/A N/A</v>
        <stp/>
        <stp>BDP|544650840392217881</stp>
        <tr r="AD57" s="50"/>
        <tr r="AD57" s="50"/>
      </tp>
      <tp t="s">
        <v>#N/A N/A</v>
        <stp/>
        <stp>BDP|923273718933749819</stp>
        <tr r="U122" s="50"/>
        <tr r="U122" s="50"/>
      </tp>
      <tp t="s">
        <v>#N/A N/A</v>
        <stp/>
        <stp>BDP|162636676031442824</stp>
        <tr r="U48" s="50"/>
      </tp>
      <tp t="s">
        <v>#N/A N/A</v>
        <stp/>
        <stp>BDP|268784980947826314</stp>
        <tr r="U308" s="50"/>
        <tr r="U308" s="50"/>
      </tp>
      <tp t="s">
        <v>#N/A N/A</v>
        <stp/>
        <stp>BDP|630651665472136831</stp>
        <tr r="U46" s="5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38100</xdr:rowOff>
        </xdr:from>
        <xdr:to>
          <xdr:col>3</xdr:col>
          <xdr:colOff>1419225</xdr:colOff>
          <xdr:row>5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(Un)Hide Input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</xdr:row>
          <xdr:rowOff>28575</xdr:rowOff>
        </xdr:from>
        <xdr:to>
          <xdr:col>0</xdr:col>
          <xdr:colOff>381000</xdr:colOff>
          <xdr:row>4</xdr:row>
          <xdr:rowOff>200025</xdr:rowOff>
        </xdr:to>
        <xdr:sp macro="" textlink="">
          <xdr:nvSpPr>
            <xdr:cNvPr id="2054" name="CheckBox_CheckBusinessDa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7</xdr:row>
          <xdr:rowOff>19050</xdr:rowOff>
        </xdr:from>
        <xdr:to>
          <xdr:col>0</xdr:col>
          <xdr:colOff>381000</xdr:colOff>
          <xdr:row>7</xdr:row>
          <xdr:rowOff>190500</xdr:rowOff>
        </xdr:to>
        <xdr:sp macro="" textlink="">
          <xdr:nvSpPr>
            <xdr:cNvPr id="2055" name="CheckBox_CheckDataUpToDat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12</xdr:row>
          <xdr:rowOff>28575</xdr:rowOff>
        </xdr:from>
        <xdr:to>
          <xdr:col>0</xdr:col>
          <xdr:colOff>381000</xdr:colOff>
          <xdr:row>12</xdr:row>
          <xdr:rowOff>200025</xdr:rowOff>
        </xdr:to>
        <xdr:sp macro="" textlink="">
          <xdr:nvSpPr>
            <xdr:cNvPr id="2056" name="CheckBox_Sav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9</xdr:row>
          <xdr:rowOff>28575</xdr:rowOff>
        </xdr:from>
        <xdr:to>
          <xdr:col>0</xdr:col>
          <xdr:colOff>381000</xdr:colOff>
          <xdr:row>9</xdr:row>
          <xdr:rowOff>200025</xdr:rowOff>
        </xdr:to>
        <xdr:sp macro="" textlink="">
          <xdr:nvSpPr>
            <xdr:cNvPr id="2057" name="CheckBox_ExportData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13</xdr:row>
          <xdr:rowOff>28575</xdr:rowOff>
        </xdr:from>
        <xdr:to>
          <xdr:col>0</xdr:col>
          <xdr:colOff>381000</xdr:colOff>
          <xdr:row>13</xdr:row>
          <xdr:rowOff>200025</xdr:rowOff>
        </xdr:to>
        <xdr:sp macro="" textlink="">
          <xdr:nvSpPr>
            <xdr:cNvPr id="2058" name="CheckBox_CloseFil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57150</xdr:rowOff>
        </xdr:from>
        <xdr:to>
          <xdr:col>1</xdr:col>
          <xdr:colOff>1143000</xdr:colOff>
          <xdr:row>0</xdr:row>
          <xdr:rowOff>304800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0</xdr:rowOff>
        </xdr:from>
        <xdr:to>
          <xdr:col>0</xdr:col>
          <xdr:colOff>438150</xdr:colOff>
          <xdr:row>4</xdr:row>
          <xdr:rowOff>9525</xdr:rowOff>
        </xdr:to>
        <xdr:sp macro="" textlink="">
          <xdr:nvSpPr>
            <xdr:cNvPr id="2061" name="CheckBox_Autostart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11</xdr:row>
          <xdr:rowOff>19050</xdr:rowOff>
        </xdr:from>
        <xdr:to>
          <xdr:col>0</xdr:col>
          <xdr:colOff>381000</xdr:colOff>
          <xdr:row>11</xdr:row>
          <xdr:rowOff>190500</xdr:rowOff>
        </xdr:to>
        <xdr:sp macro="" textlink="">
          <xdr:nvSpPr>
            <xdr:cNvPr id="2067" name="CheckBox_MailGlobalStatu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19050</xdr:rowOff>
        </xdr:from>
        <xdr:to>
          <xdr:col>0</xdr:col>
          <xdr:colOff>381000</xdr:colOff>
          <xdr:row>2</xdr:row>
          <xdr:rowOff>190500</xdr:rowOff>
        </xdr:to>
        <xdr:sp macro="" textlink="">
          <xdr:nvSpPr>
            <xdr:cNvPr id="2068" name="CheckBox_CheckLibrarie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5</xdr:row>
          <xdr:rowOff>28575</xdr:rowOff>
        </xdr:from>
        <xdr:to>
          <xdr:col>0</xdr:col>
          <xdr:colOff>381000</xdr:colOff>
          <xdr:row>5</xdr:row>
          <xdr:rowOff>200025</xdr:rowOff>
        </xdr:to>
        <xdr:sp macro="" textlink="">
          <xdr:nvSpPr>
            <xdr:cNvPr id="2069" name="CheckBox_DeleteFormulas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19050</xdr:rowOff>
        </xdr:from>
        <xdr:to>
          <xdr:col>0</xdr:col>
          <xdr:colOff>381000</xdr:colOff>
          <xdr:row>6</xdr:row>
          <xdr:rowOff>190500</xdr:rowOff>
        </xdr:to>
        <xdr:sp macro="" textlink="">
          <xdr:nvSpPr>
            <xdr:cNvPr id="2070" name="CheckBox_CopyFormulas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Internal%20Gateway\Applications\Transformers\BRF.PerformancesBeta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dure"/>
      <sheetName val="Control"/>
      <sheetName val="Parameters"/>
      <sheetName val="Synthesis"/>
      <sheetName val="OutputALU"/>
      <sheetName val="InputALU"/>
      <sheetName val="OutputREV"/>
      <sheetName val="InputREV"/>
      <sheetName val="OutputCOM"/>
      <sheetName val="InputCOM"/>
      <sheetName val="OutputCGE"/>
      <sheetName val="InputCGE"/>
      <sheetName val="OutputLWR"/>
      <sheetName val="InputLWR"/>
      <sheetName val="OutputRVG"/>
      <sheetName val="InputRVG"/>
      <sheetName val="OutputPMM"/>
      <sheetName val="InputPMM"/>
      <sheetName val="OutDataba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F4">
            <v>43921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Feathered">
  <a:themeElements>
    <a:clrScheme name="iW Partners">
      <a:dk1>
        <a:srgbClr val="4A4D52"/>
      </a:dk1>
      <a:lt1>
        <a:srgbClr val="E4E6E8"/>
      </a:lt1>
      <a:dk2>
        <a:srgbClr val="687078"/>
      </a:dk2>
      <a:lt2>
        <a:srgbClr val="C6D1D7"/>
      </a:lt2>
      <a:accent1>
        <a:srgbClr val="FAC500"/>
      </a:accent1>
      <a:accent2>
        <a:srgbClr val="F59C00"/>
      </a:accent2>
      <a:accent3>
        <a:srgbClr val="D33D0F"/>
      </a:accent3>
      <a:accent4>
        <a:srgbClr val="901A37"/>
      </a:accent4>
      <a:accent5>
        <a:srgbClr val="559172"/>
      </a:accent5>
      <a:accent6>
        <a:srgbClr val="4A66AC"/>
      </a:accent6>
      <a:hlink>
        <a:srgbClr val="0563C1"/>
      </a:hlink>
      <a:folHlink>
        <a:srgbClr val="954F72"/>
      </a:folHlink>
    </a:clrScheme>
    <a:fontScheme name="Feathered">
      <a:majorFont>
        <a:latin typeface="Century Schoolbook" panose="02040604050505020304"/>
        <a:ea typeface=""/>
        <a:cs typeface=""/>
        <a:font script="Jpan" typeface="メイリオ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0" tint="-0.499984740745262"/>
    <pageSetUpPr fitToPage="1"/>
  </sheetPr>
  <dimension ref="A1:F9"/>
  <sheetViews>
    <sheetView zoomScale="75" zoomScaleNormal="75" workbookViewId="0">
      <selection activeCell="D1" sqref="D1"/>
    </sheetView>
  </sheetViews>
  <sheetFormatPr defaultColWidth="9.140625" defaultRowHeight="15"/>
  <cols>
    <col min="1" max="1" width="2.42578125" style="28" customWidth="1"/>
    <col min="2" max="2" width="31.140625" style="30" bestFit="1" customWidth="1"/>
    <col min="3" max="3" width="2.5703125" style="30" customWidth="1"/>
    <col min="4" max="4" width="22.7109375" style="30" customWidth="1"/>
    <col min="5" max="5" width="26" style="30" bestFit="1" customWidth="1"/>
    <col min="6" max="6" width="59.28515625" style="30" bestFit="1" customWidth="1"/>
    <col min="7" max="16384" width="9.140625" style="30"/>
  </cols>
  <sheetData>
    <row r="1" spans="1:6">
      <c r="B1" s="29" t="s">
        <v>100</v>
      </c>
      <c r="D1" s="38">
        <f ca="1">TODAY()</f>
        <v>44776</v>
      </c>
    </row>
    <row r="2" spans="1:6" ht="15.75" thickBot="1"/>
    <row r="3" spans="1:6" ht="16.5" thickTop="1" thickBot="1">
      <c r="B3" s="46" t="s">
        <v>115</v>
      </c>
      <c r="C3" s="47"/>
      <c r="D3" s="47"/>
      <c r="E3" s="47"/>
      <c r="F3" s="48"/>
    </row>
    <row r="4" spans="1:6" ht="15.75" thickTop="1">
      <c r="B4" s="31" t="s">
        <v>103</v>
      </c>
      <c r="C4" s="39"/>
      <c r="D4" s="39"/>
      <c r="E4" s="39"/>
      <c r="F4" s="32"/>
    </row>
    <row r="5" spans="1:6" ht="5.0999999999999996" customHeight="1">
      <c r="B5" s="31"/>
      <c r="C5" s="39"/>
      <c r="D5" s="39"/>
      <c r="E5" s="39"/>
      <c r="F5" s="32"/>
    </row>
    <row r="6" spans="1:6" ht="24.95" customHeight="1">
      <c r="A6" s="28" t="s">
        <v>104</v>
      </c>
      <c r="B6" s="33" t="s">
        <v>101</v>
      </c>
      <c r="C6" s="39"/>
      <c r="D6" s="39"/>
      <c r="E6" s="39"/>
      <c r="F6" s="32" t="s">
        <v>102</v>
      </c>
    </row>
    <row r="7" spans="1:6">
      <c r="B7" s="31"/>
      <c r="C7" s="39"/>
      <c r="D7" s="39"/>
      <c r="E7" s="39"/>
      <c r="F7" s="32"/>
    </row>
    <row r="8" spans="1:6" ht="15.75" thickBot="1">
      <c r="B8" s="36"/>
      <c r="C8" s="34"/>
      <c r="D8" s="34"/>
      <c r="E8" s="34"/>
      <c r="F8" s="35"/>
    </row>
    <row r="9" spans="1:6" ht="15.75" thickTop="1"/>
  </sheetData>
  <mergeCells count="1">
    <mergeCell ref="B3:F3"/>
  </mergeCells>
  <pageMargins left="0.70866141732283472" right="0.70866141732283472" top="0.74803149606299213" bottom="0.74803149606299213" header="0.31496062992125984" footer="0.31496062992125984"/>
  <pageSetup paperSize="9"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HideInputSheets">
                <anchor moveWithCells="1" sizeWithCells="1">
                  <from>
                    <xdr:col>3</xdr:col>
                    <xdr:colOff>19050</xdr:colOff>
                    <xdr:row>5</xdr:row>
                    <xdr:rowOff>38100</xdr:rowOff>
                  </from>
                  <to>
                    <xdr:col>3</xdr:col>
                    <xdr:colOff>1419225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D20"/>
  <sheetViews>
    <sheetView zoomScaleNormal="100" workbookViewId="0">
      <selection activeCell="A4" sqref="A4"/>
    </sheetView>
  </sheetViews>
  <sheetFormatPr defaultColWidth="8.85546875" defaultRowHeight="15"/>
  <cols>
    <col min="1" max="1" width="9.7109375" style="1" bestFit="1" customWidth="1"/>
    <col min="2" max="2" width="17.28515625" style="1" customWidth="1"/>
    <col min="3" max="3" width="16.140625" style="1" bestFit="1" customWidth="1"/>
    <col min="4" max="4" width="67.28515625" style="1" customWidth="1"/>
    <col min="5" max="16384" width="8.85546875" style="1"/>
  </cols>
  <sheetData>
    <row r="1" spans="1:4" ht="27" customHeight="1"/>
    <row r="2" spans="1:4" s="4" customFormat="1">
      <c r="A2" s="41" t="s">
        <v>16</v>
      </c>
      <c r="B2" s="41" t="s">
        <v>17</v>
      </c>
      <c r="C2" s="41" t="s">
        <v>18</v>
      </c>
      <c r="D2" s="41" t="s">
        <v>19</v>
      </c>
    </row>
    <row r="3" spans="1:4" ht="16.899999999999999" customHeight="1">
      <c r="A3" s="5"/>
      <c r="B3" s="6"/>
      <c r="C3" s="6" t="s">
        <v>15</v>
      </c>
      <c r="D3" s="5" t="s">
        <v>89</v>
      </c>
    </row>
    <row r="4" spans="1:4" ht="16.899999999999999" customHeight="1">
      <c r="A4" s="5"/>
      <c r="B4" s="6"/>
      <c r="C4" s="6" t="s">
        <v>15</v>
      </c>
      <c r="D4" s="5" t="s">
        <v>20</v>
      </c>
    </row>
    <row r="5" spans="1:4" ht="16.899999999999999" customHeight="1">
      <c r="A5" s="5"/>
      <c r="B5" s="6" t="s">
        <v>3</v>
      </c>
      <c r="C5" s="6" t="s">
        <v>10</v>
      </c>
      <c r="D5" s="5" t="s">
        <v>1</v>
      </c>
    </row>
    <row r="6" spans="1:4" ht="16.899999999999999" customHeight="1">
      <c r="A6" s="5"/>
      <c r="B6" s="6" t="s">
        <v>4</v>
      </c>
      <c r="C6" s="6" t="s">
        <v>10</v>
      </c>
      <c r="D6" s="5" t="s">
        <v>2</v>
      </c>
    </row>
    <row r="7" spans="1:4" ht="16.899999999999999" customHeight="1">
      <c r="A7" s="5"/>
      <c r="B7" s="6" t="s">
        <v>5</v>
      </c>
      <c r="C7" s="6" t="s">
        <v>10</v>
      </c>
      <c r="D7" s="5" t="s">
        <v>9</v>
      </c>
    </row>
    <row r="8" spans="1:4" ht="16.899999999999999" customHeight="1">
      <c r="A8" s="5"/>
      <c r="B8" s="6" t="s">
        <v>6</v>
      </c>
      <c r="C8" s="6" t="s">
        <v>10</v>
      </c>
      <c r="D8" s="5" t="s">
        <v>44</v>
      </c>
    </row>
    <row r="9" spans="1:4" ht="16.899999999999999" customHeight="1">
      <c r="A9" s="5"/>
      <c r="B9" s="6" t="s">
        <v>7</v>
      </c>
      <c r="C9" s="6" t="s">
        <v>11</v>
      </c>
      <c r="D9" s="5" t="s">
        <v>12</v>
      </c>
    </row>
    <row r="10" spans="1:4" ht="16.899999999999999" customHeight="1">
      <c r="A10" s="5"/>
      <c r="B10" s="6" t="s">
        <v>8</v>
      </c>
      <c r="C10" s="6" t="s">
        <v>11</v>
      </c>
      <c r="D10" s="5" t="s">
        <v>14</v>
      </c>
    </row>
    <row r="11" spans="1:4" ht="16.899999999999999" customHeight="1">
      <c r="A11" s="5"/>
      <c r="B11" s="6" t="s">
        <v>13</v>
      </c>
      <c r="C11" s="6" t="s">
        <v>10</v>
      </c>
      <c r="D11" s="5" t="s">
        <v>35</v>
      </c>
    </row>
    <row r="12" spans="1:4" ht="16.899999999999999" customHeight="1">
      <c r="A12" s="5"/>
      <c r="B12" s="6"/>
      <c r="C12" s="6" t="s">
        <v>15</v>
      </c>
      <c r="D12" s="5" t="s">
        <v>45</v>
      </c>
    </row>
    <row r="13" spans="1:4" ht="16.899999999999999" customHeight="1">
      <c r="A13" s="5"/>
      <c r="B13" s="6"/>
      <c r="C13" s="6" t="s">
        <v>15</v>
      </c>
      <c r="D13" s="5" t="s">
        <v>0</v>
      </c>
    </row>
    <row r="14" spans="1:4" s="3" customFormat="1" ht="16.899999999999999" customHeight="1">
      <c r="A14" s="7"/>
      <c r="B14" s="6"/>
      <c r="C14" s="6" t="s">
        <v>15</v>
      </c>
      <c r="D14" s="7" t="s">
        <v>36</v>
      </c>
    </row>
    <row r="20" spans="4:4">
      <c r="D20" s="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8" r:id="rId4" name="CheckBox_CheckLibraries">
          <controlPr defaultSize="0" autoLine="0" r:id="rId5">
            <anchor moveWithCells="1">
              <from>
                <xdr:col>0</xdr:col>
                <xdr:colOff>200025</xdr:colOff>
                <xdr:row>2</xdr:row>
                <xdr:rowOff>19050</xdr:rowOff>
              </from>
              <to>
                <xdr:col>0</xdr:col>
                <xdr:colOff>381000</xdr:colOff>
                <xdr:row>2</xdr:row>
                <xdr:rowOff>190500</xdr:rowOff>
              </to>
            </anchor>
          </controlPr>
        </control>
      </mc:Choice>
      <mc:Fallback>
        <control shapeId="2068" r:id="rId4" name="CheckBox_CheckLibraries"/>
      </mc:Fallback>
    </mc:AlternateContent>
    <mc:AlternateContent xmlns:mc="http://schemas.openxmlformats.org/markup-compatibility/2006">
      <mc:Choice Requires="x14">
        <control shapeId="2067" r:id="rId6" name="CheckBox_MailGlobalStatus">
          <controlPr defaultSize="0" autoLine="0" r:id="rId7">
            <anchor moveWithCells="1">
              <from>
                <xdr:col>0</xdr:col>
                <xdr:colOff>200025</xdr:colOff>
                <xdr:row>11</xdr:row>
                <xdr:rowOff>19050</xdr:rowOff>
              </from>
              <to>
                <xdr:col>0</xdr:col>
                <xdr:colOff>381000</xdr:colOff>
                <xdr:row>11</xdr:row>
                <xdr:rowOff>190500</xdr:rowOff>
              </to>
            </anchor>
          </controlPr>
        </control>
      </mc:Choice>
      <mc:Fallback>
        <control shapeId="2067" r:id="rId6" name="CheckBox_MailGlobalStatus"/>
      </mc:Fallback>
    </mc:AlternateContent>
    <mc:AlternateContent xmlns:mc="http://schemas.openxmlformats.org/markup-compatibility/2006">
      <mc:Choice Requires="x14">
        <control shapeId="2061" r:id="rId8" name="CheckBox_Autostart">
          <controlPr defaultSize="0" autoLine="0" r:id="rId9">
            <anchor moveWithCells="1">
              <from>
                <xdr:col>0</xdr:col>
                <xdr:colOff>200025</xdr:colOff>
                <xdr:row>3</xdr:row>
                <xdr:rowOff>0</xdr:rowOff>
              </from>
              <to>
                <xdr:col>0</xdr:col>
                <xdr:colOff>438150</xdr:colOff>
                <xdr:row>4</xdr:row>
                <xdr:rowOff>9525</xdr:rowOff>
              </to>
            </anchor>
          </controlPr>
        </control>
      </mc:Choice>
      <mc:Fallback>
        <control shapeId="2061" r:id="rId8" name="CheckBox_Autostart"/>
      </mc:Fallback>
    </mc:AlternateContent>
    <mc:AlternateContent xmlns:mc="http://schemas.openxmlformats.org/markup-compatibility/2006">
      <mc:Choice Requires="x14">
        <control shapeId="2058" r:id="rId10" name="CheckBox_CloseFile">
          <controlPr defaultSize="0" autoLine="0" r:id="rId5">
            <anchor moveWithCells="1">
              <from>
                <xdr:col>0</xdr:col>
                <xdr:colOff>200025</xdr:colOff>
                <xdr:row>13</xdr:row>
                <xdr:rowOff>28575</xdr:rowOff>
              </from>
              <to>
                <xdr:col>0</xdr:col>
                <xdr:colOff>381000</xdr:colOff>
                <xdr:row>13</xdr:row>
                <xdr:rowOff>200025</xdr:rowOff>
              </to>
            </anchor>
          </controlPr>
        </control>
      </mc:Choice>
      <mc:Fallback>
        <control shapeId="2058" r:id="rId10" name="CheckBox_CloseFile"/>
      </mc:Fallback>
    </mc:AlternateContent>
    <mc:AlternateContent xmlns:mc="http://schemas.openxmlformats.org/markup-compatibility/2006">
      <mc:Choice Requires="x14">
        <control shapeId="2054" r:id="rId11" name="CheckBox_CheckBusinessDay">
          <controlPr defaultSize="0" autoLine="0" r:id="rId5">
            <anchor moveWithCells="1">
              <from>
                <xdr:col>0</xdr:col>
                <xdr:colOff>200025</xdr:colOff>
                <xdr:row>4</xdr:row>
                <xdr:rowOff>28575</xdr:rowOff>
              </from>
              <to>
                <xdr:col>0</xdr:col>
                <xdr:colOff>381000</xdr:colOff>
                <xdr:row>4</xdr:row>
                <xdr:rowOff>200025</xdr:rowOff>
              </to>
            </anchor>
          </controlPr>
        </control>
      </mc:Choice>
      <mc:Fallback>
        <control shapeId="2054" r:id="rId11" name="CheckBox_CheckBusinessDay"/>
      </mc:Fallback>
    </mc:AlternateContent>
    <mc:AlternateContent xmlns:mc="http://schemas.openxmlformats.org/markup-compatibility/2006">
      <mc:Choice Requires="x14">
        <control shapeId="2055" r:id="rId12" name="CheckBox_CheckDataUpToDate">
          <controlPr defaultSize="0" autoLine="0" r:id="rId7">
            <anchor moveWithCells="1">
              <from>
                <xdr:col>0</xdr:col>
                <xdr:colOff>200025</xdr:colOff>
                <xdr:row>7</xdr:row>
                <xdr:rowOff>19050</xdr:rowOff>
              </from>
              <to>
                <xdr:col>0</xdr:col>
                <xdr:colOff>381000</xdr:colOff>
                <xdr:row>7</xdr:row>
                <xdr:rowOff>190500</xdr:rowOff>
              </to>
            </anchor>
          </controlPr>
        </control>
      </mc:Choice>
      <mc:Fallback>
        <control shapeId="2055" r:id="rId12" name="CheckBox_CheckDataUpToDate"/>
      </mc:Fallback>
    </mc:AlternateContent>
    <mc:AlternateContent xmlns:mc="http://schemas.openxmlformats.org/markup-compatibility/2006">
      <mc:Choice Requires="x14">
        <control shapeId="2056" r:id="rId13" name="CheckBox_SaveFile">
          <controlPr defaultSize="0" autoLine="0" r:id="rId5">
            <anchor moveWithCells="1">
              <from>
                <xdr:col>0</xdr:col>
                <xdr:colOff>200025</xdr:colOff>
                <xdr:row>12</xdr:row>
                <xdr:rowOff>28575</xdr:rowOff>
              </from>
              <to>
                <xdr:col>0</xdr:col>
                <xdr:colOff>381000</xdr:colOff>
                <xdr:row>12</xdr:row>
                <xdr:rowOff>200025</xdr:rowOff>
              </to>
            </anchor>
          </controlPr>
        </control>
      </mc:Choice>
      <mc:Fallback>
        <control shapeId="2056" r:id="rId13" name="CheckBox_SaveFile"/>
      </mc:Fallback>
    </mc:AlternateContent>
    <mc:AlternateContent xmlns:mc="http://schemas.openxmlformats.org/markup-compatibility/2006">
      <mc:Choice Requires="x14">
        <control shapeId="2057" r:id="rId14" name="CheckBox_ExportData">
          <controlPr defaultSize="0" autoLine="0" r:id="rId5">
            <anchor moveWithCells="1">
              <from>
                <xdr:col>0</xdr:col>
                <xdr:colOff>200025</xdr:colOff>
                <xdr:row>9</xdr:row>
                <xdr:rowOff>28575</xdr:rowOff>
              </from>
              <to>
                <xdr:col>0</xdr:col>
                <xdr:colOff>381000</xdr:colOff>
                <xdr:row>9</xdr:row>
                <xdr:rowOff>200025</xdr:rowOff>
              </to>
            </anchor>
          </controlPr>
        </control>
      </mc:Choice>
      <mc:Fallback>
        <control shapeId="2057" r:id="rId14" name="CheckBox_ExportData"/>
      </mc:Fallback>
    </mc:AlternateContent>
    <mc:AlternateContent xmlns:mc="http://schemas.openxmlformats.org/markup-compatibility/2006">
      <mc:Choice Requires="x14">
        <control shapeId="2069" r:id="rId15" name="CheckBox_DeleteFormulas">
          <controlPr defaultSize="0" autoLine="0" r:id="rId5">
            <anchor moveWithCells="1">
              <from>
                <xdr:col>0</xdr:col>
                <xdr:colOff>200025</xdr:colOff>
                <xdr:row>5</xdr:row>
                <xdr:rowOff>28575</xdr:rowOff>
              </from>
              <to>
                <xdr:col>0</xdr:col>
                <xdr:colOff>381000</xdr:colOff>
                <xdr:row>5</xdr:row>
                <xdr:rowOff>200025</xdr:rowOff>
              </to>
            </anchor>
          </controlPr>
        </control>
      </mc:Choice>
      <mc:Fallback>
        <control shapeId="2069" r:id="rId15" name="CheckBox_DeleteFormulas"/>
      </mc:Fallback>
    </mc:AlternateContent>
    <mc:AlternateContent xmlns:mc="http://schemas.openxmlformats.org/markup-compatibility/2006">
      <mc:Choice Requires="x14">
        <control shapeId="2070" r:id="rId16" name="CheckBox_CopyFormulas">
          <controlPr defaultSize="0" autoLine="0" r:id="rId5">
            <anchor moveWithCells="1">
              <from>
                <xdr:col>0</xdr:col>
                <xdr:colOff>200025</xdr:colOff>
                <xdr:row>6</xdr:row>
                <xdr:rowOff>19050</xdr:rowOff>
              </from>
              <to>
                <xdr:col>0</xdr:col>
                <xdr:colOff>381000</xdr:colOff>
                <xdr:row>6</xdr:row>
                <xdr:rowOff>190500</xdr:rowOff>
              </to>
            </anchor>
          </controlPr>
        </control>
      </mc:Choice>
      <mc:Fallback>
        <control shapeId="2070" r:id="rId16" name="CheckBox_CopyFormulas"/>
      </mc:Fallback>
    </mc:AlternateContent>
    <mc:AlternateContent xmlns:mc="http://schemas.openxmlformats.org/markup-compatibility/2006">
      <mc:Choice Requires="x14">
        <control shapeId="2060" r:id="rId17" name="Button 12">
          <controlPr defaultSize="0" print="0" autoFill="0" autoPict="0" macro="[0]!Control">
            <anchor moveWithCells="1" siz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1143000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6EA92D"/>
  </sheetPr>
  <dimension ref="A1:E45"/>
  <sheetViews>
    <sheetView zoomScaleNormal="100" workbookViewId="0">
      <pane xSplit="3" ySplit="1" topLeftCell="E2" activePane="bottomRight" state="frozen"/>
      <selection pane="topRight" activeCell="D1" sqref="D1"/>
      <selection pane="bottomLeft" activeCell="A2" sqref="A2"/>
      <selection pane="bottomRight" activeCell="E2" sqref="E2"/>
    </sheetView>
  </sheetViews>
  <sheetFormatPr defaultColWidth="8.85546875" defaultRowHeight="15"/>
  <cols>
    <col min="1" max="1" width="42.85546875" style="1" bestFit="1" customWidth="1"/>
    <col min="2" max="2" width="61.140625" style="1" customWidth="1"/>
    <col min="3" max="3" width="15.7109375" style="2" customWidth="1"/>
    <col min="4" max="5" width="15.7109375" style="18" customWidth="1"/>
    <col min="6" max="16384" width="8.85546875" style="1"/>
  </cols>
  <sheetData>
    <row r="1" spans="1:5" s="9" customFormat="1">
      <c r="A1" s="15"/>
      <c r="B1" s="15"/>
      <c r="C1" s="15" t="s">
        <v>34</v>
      </c>
      <c r="D1" s="16" t="s">
        <v>46</v>
      </c>
      <c r="E1" s="16" t="s">
        <v>164</v>
      </c>
    </row>
    <row r="2" spans="1:5" s="3" customFormat="1">
      <c r="A2" s="22" t="s">
        <v>106</v>
      </c>
      <c r="B2" s="22"/>
      <c r="C2" s="23"/>
      <c r="D2" s="24"/>
      <c r="E2" s="24"/>
    </row>
    <row r="3" spans="1:5" s="10" customFormat="1" ht="36">
      <c r="A3" s="13" t="s">
        <v>107</v>
      </c>
      <c r="B3" s="14" t="s">
        <v>108</v>
      </c>
      <c r="C3" s="21"/>
      <c r="D3" s="26" t="s">
        <v>110</v>
      </c>
      <c r="E3" s="20"/>
    </row>
    <row r="4" spans="1:5" s="3" customFormat="1">
      <c r="A4" s="22" t="s">
        <v>51</v>
      </c>
      <c r="B4" s="22"/>
      <c r="C4" s="23"/>
      <c r="D4" s="24"/>
      <c r="E4" s="24"/>
    </row>
    <row r="5" spans="1:5" s="10" customFormat="1" ht="24">
      <c r="A5" s="13" t="s">
        <v>52</v>
      </c>
      <c r="B5" s="14" t="s">
        <v>72</v>
      </c>
      <c r="C5" s="21" t="s">
        <v>95</v>
      </c>
      <c r="D5" s="26"/>
      <c r="E5" s="20"/>
    </row>
    <row r="6" spans="1:5" s="10" customFormat="1" ht="36">
      <c r="A6" s="13" t="s">
        <v>53</v>
      </c>
      <c r="B6" s="14" t="s">
        <v>54</v>
      </c>
      <c r="C6" s="21" t="s">
        <v>55</v>
      </c>
      <c r="D6" s="26"/>
      <c r="E6" s="20"/>
    </row>
    <row r="7" spans="1:5" s="10" customFormat="1" ht="24">
      <c r="A7" s="13" t="s">
        <v>56</v>
      </c>
      <c r="B7" s="14" t="s">
        <v>88</v>
      </c>
      <c r="C7" s="21" t="b">
        <v>0</v>
      </c>
      <c r="D7" s="26"/>
      <c r="E7" s="20"/>
    </row>
    <row r="8" spans="1:5" s="3" customFormat="1">
      <c r="A8" s="22" t="s">
        <v>57</v>
      </c>
      <c r="B8" s="22"/>
      <c r="C8" s="23"/>
      <c r="D8" s="24"/>
      <c r="E8" s="24"/>
    </row>
    <row r="9" spans="1:5" s="10" customFormat="1" ht="24">
      <c r="A9" s="13" t="s">
        <v>59</v>
      </c>
      <c r="B9" s="14" t="s">
        <v>73</v>
      </c>
      <c r="C9" s="25" t="s">
        <v>49</v>
      </c>
      <c r="D9" s="20"/>
      <c r="E9" s="27"/>
    </row>
    <row r="10" spans="1:5" s="10" customFormat="1" ht="24">
      <c r="A10" s="13" t="s">
        <v>60</v>
      </c>
      <c r="B10" s="14" t="s">
        <v>74</v>
      </c>
      <c r="C10" s="25" t="s">
        <v>50</v>
      </c>
      <c r="D10" s="20"/>
      <c r="E10" s="27" t="s">
        <v>163</v>
      </c>
    </row>
    <row r="11" spans="1:5" s="3" customFormat="1">
      <c r="A11" s="22" t="s">
        <v>40</v>
      </c>
      <c r="B11" s="22"/>
      <c r="C11" s="23"/>
      <c r="D11" s="24"/>
      <c r="E11" s="24"/>
    </row>
    <row r="12" spans="1:5" s="10" customFormat="1" ht="36">
      <c r="A12" s="13" t="s">
        <v>113</v>
      </c>
      <c r="B12" s="14" t="s">
        <v>98</v>
      </c>
      <c r="C12" s="21" t="s">
        <v>33</v>
      </c>
      <c r="D12" s="17"/>
      <c r="E12" s="26"/>
    </row>
    <row r="13" spans="1:5" s="10" customFormat="1" ht="36">
      <c r="A13" s="13" t="s">
        <v>97</v>
      </c>
      <c r="B13" s="14" t="s">
        <v>99</v>
      </c>
      <c r="C13" s="21" t="s">
        <v>33</v>
      </c>
      <c r="D13" s="17"/>
      <c r="E13" s="26"/>
    </row>
    <row r="14" spans="1:5" s="10" customFormat="1" ht="24">
      <c r="A14" s="13" t="s">
        <v>22</v>
      </c>
      <c r="B14" s="14" t="s">
        <v>38</v>
      </c>
      <c r="C14" s="21"/>
      <c r="D14" s="17"/>
      <c r="E14" s="26"/>
    </row>
    <row r="15" spans="1:5" s="10" customFormat="1" ht="24">
      <c r="A15" s="13" t="s">
        <v>23</v>
      </c>
      <c r="B15" s="14" t="s">
        <v>39</v>
      </c>
      <c r="C15" s="21"/>
      <c r="D15" s="17"/>
      <c r="E15" s="26"/>
    </row>
    <row r="16" spans="1:5" s="10" customFormat="1" ht="24">
      <c r="A16" s="13" t="s">
        <v>24</v>
      </c>
      <c r="B16" s="14" t="s">
        <v>75</v>
      </c>
      <c r="C16" s="21" t="s">
        <v>33</v>
      </c>
      <c r="D16" s="17"/>
      <c r="E16" s="26"/>
    </row>
    <row r="17" spans="1:5" s="10" customFormat="1" ht="24">
      <c r="A17" s="13" t="s">
        <v>25</v>
      </c>
      <c r="B17" s="14" t="s">
        <v>39</v>
      </c>
      <c r="C17" s="21"/>
      <c r="D17" s="17"/>
      <c r="E17" s="26"/>
    </row>
    <row r="18" spans="1:5" s="10" customFormat="1" ht="48">
      <c r="A18" s="13" t="s">
        <v>37</v>
      </c>
      <c r="B18" s="14" t="s">
        <v>87</v>
      </c>
      <c r="C18" s="21" t="s">
        <v>105</v>
      </c>
      <c r="D18" s="17"/>
      <c r="E18" s="26"/>
    </row>
    <row r="19" spans="1:5" s="10" customFormat="1" ht="24">
      <c r="A19" s="13" t="s">
        <v>26</v>
      </c>
      <c r="B19" s="14" t="s">
        <v>76</v>
      </c>
      <c r="C19" s="21">
        <v>1</v>
      </c>
      <c r="D19" s="17"/>
      <c r="E19" s="26"/>
    </row>
    <row r="20" spans="1:5" s="10" customFormat="1" ht="24">
      <c r="A20" s="13" t="s">
        <v>27</v>
      </c>
      <c r="B20" s="14" t="s">
        <v>77</v>
      </c>
      <c r="C20" s="21">
        <v>2</v>
      </c>
      <c r="D20" s="17"/>
      <c r="E20" s="26"/>
    </row>
    <row r="21" spans="1:5" s="10" customFormat="1" ht="24">
      <c r="A21" s="13" t="s">
        <v>114</v>
      </c>
      <c r="B21" s="14" t="s">
        <v>78</v>
      </c>
      <c r="C21" s="21">
        <v>3</v>
      </c>
      <c r="D21" s="17"/>
      <c r="E21" s="26"/>
    </row>
    <row r="22" spans="1:5" s="10" customFormat="1" ht="48">
      <c r="A22" s="13" t="s">
        <v>28</v>
      </c>
      <c r="B22" s="14" t="s">
        <v>79</v>
      </c>
      <c r="C22" s="21">
        <v>2</v>
      </c>
      <c r="D22" s="17"/>
      <c r="E22" s="26"/>
    </row>
    <row r="23" spans="1:5" s="3" customFormat="1">
      <c r="A23" s="22" t="s">
        <v>41</v>
      </c>
      <c r="B23" s="22"/>
      <c r="C23" s="23"/>
      <c r="D23" s="24"/>
      <c r="E23" s="24"/>
    </row>
    <row r="24" spans="1:5" s="10" customFormat="1" ht="36">
      <c r="A24" s="13" t="s">
        <v>21</v>
      </c>
      <c r="B24" s="14" t="s">
        <v>48</v>
      </c>
      <c r="C24" s="21" t="s">
        <v>11</v>
      </c>
      <c r="D24" s="17"/>
      <c r="E24" s="26"/>
    </row>
    <row r="25" spans="1:5" s="10" customFormat="1" ht="24">
      <c r="A25" s="13" t="s">
        <v>29</v>
      </c>
      <c r="B25" s="14" t="s">
        <v>80</v>
      </c>
      <c r="C25" s="21" t="s">
        <v>33</v>
      </c>
      <c r="D25" s="17"/>
      <c r="E25" s="26"/>
    </row>
    <row r="26" spans="1:5" s="10" customFormat="1" ht="24">
      <c r="A26" s="13" t="s">
        <v>30</v>
      </c>
      <c r="B26" s="14" t="s">
        <v>81</v>
      </c>
      <c r="C26" s="21" t="s">
        <v>33</v>
      </c>
      <c r="D26" s="17"/>
      <c r="E26" s="26"/>
    </row>
    <row r="27" spans="1:5" s="10" customFormat="1" ht="36">
      <c r="A27" s="13" t="s">
        <v>32</v>
      </c>
      <c r="B27" s="14" t="s">
        <v>42</v>
      </c>
      <c r="C27" s="21"/>
      <c r="D27" s="17"/>
      <c r="E27" s="26"/>
    </row>
    <row r="28" spans="1:5" s="10" customFormat="1" ht="24.6" customHeight="1">
      <c r="A28" s="13" t="s">
        <v>31</v>
      </c>
      <c r="B28" s="14" t="s">
        <v>82</v>
      </c>
      <c r="C28" s="21">
        <v>2</v>
      </c>
      <c r="D28" s="17"/>
      <c r="E28" s="26">
        <v>1</v>
      </c>
    </row>
    <row r="29" spans="1:5" s="10" customFormat="1" ht="24.6" customHeight="1">
      <c r="A29" s="13" t="s">
        <v>117</v>
      </c>
      <c r="B29" s="14" t="s">
        <v>118</v>
      </c>
      <c r="C29" s="21">
        <v>2</v>
      </c>
      <c r="D29" s="17"/>
      <c r="E29" s="26">
        <v>1</v>
      </c>
    </row>
    <row r="30" spans="1:5" s="10" customFormat="1" ht="24">
      <c r="A30" s="13" t="s">
        <v>116</v>
      </c>
      <c r="B30" s="14" t="s">
        <v>83</v>
      </c>
      <c r="C30" s="21">
        <v>2</v>
      </c>
      <c r="D30" s="17"/>
      <c r="E30" s="26">
        <v>1</v>
      </c>
    </row>
    <row r="31" spans="1:5" s="3" customFormat="1">
      <c r="A31" s="22" t="s">
        <v>64</v>
      </c>
      <c r="B31" s="22"/>
      <c r="C31" s="23"/>
      <c r="D31" s="24"/>
      <c r="E31" s="24"/>
    </row>
    <row r="32" spans="1:5" s="10" customFormat="1" ht="36">
      <c r="A32" s="13" t="s">
        <v>109</v>
      </c>
      <c r="B32" s="14" t="s">
        <v>96</v>
      </c>
      <c r="C32" s="21" t="s">
        <v>65</v>
      </c>
      <c r="D32" s="17"/>
      <c r="E32" s="26" t="s">
        <v>154</v>
      </c>
    </row>
    <row r="33" spans="1:5" s="10" customFormat="1" ht="36">
      <c r="A33" s="13" t="s">
        <v>69</v>
      </c>
      <c r="B33" s="14" t="s">
        <v>71</v>
      </c>
      <c r="C33" s="21" t="s">
        <v>70</v>
      </c>
      <c r="D33" s="17"/>
      <c r="E33" s="26"/>
    </row>
    <row r="34" spans="1:5" s="10" customFormat="1" ht="36">
      <c r="A34" s="13" t="s">
        <v>92</v>
      </c>
      <c r="B34" s="14" t="s">
        <v>94</v>
      </c>
      <c r="C34" s="21" t="b">
        <v>0</v>
      </c>
      <c r="D34" s="17"/>
      <c r="E34" s="26" t="b">
        <v>1</v>
      </c>
    </row>
    <row r="35" spans="1:5" s="3" customFormat="1">
      <c r="A35" s="22" t="s">
        <v>58</v>
      </c>
      <c r="B35" s="22"/>
      <c r="C35" s="23"/>
      <c r="D35" s="24"/>
      <c r="E35" s="24"/>
    </row>
    <row r="36" spans="1:5" s="10" customFormat="1" ht="36">
      <c r="A36" s="13" t="s">
        <v>67</v>
      </c>
      <c r="B36" s="14" t="s">
        <v>96</v>
      </c>
      <c r="C36" s="21" t="s">
        <v>65</v>
      </c>
      <c r="D36" s="26" t="s">
        <v>153</v>
      </c>
      <c r="E36" s="17"/>
    </row>
    <row r="37" spans="1:5" s="10" customFormat="1" ht="36">
      <c r="A37" s="13" t="s">
        <v>68</v>
      </c>
      <c r="B37" s="14" t="s">
        <v>43</v>
      </c>
      <c r="C37" s="21" t="s">
        <v>66</v>
      </c>
      <c r="D37" s="26"/>
      <c r="E37" s="17"/>
    </row>
    <row r="38" spans="1:5" s="10" customFormat="1" ht="36">
      <c r="A38" s="13" t="s">
        <v>91</v>
      </c>
      <c r="B38" s="14" t="s">
        <v>93</v>
      </c>
      <c r="C38" s="21" t="b">
        <v>0</v>
      </c>
      <c r="D38" s="26" t="b">
        <v>1</v>
      </c>
      <c r="E38" s="17"/>
    </row>
    <row r="39" spans="1:5" s="10" customFormat="1" ht="60">
      <c r="A39" s="13" t="s">
        <v>90</v>
      </c>
      <c r="B39" s="14" t="s">
        <v>86</v>
      </c>
      <c r="C39" s="21" t="b">
        <v>0</v>
      </c>
      <c r="D39" s="26"/>
      <c r="E39" s="17"/>
    </row>
    <row r="40" spans="1:5" s="3" customFormat="1">
      <c r="A40" s="22" t="s">
        <v>61</v>
      </c>
      <c r="B40" s="22"/>
      <c r="C40" s="23"/>
      <c r="D40" s="24"/>
      <c r="E40" s="24"/>
    </row>
    <row r="41" spans="1:5" s="10" customFormat="1" ht="24">
      <c r="A41" s="13" t="s">
        <v>62</v>
      </c>
      <c r="B41" s="14" t="s">
        <v>84</v>
      </c>
      <c r="C41" s="21" t="s">
        <v>47</v>
      </c>
      <c r="D41" s="26"/>
      <c r="E41" s="17"/>
    </row>
    <row r="42" spans="1:5" s="10" customFormat="1" ht="24">
      <c r="A42" s="13" t="s">
        <v>63</v>
      </c>
      <c r="B42" s="14" t="s">
        <v>85</v>
      </c>
      <c r="C42" s="21" t="s">
        <v>162</v>
      </c>
      <c r="D42" s="26"/>
      <c r="E42" s="17"/>
    </row>
    <row r="43" spans="1:5" s="10" customFormat="1" ht="60">
      <c r="A43" s="13" t="s">
        <v>111</v>
      </c>
      <c r="B43" s="14" t="s">
        <v>112</v>
      </c>
      <c r="C43" s="21"/>
      <c r="D43" s="26" t="s">
        <v>121</v>
      </c>
      <c r="E43" s="17"/>
    </row>
    <row r="44" spans="1:5">
      <c r="B44" s="11"/>
      <c r="C44" s="18"/>
    </row>
    <row r="45" spans="1:5">
      <c r="B45" s="12"/>
      <c r="C45" s="19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4DF92-D2CA-4F4D-A4C7-6B940D662AEE}">
  <sheetPr codeName="Sheet4">
    <tabColor theme="4"/>
  </sheetPr>
  <dimension ref="A1:AE1234"/>
  <sheetViews>
    <sheetView tabSelected="1" workbookViewId="0">
      <pane ySplit="2" topLeftCell="A3" activePane="bottomLeft" state="frozen"/>
      <selection pane="bottomLeft" activeCell="A2" sqref="A2"/>
    </sheetView>
  </sheetViews>
  <sheetFormatPr defaultColWidth="19.5703125" defaultRowHeight="15" outlineLevelCol="1"/>
  <cols>
    <col min="1" max="1" width="12.140625" customWidth="1" outlineLevel="1"/>
    <col min="2" max="2" width="34.42578125" customWidth="1" outlineLevel="1"/>
    <col min="3" max="3" width="26.28515625" bestFit="1" customWidth="1"/>
    <col min="4" max="4" width="23" hidden="1" customWidth="1" outlineLevel="1"/>
    <col min="5" max="5" width="30.5703125" hidden="1" customWidth="1" outlineLevel="1"/>
    <col min="6" max="6" width="27.42578125" bestFit="1" customWidth="1" collapsed="1"/>
    <col min="7" max="7" width="17.7109375" hidden="1" customWidth="1" outlineLevel="1"/>
    <col min="8" max="8" width="23.42578125" hidden="1" customWidth="1" outlineLevel="1"/>
    <col min="9" max="9" width="14.5703125" hidden="1" customWidth="1" outlineLevel="1"/>
    <col min="10" max="10" width="10.7109375" bestFit="1" customWidth="1" collapsed="1"/>
    <col min="11" max="11" width="13.28515625" hidden="1" customWidth="1" outlineLevel="1"/>
    <col min="12" max="12" width="17.7109375" hidden="1" customWidth="1" outlineLevel="1"/>
    <col min="13" max="13" width="71.140625" bestFit="1" customWidth="1" collapsed="1"/>
    <col min="14" max="14" width="24" bestFit="1" customWidth="1"/>
    <col min="15" max="15" width="24.5703125" bestFit="1" customWidth="1"/>
    <col min="16" max="16" width="10.85546875" hidden="1" customWidth="1" outlineLevel="1"/>
    <col min="17" max="17" width="9.140625" hidden="1" customWidth="1" outlineLevel="1"/>
    <col min="18" max="18" width="15.7109375" bestFit="1" customWidth="1" collapsed="1"/>
    <col min="19" max="19" width="8.42578125" hidden="1" customWidth="1" outlineLevel="1"/>
    <col min="20" max="20" width="27.5703125" bestFit="1" customWidth="1" collapsed="1"/>
    <col min="21" max="27" width="20.7109375" customWidth="1"/>
  </cols>
  <sheetData>
    <row r="1" spans="1:31">
      <c r="U1">
        <f>IF(LEFT(_xll.BDP($T1,U$2),4)="#N/A",0,_xll.BDP($T1,U$2))</f>
        <v>0</v>
      </c>
      <c r="V1" t="str">
        <f>IF(LEFT(_xll.BDP($T1,V$2),4)="#N/A","",_xll.BDP($T1,V$2))</f>
        <v/>
      </c>
      <c r="W1" t="str">
        <f>IF(LEFT(_xll.BDP($T1,W$2),4)="#N/A","",_xll.BDP($T1,W$2))</f>
        <v/>
      </c>
      <c r="X1" t="str">
        <f>IF(LEFT(_xll.BDP($T1,X$2),4)="#N/A","",_xll.BDP($T1,X$2))</f>
        <v/>
      </c>
      <c r="Y1" t="str">
        <f>IF(LEFT(_xll.BDP($T1,Y$2),4)="#N/A","",_xll.BDP($T1,Y$2))</f>
        <v/>
      </c>
      <c r="Z1" t="str">
        <f>IF(LEFT(_xll.BDP($T1,Z$2),4)="#N/A","",_xll.BDP($T1,Z$2))</f>
        <v/>
      </c>
      <c r="AA1" t="str">
        <f>IF(LEFT(_xll.BDP($T1,AA$2),4)="#N/A","",_xll.BDP($T1,AA$2))</f>
        <v/>
      </c>
      <c r="AB1" t="str">
        <f>IF(LEFT(_xll.BDP($T1,AB$2),4)="#N/A","",_xll.BDP($T1,AB$2))</f>
        <v/>
      </c>
      <c r="AC1" t="str">
        <f>IF(LEFT(_xll.BDP($T1,AC$2),4)="#N/A","",_xll.BDP($T1,AC$2))</f>
        <v/>
      </c>
      <c r="AD1" t="str">
        <f>IF(LEFT(_xll.BDP($T1,AD$2),4)="#N/A","",_xll.BDP($T1,AD$2))</f>
        <v/>
      </c>
      <c r="AE1" s="37">
        <f ca="1">TODAY()</f>
        <v>44776</v>
      </c>
    </row>
    <row r="2" spans="1:31" s="42" customFormat="1" ht="24">
      <c r="A2" s="42" t="str">
        <f t="array" aca="1" ref="A2:T460" ca="1">_xll.DC_COMPARTMENTHOLDINGS("all",InputMADMAR!$AE$1,,"security_identifiers",,,TRUE,,)</f>
        <v>Fund Id</v>
      </c>
      <c r="B2" s="42" t="str">
        <f ca="1"/>
        <v>Fund Code</v>
      </c>
      <c r="C2" s="42" t="str">
        <f ca="1"/>
        <v>Fund Name</v>
      </c>
      <c r="D2" s="42" t="str">
        <f ca="1"/>
        <v>Fund Compartment Id</v>
      </c>
      <c r="E2" s="42" t="str">
        <f ca="1"/>
        <v>Fund Compartment Code</v>
      </c>
      <c r="F2" s="42" t="str">
        <f ca="1"/>
        <v>Fund Compartment Name</v>
      </c>
      <c r="G2" s="42" t="str">
        <f ca="1"/>
        <v>Datasource Id</v>
      </c>
      <c r="H2" s="42" t="str">
        <f ca="1"/>
        <v>Datasource Name</v>
      </c>
      <c r="I2" s="42" t="str">
        <f ca="1"/>
        <v>Holding Id</v>
      </c>
      <c r="J2" s="49" t="str">
        <f ca="1"/>
        <v>Date</v>
      </c>
      <c r="K2" s="42" t="str">
        <f ca="1"/>
        <v>Quantity</v>
      </c>
      <c r="L2" s="42" t="str">
        <f ca="1"/>
        <v>Instrument Id</v>
      </c>
      <c r="M2" s="42" t="str">
        <f ca="1"/>
        <v>Instrument Name</v>
      </c>
      <c r="N2" s="42" t="str">
        <f ca="1"/>
        <v>Instrument Currency</v>
      </c>
      <c r="O2" s="42" t="str">
        <f ca="1"/>
        <v>Asset Type</v>
      </c>
      <c r="P2" s="42" t="str">
        <f ca="1"/>
        <v>CUSIP</v>
      </c>
      <c r="Q2" s="42" t="str">
        <f ca="1"/>
        <v>FIGI</v>
      </c>
      <c r="R2" s="44" t="str">
        <f ca="1"/>
        <v>ISIN</v>
      </c>
      <c r="S2" s="44" t="str">
        <f ca="1"/>
        <v>RIC</v>
      </c>
      <c r="T2" s="44" t="str">
        <f ca="1"/>
        <v>Ticker</v>
      </c>
      <c r="U2" s="40" t="s">
        <v>155</v>
      </c>
      <c r="V2" s="40" t="s">
        <v>156</v>
      </c>
      <c r="W2" s="40" t="s">
        <v>157</v>
      </c>
      <c r="X2" s="40" t="s">
        <v>158</v>
      </c>
      <c r="Y2" s="40" t="s">
        <v>159</v>
      </c>
      <c r="Z2" s="40" t="s">
        <v>160</v>
      </c>
      <c r="AA2" s="40" t="s">
        <v>161</v>
      </c>
      <c r="AB2" s="40" t="s">
        <v>166</v>
      </c>
      <c r="AC2" s="40" t="s">
        <v>165</v>
      </c>
      <c r="AD2" s="40" t="s">
        <v>167</v>
      </c>
      <c r="AE2" s="45" t="s">
        <v>168</v>
      </c>
    </row>
    <row r="3" spans="1:31">
      <c r="A3">
        <f ca="1"/>
        <v>172</v>
      </c>
      <c r="B3" t="str">
        <f ca="1"/>
        <v>iW Partners - DCM SYSTEMATIC FUND</v>
      </c>
      <c r="C3" t="str">
        <f ca="1"/>
        <v>iW - DCM SYSTEMATIC FUND</v>
      </c>
      <c r="D3">
        <f ca="1"/>
        <v>73630</v>
      </c>
      <c r="E3" t="str">
        <f ca="1"/>
        <v>iW Partners - DIVERSIFIED ALPHA</v>
      </c>
      <c r="F3" t="str">
        <f ca="1"/>
        <v>DIVERSIFIED ALPHA</v>
      </c>
      <c r="G3">
        <f ca="1"/>
        <v>147</v>
      </c>
      <c r="H3" t="str">
        <f ca="1"/>
        <v>Pictet Fund Accounting</v>
      </c>
      <c r="I3" t="str">
        <f ca="1"/>
        <v>17472914-0</v>
      </c>
      <c r="J3" s="50">
        <f ca="1"/>
        <v>44773</v>
      </c>
      <c r="K3">
        <f ca="1"/>
        <v>226</v>
      </c>
      <c r="L3" t="str">
        <f ca="1"/>
        <v>153991-0</v>
      </c>
      <c r="M3" t="str">
        <f ca="1"/>
        <v>AUSTRALIA 10Y TREASURY BOND</v>
      </c>
      <c r="N3" t="str">
        <f ca="1"/>
        <v>AUD</v>
      </c>
      <c r="O3" t="str">
        <f ca="1"/>
        <v>Bond Future</v>
      </c>
      <c r="P3" t="str">
        <f ca="1"/>
        <v/>
      </c>
      <c r="Q3" t="str">
        <f ca="1"/>
        <v/>
      </c>
      <c r="R3" t="str">
        <f ca="1"/>
        <v>ZZ00WV0OQF 0</v>
      </c>
      <c r="S3" t="str">
        <f ca="1"/>
        <v/>
      </c>
      <c r="T3" t="str">
        <f ca="1"/>
        <v>XMU2 Comdty</v>
      </c>
      <c r="U3">
        <f ca="1">IF(LEFT(_xll.BDP($T3,U$2),4)="#N/A",0,_xll.BDP($T3,U$2))</f>
        <v>0</v>
      </c>
      <c r="V3" t="e">
        <f>_xll.BDP(#REF!,V$2)</f>
        <v>#REF!</v>
      </c>
      <c r="W3" t="e">
        <f>_xll.BDP(#REF!,W$2)</f>
        <v>#REF!</v>
      </c>
      <c r="X3" t="e">
        <f>_xll.BDP(#REF!,X$2)</f>
        <v>#REF!</v>
      </c>
      <c r="Y3" t="e">
        <f>_xll.BDP(#REF!,Y$2)</f>
        <v>#REF!</v>
      </c>
      <c r="Z3" t="e">
        <f>_xll.BDP(#REF!,Z$2)</f>
        <v>#REF!</v>
      </c>
      <c r="AA3" t="e">
        <f>_xll.BDP(#REF!,AA$2)</f>
        <v>#REF!</v>
      </c>
      <c r="AD3">
        <f ca="1">IF(LEFT(_xll.BDP($T3,AD$2),4)="#N/A",-1,_xll.BDP($T3,AD$2))</f>
        <v>127015.45</v>
      </c>
    </row>
    <row r="4" spans="1:31">
      <c r="A4">
        <f ca="1"/>
        <v>172</v>
      </c>
      <c r="B4" t="str">
        <f ca="1"/>
        <v>iW Partners - DCM SYSTEMATIC FUND</v>
      </c>
      <c r="C4" t="str">
        <f ca="1"/>
        <v>iW - DCM SYSTEMATIC FUND</v>
      </c>
      <c r="D4">
        <f ca="1"/>
        <v>73630</v>
      </c>
      <c r="E4" t="str">
        <f ca="1"/>
        <v>iW Partners - DIVERSIFIED ALPHA</v>
      </c>
      <c r="F4" t="str">
        <f ca="1"/>
        <v>DIVERSIFIED ALPHA</v>
      </c>
      <c r="G4">
        <f ca="1"/>
        <v>147</v>
      </c>
      <c r="H4" t="str">
        <f ca="1"/>
        <v>Pictet Fund Accounting</v>
      </c>
      <c r="I4" t="str">
        <f ca="1"/>
        <v>17472897-0</v>
      </c>
      <c r="J4" s="50">
        <f ca="1"/>
        <v>44773</v>
      </c>
      <c r="K4">
        <f ca="1"/>
        <v>-371</v>
      </c>
      <c r="L4" t="str">
        <f ca="1"/>
        <v>147313-0</v>
      </c>
      <c r="M4" t="str">
        <f ca="1"/>
        <v>CANADA 10Y GOVERNMENT BOND</v>
      </c>
      <c r="N4" t="str">
        <f ca="1"/>
        <v>CAD</v>
      </c>
      <c r="O4" t="str">
        <f ca="1"/>
        <v>Bond Future</v>
      </c>
      <c r="P4" t="str">
        <f ca="1"/>
        <v/>
      </c>
      <c r="Q4" t="str">
        <f ca="1"/>
        <v/>
      </c>
      <c r="R4" t="str">
        <f ca="1"/>
        <v>ZZ00WRKXHQ 0</v>
      </c>
      <c r="S4" t="str">
        <f ca="1"/>
        <v/>
      </c>
      <c r="T4" t="str">
        <f ca="1"/>
        <v>CNU2 Comdty</v>
      </c>
      <c r="U4">
        <f ca="1">IF(LEFT(_xll.BDP($T4,U$2),4)="#N/A",0,_xll.BDP($T4,U$2))</f>
        <v>0</v>
      </c>
      <c r="V4" t="e">
        <f>_xll.BDP(#REF!,V$2)</f>
        <v>#REF!</v>
      </c>
      <c r="W4" t="e">
        <f>_xll.BDP(#REF!,W$2)</f>
        <v>#REF!</v>
      </c>
      <c r="X4" t="e">
        <f>_xll.BDP(#REF!,X$2)</f>
        <v>#REF!</v>
      </c>
      <c r="Y4" t="e">
        <f>_xll.BDP(#REF!,Y$2)</f>
        <v>#REF!</v>
      </c>
      <c r="Z4" t="e">
        <f>_xll.BDP(#REF!,Z$2)</f>
        <v>#REF!</v>
      </c>
      <c r="AA4" t="e">
        <f>_xll.BDP(#REF!,AA$2)</f>
        <v>#REF!</v>
      </c>
      <c r="AD4">
        <f ca="1">IF(LEFT(_xll.BDP($T4,AD$2),4)="#N/A",-1,_xll.BDP($T4,AD$2))</f>
        <v>123033.2</v>
      </c>
    </row>
    <row r="5" spans="1:31">
      <c r="A5">
        <f ca="1"/>
        <v>172</v>
      </c>
      <c r="B5" t="str">
        <f ca="1"/>
        <v>iW Partners - DCM SYSTEMATIC FUND</v>
      </c>
      <c r="C5" t="str">
        <f ca="1"/>
        <v>iW - DCM SYSTEMATIC FUND</v>
      </c>
      <c r="D5">
        <f ca="1"/>
        <v>73630</v>
      </c>
      <c r="E5" t="str">
        <f ca="1"/>
        <v>iW Partners - DIVERSIFIED ALPHA</v>
      </c>
      <c r="F5" t="str">
        <f ca="1"/>
        <v>DIVERSIFIED ALPHA</v>
      </c>
      <c r="G5">
        <f ca="1"/>
        <v>147</v>
      </c>
      <c r="H5" t="str">
        <f ca="1"/>
        <v>Pictet Fund Accounting</v>
      </c>
      <c r="I5" t="str">
        <f ca="1"/>
        <v>17472832-0</v>
      </c>
      <c r="J5" s="50">
        <f ca="1"/>
        <v>44773</v>
      </c>
      <c r="K5">
        <f ca="1"/>
        <v>-6</v>
      </c>
      <c r="L5" t="str">
        <f ca="1"/>
        <v>153082-0</v>
      </c>
      <c r="M5" t="str">
        <f ca="1"/>
        <v>GERMANY 10Y BUND GOVERNMENT BOND</v>
      </c>
      <c r="N5" t="str">
        <f ca="1"/>
        <v>EUR</v>
      </c>
      <c r="O5" t="str">
        <f ca="1"/>
        <v>Bond Future</v>
      </c>
      <c r="P5" t="str">
        <f ca="1"/>
        <v/>
      </c>
      <c r="Q5" t="str">
        <f ca="1"/>
        <v/>
      </c>
      <c r="R5" t="str">
        <f ca="1"/>
        <v>DE000C6J0K11</v>
      </c>
      <c r="S5" t="str">
        <f ca="1"/>
        <v/>
      </c>
      <c r="T5" t="str">
        <f ca="1"/>
        <v>RXU2 Comdty</v>
      </c>
      <c r="U5">
        <f ca="1">IF(LEFT(_xll.BDP($T5,U$2),4)="#N/A",0,_xll.BDP($T5,U$2))</f>
        <v>0</v>
      </c>
      <c r="V5" t="e">
        <f>_xll.BDP(#REF!,V$2)</f>
        <v>#REF!</v>
      </c>
      <c r="W5" t="e">
        <f>_xll.BDP(#REF!,W$2)</f>
        <v>#REF!</v>
      </c>
      <c r="X5" t="e">
        <f>_xll.BDP(#REF!,X$2)</f>
        <v>#REF!</v>
      </c>
      <c r="Y5" t="e">
        <f>_xll.BDP(#REF!,Y$2)</f>
        <v>#REF!</v>
      </c>
      <c r="Z5" t="e">
        <f>_xll.BDP(#REF!,Z$2)</f>
        <v>#REF!</v>
      </c>
      <c r="AA5" t="e">
        <f>_xll.BDP(#REF!,AA$2)</f>
        <v>#REF!</v>
      </c>
      <c r="AD5">
        <f ca="1">IF(LEFT(_xll.BDP($T5,AD$2),4)="#N/A",-1,_xll.BDP($T5,AD$2))</f>
        <v>698254.05</v>
      </c>
    </row>
    <row r="6" spans="1:31">
      <c r="A6">
        <f ca="1"/>
        <v>172</v>
      </c>
      <c r="B6" t="str">
        <f ca="1"/>
        <v>iW Partners - DCM SYSTEMATIC FUND</v>
      </c>
      <c r="C6" t="str">
        <f ca="1"/>
        <v>iW - DCM SYSTEMATIC FUND</v>
      </c>
      <c r="D6">
        <f ca="1"/>
        <v>73630</v>
      </c>
      <c r="E6" t="str">
        <f ca="1"/>
        <v>iW Partners - DIVERSIFIED ALPHA</v>
      </c>
      <c r="F6" t="str">
        <f ca="1"/>
        <v>DIVERSIFIED ALPHA</v>
      </c>
      <c r="G6">
        <f ca="1"/>
        <v>147</v>
      </c>
      <c r="H6" t="str">
        <f ca="1"/>
        <v>Pictet Fund Accounting</v>
      </c>
      <c r="I6" t="str">
        <f ca="1"/>
        <v>17472886-0</v>
      </c>
      <c r="J6" s="50">
        <f ca="1"/>
        <v>44773</v>
      </c>
      <c r="K6">
        <f ca="1"/>
        <v>163</v>
      </c>
      <c r="L6" t="str">
        <f ca="1"/>
        <v>147310-0</v>
      </c>
      <c r="M6" t="str">
        <f ca="1"/>
        <v>UNITED KINGDOM 10Y L-GILT GOV. BOND</v>
      </c>
      <c r="N6" t="str">
        <f ca="1"/>
        <v>GBP</v>
      </c>
      <c r="O6" t="str">
        <f ca="1"/>
        <v>Bond Future</v>
      </c>
      <c r="P6" t="str">
        <f ca="1"/>
        <v/>
      </c>
      <c r="Q6" t="str">
        <f ca="1"/>
        <v/>
      </c>
      <c r="R6" t="str">
        <f ca="1"/>
        <v>GB00JSZRJX95</v>
      </c>
      <c r="S6" t="str">
        <f ca="1"/>
        <v/>
      </c>
      <c r="T6" t="str">
        <f ca="1"/>
        <v>G U2 Comdty</v>
      </c>
      <c r="U6">
        <f ca="1">IF(LEFT(_xll.BDP($T6,U$2),4)="#N/A",0,_xll.BDP($T6,U$2))</f>
        <v>0</v>
      </c>
      <c r="V6" t="e">
        <f>_xll.BDP(#REF!,V$2)</f>
        <v>#REF!</v>
      </c>
      <c r="W6" t="e">
        <f>_xll.BDP(#REF!,W$2)</f>
        <v>#REF!</v>
      </c>
      <c r="X6" t="e">
        <f>_xll.BDP(#REF!,X$2)</f>
        <v>#REF!</v>
      </c>
      <c r="Y6" t="e">
        <f>_xll.BDP(#REF!,Y$2)</f>
        <v>#REF!</v>
      </c>
      <c r="Z6" t="e">
        <f>_xll.BDP(#REF!,Z$2)</f>
        <v>#REF!</v>
      </c>
      <c r="AA6" t="e">
        <f>_xll.BDP(#REF!,AA$2)</f>
        <v>#REF!</v>
      </c>
      <c r="AD6">
        <f ca="1">IF(LEFT(_xll.BDP($T6,AD$2),4)="#N/A",-1,_xll.BDP($T6,AD$2))</f>
        <v>229358.75</v>
      </c>
    </row>
    <row r="7" spans="1:31">
      <c r="A7">
        <f ca="1"/>
        <v>172</v>
      </c>
      <c r="B7" t="str">
        <f ca="1"/>
        <v>iW Partners - DCM SYSTEMATIC FUND</v>
      </c>
      <c r="C7" t="str">
        <f ca="1"/>
        <v>iW - DCM SYSTEMATIC FUND</v>
      </c>
      <c r="D7">
        <f ca="1"/>
        <v>73630</v>
      </c>
      <c r="E7" t="str">
        <f ca="1"/>
        <v>iW Partners - DIVERSIFIED ALPHA</v>
      </c>
      <c r="F7" t="str">
        <f ca="1"/>
        <v>DIVERSIFIED ALPHA</v>
      </c>
      <c r="G7">
        <f ca="1"/>
        <v>147</v>
      </c>
      <c r="H7" t="str">
        <f ca="1"/>
        <v>Pictet Fund Accounting</v>
      </c>
      <c r="I7" t="str">
        <f ca="1"/>
        <v>17472908-0</v>
      </c>
      <c r="J7" s="50">
        <f ca="1"/>
        <v>44773</v>
      </c>
      <c r="K7">
        <f ca="1"/>
        <v>-185</v>
      </c>
      <c r="L7" t="str">
        <f ca="1"/>
        <v>147307-0</v>
      </c>
      <c r="M7" t="str">
        <f ca="1"/>
        <v>UNITED STATES 10Y TREASURY BOND</v>
      </c>
      <c r="N7" t="str">
        <f ca="1"/>
        <v>USD</v>
      </c>
      <c r="O7" t="str">
        <f ca="1"/>
        <v>Bond Future</v>
      </c>
      <c r="P7" t="str">
        <f ca="1"/>
        <v/>
      </c>
      <c r="Q7" t="str">
        <f ca="1"/>
        <v/>
      </c>
      <c r="R7" t="str">
        <f ca="1"/>
        <v>ZZ00WRKXIO 0</v>
      </c>
      <c r="S7" t="str">
        <f ca="1"/>
        <v/>
      </c>
      <c r="T7" t="str">
        <f ca="1"/>
        <v>TYU2 Comdty</v>
      </c>
      <c r="U7">
        <f ca="1">IF(LEFT(_xll.BDP($T7,U$2),4)="#N/A",0,_xll.BDP($T7,U$2))</f>
        <v>0</v>
      </c>
      <c r="V7" t="e">
        <f>_xll.BDP(#REF!,V$2)</f>
        <v>#REF!</v>
      </c>
      <c r="W7" t="e">
        <f>_xll.BDP(#REF!,W$2)</f>
        <v>#REF!</v>
      </c>
      <c r="X7" t="e">
        <f>_xll.BDP(#REF!,X$2)</f>
        <v>#REF!</v>
      </c>
      <c r="Y7" t="e">
        <f>_xll.BDP(#REF!,Y$2)</f>
        <v>#REF!</v>
      </c>
      <c r="Z7" t="e">
        <f>_xll.BDP(#REF!,Z$2)</f>
        <v>#REF!</v>
      </c>
      <c r="AA7" t="e">
        <f>_xll.BDP(#REF!,AA$2)</f>
        <v>#REF!</v>
      </c>
      <c r="AD7">
        <f ca="1">IF(LEFT(_xll.BDP($T7,AD$2),4)="#N/A",-1,_xll.BDP($T7,AD$2))</f>
        <v>1467325.7</v>
      </c>
    </row>
    <row r="8" spans="1:31">
      <c r="A8">
        <f ca="1"/>
        <v>172</v>
      </c>
      <c r="B8" t="str">
        <f ca="1"/>
        <v>iW Partners - DCM SYSTEMATIC FUND</v>
      </c>
      <c r="C8" t="str">
        <f ca="1"/>
        <v>iW - DCM SYSTEMATIC FUND</v>
      </c>
      <c r="D8">
        <f ca="1"/>
        <v>73630</v>
      </c>
      <c r="E8" t="str">
        <f ca="1"/>
        <v>iW Partners - DIVERSIFIED ALPHA</v>
      </c>
      <c r="F8" t="str">
        <f ca="1"/>
        <v>DIVERSIFIED ALPHA</v>
      </c>
      <c r="G8">
        <f ca="1"/>
        <v>147</v>
      </c>
      <c r="H8" t="str">
        <f ca="1"/>
        <v>Pictet Fund Accounting</v>
      </c>
      <c r="I8" t="str">
        <f ca="1"/>
        <v>17472824-0</v>
      </c>
      <c r="J8" s="50">
        <f ca="1"/>
        <v>44773</v>
      </c>
      <c r="K8">
        <f ca="1"/>
        <v>-819069.9</v>
      </c>
      <c r="L8" t="str">
        <f ca="1"/>
        <v>60587-0</v>
      </c>
      <c r="M8" t="str">
        <f ca="1"/>
        <v>Current account Pictet &amp; Cie (Europe) S.A. @@@</v>
      </c>
      <c r="N8" t="str">
        <f ca="1"/>
        <v>EUR</v>
      </c>
      <c r="O8" t="str">
        <f ca="1"/>
        <v>Cash</v>
      </c>
      <c r="P8" t="str">
        <f ca="1"/>
        <v/>
      </c>
      <c r="Q8" t="str">
        <f ca="1"/>
        <v/>
      </c>
      <c r="R8" t="str">
        <f ca="1"/>
        <v/>
      </c>
      <c r="S8" t="str">
        <f ca="1"/>
        <v/>
      </c>
      <c r="T8" t="str">
        <f ca="1"/>
        <v/>
      </c>
      <c r="U8">
        <f ca="1">IF(LEFT(_xll.BDP($T8,U$2),4)="#N/A",0,_xll.BDP($T8,U$2))</f>
        <v>0</v>
      </c>
      <c r="V8" t="e">
        <f>_xll.BDP(#REF!,V$2)</f>
        <v>#REF!</v>
      </c>
      <c r="W8" t="e">
        <f>_xll.BDP(#REF!,W$2)</f>
        <v>#REF!</v>
      </c>
      <c r="X8" t="e">
        <f>_xll.BDP(#REF!,X$2)</f>
        <v>#REF!</v>
      </c>
      <c r="Y8" t="e">
        <f>_xll.BDP(#REF!,Y$2)</f>
        <v>#REF!</v>
      </c>
      <c r="Z8" t="e">
        <f>_xll.BDP(#REF!,Z$2)</f>
        <v>#REF!</v>
      </c>
      <c r="AA8" t="e">
        <f>_xll.BDP(#REF!,AA$2)</f>
        <v>#REF!</v>
      </c>
      <c r="AD8">
        <f ca="1">IF(LEFT(_xll.BDP($T8,AD$2),4)="#N/A",-1,_xll.BDP($T8,AD$2))</f>
        <v>-1</v>
      </c>
    </row>
    <row r="9" spans="1:31">
      <c r="A9">
        <f ca="1"/>
        <v>172</v>
      </c>
      <c r="B9" t="str">
        <f ca="1"/>
        <v>iW Partners - DCM SYSTEMATIC FUND</v>
      </c>
      <c r="C9" t="str">
        <f ca="1"/>
        <v>iW - DCM SYSTEMATIC FUND</v>
      </c>
      <c r="D9">
        <f ca="1"/>
        <v>73630</v>
      </c>
      <c r="E9" t="str">
        <f ca="1"/>
        <v>iW Partners - DIVERSIFIED ALPHA</v>
      </c>
      <c r="F9" t="str">
        <f ca="1"/>
        <v>DIVERSIFIED ALPHA</v>
      </c>
      <c r="G9">
        <f ca="1"/>
        <v>147</v>
      </c>
      <c r="H9" t="str">
        <f ca="1"/>
        <v>Pictet Fund Accounting</v>
      </c>
      <c r="I9" t="str">
        <f ca="1"/>
        <v>17472833-0</v>
      </c>
      <c r="J9" s="50">
        <f ca="1"/>
        <v>44773</v>
      </c>
      <c r="K9">
        <f ca="1"/>
        <v>51050.37</v>
      </c>
      <c r="L9" t="str">
        <f ca="1"/>
        <v>67879-0</v>
      </c>
      <c r="M9" t="str">
        <f ca="1"/>
        <v>Current account Pictet &amp; Cie (Europe) S.A. @@@</v>
      </c>
      <c r="N9" t="str">
        <f ca="1"/>
        <v>CHF</v>
      </c>
      <c r="O9" t="str">
        <f ca="1"/>
        <v>Cash</v>
      </c>
      <c r="P9" t="str">
        <f ca="1"/>
        <v/>
      </c>
      <c r="Q9" t="str">
        <f ca="1"/>
        <v/>
      </c>
      <c r="R9" t="str">
        <f ca="1"/>
        <v/>
      </c>
      <c r="S9" t="str">
        <f ca="1"/>
        <v/>
      </c>
      <c r="T9" t="str">
        <f ca="1"/>
        <v/>
      </c>
      <c r="U9">
        <f ca="1">IF(LEFT(_xll.BDP($T9,U$2),4)="#N/A",0,_xll.BDP($T9,U$2))</f>
        <v>0</v>
      </c>
      <c r="V9" t="e">
        <f>_xll.BDP(#REF!,V$2)</f>
        <v>#REF!</v>
      </c>
      <c r="W9" t="e">
        <f>_xll.BDP(#REF!,W$2)</f>
        <v>#REF!</v>
      </c>
      <c r="X9" t="e">
        <f>_xll.BDP(#REF!,X$2)</f>
        <v>#REF!</v>
      </c>
      <c r="Y9" t="e">
        <f>_xll.BDP(#REF!,Y$2)</f>
        <v>#REF!</v>
      </c>
      <c r="Z9" t="e">
        <f>_xll.BDP(#REF!,Z$2)</f>
        <v>#REF!</v>
      </c>
      <c r="AA9" t="e">
        <f>_xll.BDP(#REF!,AA$2)</f>
        <v>#REF!</v>
      </c>
      <c r="AD9">
        <f ca="1">IF(LEFT(_xll.BDP($T9,AD$2),4)="#N/A",-1,_xll.BDP($T9,AD$2))</f>
        <v>-1</v>
      </c>
    </row>
    <row r="10" spans="1:31">
      <c r="A10">
        <f ca="1"/>
        <v>172</v>
      </c>
      <c r="B10" t="str">
        <f ca="1"/>
        <v>iW Partners - DCM SYSTEMATIC FUND</v>
      </c>
      <c r="C10" t="str">
        <f ca="1"/>
        <v>iW - DCM SYSTEMATIC FUND</v>
      </c>
      <c r="D10">
        <f ca="1"/>
        <v>73630</v>
      </c>
      <c r="E10" t="str">
        <f ca="1"/>
        <v>iW Partners - DIVERSIFIED ALPHA</v>
      </c>
      <c r="F10" t="str">
        <f ca="1"/>
        <v>DIVERSIFIED ALPHA</v>
      </c>
      <c r="G10">
        <f ca="1"/>
        <v>147</v>
      </c>
      <c r="H10" t="str">
        <f ca="1"/>
        <v>Pictet Fund Accounting</v>
      </c>
      <c r="I10" t="str">
        <f ca="1"/>
        <v>17472836-0</v>
      </c>
      <c r="J10" s="50">
        <f ca="1"/>
        <v>44773</v>
      </c>
      <c r="K10">
        <f ca="1"/>
        <v>-5</v>
      </c>
      <c r="L10" t="str">
        <f ca="1"/>
        <v>60597-0</v>
      </c>
      <c r="M10" t="str">
        <f ca="1"/>
        <v>Current account Pictet &amp; Cie (Europe) S.A. @@@</v>
      </c>
      <c r="N10" t="str">
        <f ca="1"/>
        <v>JPY</v>
      </c>
      <c r="O10" t="str">
        <f ca="1"/>
        <v>Cash</v>
      </c>
      <c r="P10" t="str">
        <f ca="1"/>
        <v/>
      </c>
      <c r="Q10" t="str">
        <f ca="1"/>
        <v/>
      </c>
      <c r="R10" t="str">
        <f ca="1"/>
        <v/>
      </c>
      <c r="S10" t="str">
        <f ca="1"/>
        <v/>
      </c>
      <c r="T10" t="str">
        <f ca="1"/>
        <v/>
      </c>
      <c r="U10">
        <f ca="1">IF(LEFT(_xll.BDP($T10,U$2),4)="#N/A",0,_xll.BDP($T10,U$2))</f>
        <v>0</v>
      </c>
      <c r="V10" t="e">
        <f>_xll.BDP(#REF!,V$2)</f>
        <v>#REF!</v>
      </c>
      <c r="W10" t="e">
        <f>_xll.BDP(#REF!,W$2)</f>
        <v>#REF!</v>
      </c>
      <c r="X10" t="e">
        <f>_xll.BDP(#REF!,X$2)</f>
        <v>#REF!</v>
      </c>
      <c r="Y10" t="e">
        <f>_xll.BDP(#REF!,Y$2)</f>
        <v>#REF!</v>
      </c>
      <c r="Z10" t="e">
        <f>_xll.BDP(#REF!,Z$2)</f>
        <v>#REF!</v>
      </c>
      <c r="AA10" t="e">
        <f>_xll.BDP(#REF!,AA$2)</f>
        <v>#REF!</v>
      </c>
      <c r="AD10">
        <f ca="1">IF(LEFT(_xll.BDP($T10,AD$2),4)="#N/A",-1,_xll.BDP($T10,AD$2))</f>
        <v>-1</v>
      </c>
    </row>
    <row r="11" spans="1:31">
      <c r="A11">
        <f ca="1"/>
        <v>172</v>
      </c>
      <c r="B11" t="str">
        <f ca="1"/>
        <v>iW Partners - DCM SYSTEMATIC FUND</v>
      </c>
      <c r="C11" t="str">
        <f ca="1"/>
        <v>iW - DCM SYSTEMATIC FUND</v>
      </c>
      <c r="D11">
        <f ca="1"/>
        <v>73630</v>
      </c>
      <c r="E11" t="str">
        <f ca="1"/>
        <v>iW Partners - DIVERSIFIED ALPHA</v>
      </c>
      <c r="F11" t="str">
        <f ca="1"/>
        <v>DIVERSIFIED ALPHA</v>
      </c>
      <c r="G11">
        <f ca="1"/>
        <v>147</v>
      </c>
      <c r="H11" t="str">
        <f ca="1"/>
        <v>Pictet Fund Accounting</v>
      </c>
      <c r="I11" t="str">
        <f ca="1"/>
        <v>17472838-0</v>
      </c>
      <c r="J11" s="50">
        <f ca="1"/>
        <v>44773</v>
      </c>
      <c r="K11">
        <f ca="1"/>
        <v>1288387.28</v>
      </c>
      <c r="L11" t="str">
        <f ca="1"/>
        <v>60601-0</v>
      </c>
      <c r="M11" t="str">
        <f ca="1"/>
        <v>Current account Pictet &amp; Cie (Europe) S.A. @@@</v>
      </c>
      <c r="N11" t="str">
        <f ca="1"/>
        <v>AUD</v>
      </c>
      <c r="O11" t="str">
        <f ca="1"/>
        <v>Cash</v>
      </c>
      <c r="P11" t="str">
        <f ca="1"/>
        <v/>
      </c>
      <c r="Q11" t="str">
        <f ca="1"/>
        <v/>
      </c>
      <c r="R11" t="str">
        <f ca="1"/>
        <v/>
      </c>
      <c r="S11" t="str">
        <f ca="1"/>
        <v/>
      </c>
      <c r="T11" t="str">
        <f ca="1"/>
        <v/>
      </c>
      <c r="U11">
        <f ca="1">IF(LEFT(_xll.BDP($T11,U$2),4)="#N/A",0,_xll.BDP($T11,U$2))</f>
        <v>0</v>
      </c>
      <c r="V11" t="e">
        <f>_xll.BDP(#REF!,V$2)</f>
        <v>#REF!</v>
      </c>
      <c r="W11" t="e">
        <f>_xll.BDP(#REF!,W$2)</f>
        <v>#REF!</v>
      </c>
      <c r="X11" t="e">
        <f>_xll.BDP(#REF!,X$2)</f>
        <v>#REF!</v>
      </c>
      <c r="Y11" t="e">
        <f>_xll.BDP(#REF!,Y$2)</f>
        <v>#REF!</v>
      </c>
      <c r="Z11" t="e">
        <f>_xll.BDP(#REF!,Z$2)</f>
        <v>#REF!</v>
      </c>
      <c r="AA11" t="e">
        <f>_xll.BDP(#REF!,AA$2)</f>
        <v>#REF!</v>
      </c>
      <c r="AD11">
        <f ca="1">IF(LEFT(_xll.BDP($T11,AD$2),4)="#N/A",-1,_xll.BDP($T11,AD$2))</f>
        <v>-1</v>
      </c>
    </row>
    <row r="12" spans="1:31">
      <c r="A12">
        <f ca="1"/>
        <v>172</v>
      </c>
      <c r="B12" t="str">
        <f ca="1"/>
        <v>iW Partners - DCM SYSTEMATIC FUND</v>
      </c>
      <c r="C12" t="str">
        <f ca="1"/>
        <v>iW - DCM SYSTEMATIC FUND</v>
      </c>
      <c r="D12">
        <f ca="1"/>
        <v>73630</v>
      </c>
      <c r="E12" t="str">
        <f ca="1"/>
        <v>iW Partners - DIVERSIFIED ALPHA</v>
      </c>
      <c r="F12" t="str">
        <f ca="1"/>
        <v>DIVERSIFIED ALPHA</v>
      </c>
      <c r="G12">
        <f ca="1"/>
        <v>147</v>
      </c>
      <c r="H12" t="str">
        <f ca="1"/>
        <v>Pictet Fund Accounting</v>
      </c>
      <c r="I12" t="str">
        <f ca="1"/>
        <v>17472842-0</v>
      </c>
      <c r="J12" s="50">
        <f ca="1"/>
        <v>44773</v>
      </c>
      <c r="K12">
        <f ca="1"/>
        <v>-222877.03</v>
      </c>
      <c r="L12" t="str">
        <f ca="1"/>
        <v>67884-0</v>
      </c>
      <c r="M12" t="str">
        <f ca="1"/>
        <v>Current account Pictet &amp; Cie (Europe) S.A. @@@</v>
      </c>
      <c r="N12" t="str">
        <f ca="1"/>
        <v>HKD</v>
      </c>
      <c r="O12" t="str">
        <f ca="1"/>
        <v>Cash</v>
      </c>
      <c r="P12" t="str">
        <f ca="1"/>
        <v/>
      </c>
      <c r="Q12" t="str">
        <f ca="1"/>
        <v/>
      </c>
      <c r="R12" t="str">
        <f ca="1"/>
        <v/>
      </c>
      <c r="S12" t="str">
        <f ca="1"/>
        <v/>
      </c>
      <c r="T12" t="str">
        <f ca="1"/>
        <v/>
      </c>
      <c r="U12">
        <f ca="1">IF(LEFT(_xll.BDP($T12,U$2),4)="#N/A",0,_xll.BDP($T12,U$2))</f>
        <v>0</v>
      </c>
      <c r="V12" t="e">
        <f>_xll.BDP(#REF!,V$2)</f>
        <v>#REF!</v>
      </c>
      <c r="W12" t="e">
        <f>_xll.BDP(#REF!,W$2)</f>
        <v>#REF!</v>
      </c>
      <c r="X12" t="e">
        <f>_xll.BDP(#REF!,X$2)</f>
        <v>#REF!</v>
      </c>
      <c r="Y12" t="e">
        <f>_xll.BDP(#REF!,Y$2)</f>
        <v>#REF!</v>
      </c>
      <c r="Z12" t="e">
        <f>_xll.BDP(#REF!,Z$2)</f>
        <v>#REF!</v>
      </c>
      <c r="AA12" t="e">
        <f>_xll.BDP(#REF!,AA$2)</f>
        <v>#REF!</v>
      </c>
      <c r="AD12">
        <f ca="1">IF(LEFT(_xll.BDP($T12,AD$2),4)="#N/A",-1,_xll.BDP($T12,AD$2))</f>
        <v>-1</v>
      </c>
    </row>
    <row r="13" spans="1:31">
      <c r="A13">
        <f ca="1"/>
        <v>172</v>
      </c>
      <c r="B13" t="str">
        <f ca="1"/>
        <v>iW Partners - DCM SYSTEMATIC FUND</v>
      </c>
      <c r="C13" t="str">
        <f ca="1"/>
        <v>iW - DCM SYSTEMATIC FUND</v>
      </c>
      <c r="D13">
        <f ca="1"/>
        <v>73630</v>
      </c>
      <c r="E13" t="str">
        <f ca="1"/>
        <v>iW Partners - DIVERSIFIED ALPHA</v>
      </c>
      <c r="F13" t="str">
        <f ca="1"/>
        <v>DIVERSIFIED ALPHA</v>
      </c>
      <c r="G13">
        <f ca="1"/>
        <v>147</v>
      </c>
      <c r="H13" t="str">
        <f ca="1"/>
        <v>Pictet Fund Accounting</v>
      </c>
      <c r="I13" t="str">
        <f ca="1"/>
        <v>17472851-0</v>
      </c>
      <c r="J13" s="50">
        <f ca="1"/>
        <v>44773</v>
      </c>
      <c r="K13">
        <f ca="1"/>
        <v>0.02</v>
      </c>
      <c r="L13" t="str">
        <f ca="1"/>
        <v>73801-0</v>
      </c>
      <c r="M13" t="str">
        <f ca="1"/>
        <v>Current account Pictet &amp; Cie (Europe) S.A. @@@</v>
      </c>
      <c r="N13" t="str">
        <f ca="1"/>
        <v>THB</v>
      </c>
      <c r="O13" t="str">
        <f ca="1"/>
        <v>Cash</v>
      </c>
      <c r="P13" t="str">
        <f ca="1"/>
        <v/>
      </c>
      <c r="Q13" t="str">
        <f ca="1"/>
        <v/>
      </c>
      <c r="R13" t="str">
        <f ca="1"/>
        <v/>
      </c>
      <c r="S13" t="str">
        <f ca="1"/>
        <v/>
      </c>
      <c r="T13" t="str">
        <f ca="1"/>
        <v/>
      </c>
      <c r="U13">
        <f ca="1">IF(LEFT(_xll.BDP($T13,U$2),4)="#N/A",0,_xll.BDP($T13,U$2))</f>
        <v>0</v>
      </c>
      <c r="V13" t="e">
        <f>_xll.BDP(#REF!,V$2)</f>
        <v>#REF!</v>
      </c>
      <c r="W13" t="e">
        <f>_xll.BDP(#REF!,W$2)</f>
        <v>#REF!</v>
      </c>
      <c r="X13" t="e">
        <f>_xll.BDP(#REF!,X$2)</f>
        <v>#REF!</v>
      </c>
      <c r="Y13" t="e">
        <f>_xll.BDP(#REF!,Y$2)</f>
        <v>#REF!</v>
      </c>
      <c r="Z13" t="e">
        <f>_xll.BDP(#REF!,Z$2)</f>
        <v>#REF!</v>
      </c>
      <c r="AA13" t="e">
        <f>_xll.BDP(#REF!,AA$2)</f>
        <v>#REF!</v>
      </c>
      <c r="AD13">
        <f ca="1">IF(LEFT(_xll.BDP($T13,AD$2),4)="#N/A",-1,_xll.BDP($T13,AD$2))</f>
        <v>-1</v>
      </c>
    </row>
    <row r="14" spans="1:31">
      <c r="A14">
        <f ca="1"/>
        <v>172</v>
      </c>
      <c r="B14" t="str">
        <f ca="1"/>
        <v>iW Partners - DCM SYSTEMATIC FUND</v>
      </c>
      <c r="C14" t="str">
        <f ca="1"/>
        <v>iW - DCM SYSTEMATIC FUND</v>
      </c>
      <c r="D14">
        <f ca="1"/>
        <v>73630</v>
      </c>
      <c r="E14" t="str">
        <f ca="1"/>
        <v>iW Partners - DIVERSIFIED ALPHA</v>
      </c>
      <c r="F14" t="str">
        <f ca="1"/>
        <v>DIVERSIFIED ALPHA</v>
      </c>
      <c r="G14">
        <f ca="1"/>
        <v>147</v>
      </c>
      <c r="H14" t="str">
        <f ca="1"/>
        <v>Pictet Fund Accounting</v>
      </c>
      <c r="I14" t="str">
        <f ca="1"/>
        <v>17472853-0</v>
      </c>
      <c r="J14" s="50">
        <f ca="1"/>
        <v>44773</v>
      </c>
      <c r="K14">
        <f ca="1"/>
        <v>15740041.050000001</v>
      </c>
      <c r="L14" t="str">
        <f ca="1"/>
        <v>60578-0</v>
      </c>
      <c r="M14" t="str">
        <f ca="1"/>
        <v>Current account Pictet &amp; Cie (Europe) S.A. @@@</v>
      </c>
      <c r="N14" t="str">
        <f ca="1"/>
        <v>USD</v>
      </c>
      <c r="O14" t="str">
        <f ca="1"/>
        <v>Cash</v>
      </c>
      <c r="P14" t="str">
        <f ca="1"/>
        <v/>
      </c>
      <c r="Q14" t="str">
        <f ca="1"/>
        <v/>
      </c>
      <c r="R14" t="str">
        <f ca="1"/>
        <v/>
      </c>
      <c r="S14" t="str">
        <f ca="1"/>
        <v/>
      </c>
      <c r="T14" t="str">
        <f ca="1"/>
        <v/>
      </c>
      <c r="U14">
        <f ca="1">IF(LEFT(_xll.BDP($T14,U$2),4)="#N/A",0,_xll.BDP($T14,U$2))</f>
        <v>0</v>
      </c>
      <c r="V14" t="e">
        <f>_xll.BDP(#REF!,V$2)</f>
        <v>#REF!</v>
      </c>
      <c r="W14" t="e">
        <f>_xll.BDP(#REF!,W$2)</f>
        <v>#REF!</v>
      </c>
      <c r="X14" t="e">
        <f>_xll.BDP(#REF!,X$2)</f>
        <v>#REF!</v>
      </c>
      <c r="Y14" t="e">
        <f>_xll.BDP(#REF!,Y$2)</f>
        <v>#REF!</v>
      </c>
      <c r="Z14" t="e">
        <f>_xll.BDP(#REF!,Z$2)</f>
        <v>#REF!</v>
      </c>
      <c r="AA14" t="e">
        <f>_xll.BDP(#REF!,AA$2)</f>
        <v>#REF!</v>
      </c>
      <c r="AD14">
        <f ca="1">IF(LEFT(_xll.BDP($T14,AD$2),4)="#N/A",-1,_xll.BDP($T14,AD$2))</f>
        <v>-1</v>
      </c>
    </row>
    <row r="15" spans="1:31">
      <c r="A15">
        <f ca="1"/>
        <v>172</v>
      </c>
      <c r="B15" t="str">
        <f ca="1"/>
        <v>iW Partners - DCM SYSTEMATIC FUND</v>
      </c>
      <c r="C15" t="str">
        <f ca="1"/>
        <v>iW - DCM SYSTEMATIC FUND</v>
      </c>
      <c r="D15">
        <f ca="1"/>
        <v>73630</v>
      </c>
      <c r="E15" t="str">
        <f ca="1"/>
        <v>iW Partners - DIVERSIFIED ALPHA</v>
      </c>
      <c r="F15" t="str">
        <f ca="1"/>
        <v>DIVERSIFIED ALPHA</v>
      </c>
      <c r="G15">
        <f ca="1"/>
        <v>147</v>
      </c>
      <c r="H15" t="str">
        <f ca="1"/>
        <v>Pictet Fund Accounting</v>
      </c>
      <c r="I15" t="str">
        <f ca="1"/>
        <v>17472856-0</v>
      </c>
      <c r="J15" s="50">
        <f ca="1"/>
        <v>44773</v>
      </c>
      <c r="K15">
        <f ca="1"/>
        <v>-0.02</v>
      </c>
      <c r="L15" t="str">
        <f ca="1"/>
        <v>73808-0</v>
      </c>
      <c r="M15" t="str">
        <f ca="1"/>
        <v>Current account Pictet &amp; Cie (Europe) S.A. @@@</v>
      </c>
      <c r="N15" t="str">
        <f ca="1"/>
        <v>ZAR</v>
      </c>
      <c r="O15" t="str">
        <f ca="1"/>
        <v>Cash</v>
      </c>
      <c r="P15" t="str">
        <f ca="1"/>
        <v/>
      </c>
      <c r="Q15" t="str">
        <f ca="1"/>
        <v/>
      </c>
      <c r="R15" t="str">
        <f ca="1"/>
        <v/>
      </c>
      <c r="S15" t="str">
        <f ca="1"/>
        <v/>
      </c>
      <c r="T15" t="str">
        <f ca="1"/>
        <v/>
      </c>
      <c r="U15">
        <f ca="1">IF(LEFT(_xll.BDP($T15,U$2),4)="#N/A",0,_xll.BDP($T15,U$2))</f>
        <v>0</v>
      </c>
      <c r="V15" t="e">
        <f>_xll.BDP(#REF!,V$2)</f>
        <v>#REF!</v>
      </c>
      <c r="W15" t="e">
        <f>_xll.BDP(#REF!,W$2)</f>
        <v>#REF!</v>
      </c>
      <c r="X15" t="e">
        <f>_xll.BDP(#REF!,X$2)</f>
        <v>#REF!</v>
      </c>
      <c r="Y15" t="e">
        <f>_xll.BDP(#REF!,Y$2)</f>
        <v>#REF!</v>
      </c>
      <c r="Z15" t="e">
        <f>_xll.BDP(#REF!,Z$2)</f>
        <v>#REF!</v>
      </c>
      <c r="AA15" t="e">
        <f>_xll.BDP(#REF!,AA$2)</f>
        <v>#REF!</v>
      </c>
      <c r="AD15">
        <f ca="1">IF(LEFT(_xll.BDP($T15,AD$2),4)="#N/A",-1,_xll.BDP($T15,AD$2))</f>
        <v>-1</v>
      </c>
    </row>
    <row r="16" spans="1:31">
      <c r="A16">
        <f ca="1"/>
        <v>172</v>
      </c>
      <c r="B16" t="str">
        <f ca="1"/>
        <v>iW Partners - DCM SYSTEMATIC FUND</v>
      </c>
      <c r="C16" t="str">
        <f ca="1"/>
        <v>iW - DCM SYSTEMATIC FUND</v>
      </c>
      <c r="D16">
        <f ca="1"/>
        <v>73630</v>
      </c>
      <c r="E16" t="str">
        <f ca="1"/>
        <v>iW Partners - DIVERSIFIED ALPHA</v>
      </c>
      <c r="F16" t="str">
        <f ca="1"/>
        <v>DIVERSIFIED ALPHA</v>
      </c>
      <c r="G16">
        <f ca="1"/>
        <v>147</v>
      </c>
      <c r="H16" t="str">
        <f ca="1"/>
        <v>Pictet Fund Accounting</v>
      </c>
      <c r="I16" t="str">
        <f ca="1"/>
        <v>17472859-0</v>
      </c>
      <c r="J16" s="50">
        <f ca="1"/>
        <v>44773</v>
      </c>
      <c r="K16">
        <f ca="1"/>
        <v>-0.09</v>
      </c>
      <c r="L16" t="str">
        <f ca="1"/>
        <v>73901-0</v>
      </c>
      <c r="M16" t="str">
        <f ca="1"/>
        <v>Current account Pictet &amp; Cie (Europe) S.A. @@@</v>
      </c>
      <c r="N16" t="str">
        <f ca="1"/>
        <v>MXN</v>
      </c>
      <c r="O16" t="str">
        <f ca="1"/>
        <v>Cash</v>
      </c>
      <c r="P16" t="str">
        <f ca="1"/>
        <v/>
      </c>
      <c r="Q16" t="str">
        <f ca="1"/>
        <v/>
      </c>
      <c r="R16" t="str">
        <f ca="1"/>
        <v/>
      </c>
      <c r="S16" t="str">
        <f ca="1"/>
        <v/>
      </c>
      <c r="T16" t="str">
        <f ca="1"/>
        <v/>
      </c>
      <c r="U16">
        <f ca="1">IF(LEFT(_xll.BDP($T16,U$2),4)="#N/A",0,_xll.BDP($T16,U$2))</f>
        <v>0</v>
      </c>
      <c r="V16" t="e">
        <f>_xll.BDP(#REF!,V$2)</f>
        <v>#REF!</v>
      </c>
      <c r="W16" t="e">
        <f>_xll.BDP(#REF!,W$2)</f>
        <v>#REF!</v>
      </c>
      <c r="X16" t="e">
        <f>_xll.BDP(#REF!,X$2)</f>
        <v>#REF!</v>
      </c>
      <c r="Y16" t="e">
        <f>_xll.BDP(#REF!,Y$2)</f>
        <v>#REF!</v>
      </c>
      <c r="Z16" t="e">
        <f>_xll.BDP(#REF!,Z$2)</f>
        <v>#REF!</v>
      </c>
      <c r="AA16" t="e">
        <f>_xll.BDP(#REF!,AA$2)</f>
        <v>#REF!</v>
      </c>
      <c r="AD16">
        <f ca="1">IF(LEFT(_xll.BDP($T16,AD$2),4)="#N/A",-1,_xll.BDP($T16,AD$2))</f>
        <v>-1</v>
      </c>
    </row>
    <row r="17" spans="1:30">
      <c r="A17">
        <f ca="1"/>
        <v>172</v>
      </c>
      <c r="B17" t="str">
        <f ca="1"/>
        <v>iW Partners - DCM SYSTEMATIC FUND</v>
      </c>
      <c r="C17" t="str">
        <f ca="1"/>
        <v>iW - DCM SYSTEMATIC FUND</v>
      </c>
      <c r="D17">
        <f ca="1"/>
        <v>73630</v>
      </c>
      <c r="E17" t="str">
        <f ca="1"/>
        <v>iW Partners - DIVERSIFIED ALPHA</v>
      </c>
      <c r="F17" t="str">
        <f ca="1"/>
        <v>DIVERSIFIED ALPHA</v>
      </c>
      <c r="G17">
        <f ca="1"/>
        <v>147</v>
      </c>
      <c r="H17" t="str">
        <f ca="1"/>
        <v>Pictet Fund Accounting</v>
      </c>
      <c r="I17" t="str">
        <f ca="1"/>
        <v>17472861-0</v>
      </c>
      <c r="J17" s="50">
        <f ca="1"/>
        <v>44773</v>
      </c>
      <c r="K17">
        <f ca="1"/>
        <v>0.06</v>
      </c>
      <c r="L17" t="str">
        <f ca="1"/>
        <v>73904-0</v>
      </c>
      <c r="M17" t="str">
        <f ca="1"/>
        <v>Current account Pictet &amp; Cie (Europe) S.A. @@@</v>
      </c>
      <c r="N17" t="str">
        <f ca="1"/>
        <v>HUF</v>
      </c>
      <c r="O17" t="str">
        <f ca="1"/>
        <v>Cash</v>
      </c>
      <c r="P17" t="str">
        <f ca="1"/>
        <v/>
      </c>
      <c r="Q17" t="str">
        <f ca="1"/>
        <v/>
      </c>
      <c r="R17" t="str">
        <f ca="1"/>
        <v/>
      </c>
      <c r="S17" t="str">
        <f ca="1"/>
        <v/>
      </c>
      <c r="T17" t="str">
        <f ca="1"/>
        <v/>
      </c>
      <c r="U17">
        <f ca="1">IF(LEFT(_xll.BDP($T17,U$2),4)="#N/A",0,_xll.BDP($T17,U$2))</f>
        <v>0</v>
      </c>
      <c r="V17" t="e">
        <f>_xll.BDP(#REF!,V$2)</f>
        <v>#REF!</v>
      </c>
      <c r="W17" t="e">
        <f>_xll.BDP(#REF!,W$2)</f>
        <v>#REF!</v>
      </c>
      <c r="X17" t="e">
        <f>_xll.BDP(#REF!,X$2)</f>
        <v>#REF!</v>
      </c>
      <c r="Y17" t="e">
        <f>_xll.BDP(#REF!,Y$2)</f>
        <v>#REF!</v>
      </c>
      <c r="Z17" t="e">
        <f>_xll.BDP(#REF!,Z$2)</f>
        <v>#REF!</v>
      </c>
      <c r="AA17" t="e">
        <f>_xll.BDP(#REF!,AA$2)</f>
        <v>#REF!</v>
      </c>
      <c r="AD17">
        <f ca="1">IF(LEFT(_xll.BDP($T17,AD$2),4)="#N/A",-1,_xll.BDP($T17,AD$2))</f>
        <v>-1</v>
      </c>
    </row>
    <row r="18" spans="1:30">
      <c r="A18">
        <f ca="1"/>
        <v>172</v>
      </c>
      <c r="B18" t="str">
        <f ca="1"/>
        <v>iW Partners - DCM SYSTEMATIC FUND</v>
      </c>
      <c r="C18" t="str">
        <f ca="1"/>
        <v>iW - DCM SYSTEMATIC FUND</v>
      </c>
      <c r="D18">
        <f ca="1"/>
        <v>73630</v>
      </c>
      <c r="E18" t="str">
        <f ca="1"/>
        <v>iW Partners - DIVERSIFIED ALPHA</v>
      </c>
      <c r="F18" t="str">
        <f ca="1"/>
        <v>DIVERSIFIED ALPHA</v>
      </c>
      <c r="G18">
        <f ca="1"/>
        <v>147</v>
      </c>
      <c r="H18" t="str">
        <f ca="1"/>
        <v>Pictet Fund Accounting</v>
      </c>
      <c r="I18" t="str">
        <f ca="1"/>
        <v>17472887-0</v>
      </c>
      <c r="J18" s="50">
        <f ca="1"/>
        <v>44773</v>
      </c>
      <c r="K18">
        <f ca="1"/>
        <v>114193.72</v>
      </c>
      <c r="L18" t="str">
        <f ca="1"/>
        <v>60596-0</v>
      </c>
      <c r="M18" t="str">
        <f ca="1"/>
        <v>Current account Pictet &amp; Cie (Europe) S.A. @@@</v>
      </c>
      <c r="N18" t="str">
        <f ca="1"/>
        <v>CAD</v>
      </c>
      <c r="O18" t="str">
        <f ca="1"/>
        <v>Cash</v>
      </c>
      <c r="P18" t="str">
        <f ca="1"/>
        <v/>
      </c>
      <c r="Q18" t="str">
        <f ca="1"/>
        <v/>
      </c>
      <c r="R18" t="str">
        <f ca="1"/>
        <v/>
      </c>
      <c r="S18" t="str">
        <f ca="1"/>
        <v/>
      </c>
      <c r="T18" t="str">
        <f ca="1"/>
        <v/>
      </c>
      <c r="U18">
        <f ca="1">IF(LEFT(_xll.BDP($T18,U$2),4)="#N/A",0,_xll.BDP($T18,U$2))</f>
        <v>0</v>
      </c>
      <c r="V18" t="e">
        <f>_xll.BDP(#REF!,V$2)</f>
        <v>#REF!</v>
      </c>
      <c r="W18" t="e">
        <f>_xll.BDP(#REF!,W$2)</f>
        <v>#REF!</v>
      </c>
      <c r="X18" t="e">
        <f>_xll.BDP(#REF!,X$2)</f>
        <v>#REF!</v>
      </c>
      <c r="Y18" t="e">
        <f>_xll.BDP(#REF!,Y$2)</f>
        <v>#REF!</v>
      </c>
      <c r="Z18" t="e">
        <f>_xll.BDP(#REF!,Z$2)</f>
        <v>#REF!</v>
      </c>
      <c r="AA18" t="e">
        <f>_xll.BDP(#REF!,AA$2)</f>
        <v>#REF!</v>
      </c>
      <c r="AD18">
        <f ca="1">IF(LEFT(_xll.BDP($T18,AD$2),4)="#N/A",-1,_xll.BDP($T18,AD$2))</f>
        <v>-1</v>
      </c>
    </row>
    <row r="19" spans="1:30">
      <c r="A19">
        <f ca="1"/>
        <v>172</v>
      </c>
      <c r="B19" t="str">
        <f ca="1"/>
        <v>iW Partners - DCM SYSTEMATIC FUND</v>
      </c>
      <c r="C19" t="str">
        <f ca="1"/>
        <v>iW - DCM SYSTEMATIC FUND</v>
      </c>
      <c r="D19">
        <f ca="1"/>
        <v>73630</v>
      </c>
      <c r="E19" t="str">
        <f ca="1"/>
        <v>iW Partners - DIVERSIFIED ALPHA</v>
      </c>
      <c r="F19" t="str">
        <f ca="1"/>
        <v>DIVERSIFIED ALPHA</v>
      </c>
      <c r="G19">
        <f ca="1"/>
        <v>147</v>
      </c>
      <c r="H19" t="str">
        <f ca="1"/>
        <v>Pictet Fund Accounting</v>
      </c>
      <c r="I19" t="str">
        <f ca="1"/>
        <v>17472904-0</v>
      </c>
      <c r="J19" s="50">
        <f ca="1"/>
        <v>44773</v>
      </c>
      <c r="K19">
        <f ca="1"/>
        <v>-0.16</v>
      </c>
      <c r="L19" t="str">
        <f ca="1"/>
        <v>73860-0</v>
      </c>
      <c r="M19" t="str">
        <f ca="1"/>
        <v>Current account Pictet &amp; Cie (Europe) S.A. @@@</v>
      </c>
      <c r="N19" t="str">
        <f ca="1"/>
        <v>CZK</v>
      </c>
      <c r="O19" t="str">
        <f ca="1"/>
        <v>Cash</v>
      </c>
      <c r="P19" t="str">
        <f ca="1"/>
        <v/>
      </c>
      <c r="Q19" t="str">
        <f ca="1"/>
        <v/>
      </c>
      <c r="R19" t="str">
        <f ca="1"/>
        <v/>
      </c>
      <c r="S19" t="str">
        <f ca="1"/>
        <v/>
      </c>
      <c r="T19" t="str">
        <f ca="1"/>
        <v/>
      </c>
      <c r="U19">
        <f ca="1">IF(LEFT(_xll.BDP($T19,U$2),4)="#N/A",0,_xll.BDP($T19,U$2))</f>
        <v>0</v>
      </c>
      <c r="V19" t="e">
        <f>_xll.BDP(#REF!,V$2)</f>
        <v>#REF!</v>
      </c>
      <c r="W19" t="e">
        <f>_xll.BDP(#REF!,W$2)</f>
        <v>#REF!</v>
      </c>
      <c r="X19" t="e">
        <f>_xll.BDP(#REF!,X$2)</f>
        <v>#REF!</v>
      </c>
      <c r="Y19" t="e">
        <f>_xll.BDP(#REF!,Y$2)</f>
        <v>#REF!</v>
      </c>
      <c r="Z19" t="e">
        <f>_xll.BDP(#REF!,Z$2)</f>
        <v>#REF!</v>
      </c>
      <c r="AA19" t="e">
        <f>_xll.BDP(#REF!,AA$2)</f>
        <v>#REF!</v>
      </c>
      <c r="AD19">
        <f ca="1">IF(LEFT(_xll.BDP($T19,AD$2),4)="#N/A",-1,_xll.BDP($T19,AD$2))</f>
        <v>-1</v>
      </c>
    </row>
    <row r="20" spans="1:30">
      <c r="A20">
        <f ca="1"/>
        <v>172</v>
      </c>
      <c r="B20" t="str">
        <f ca="1"/>
        <v>iW Partners - DCM SYSTEMATIC FUND</v>
      </c>
      <c r="C20" t="str">
        <f ca="1"/>
        <v>iW - DCM SYSTEMATIC FUND</v>
      </c>
      <c r="D20">
        <f ca="1"/>
        <v>73630</v>
      </c>
      <c r="E20" t="str">
        <f ca="1"/>
        <v>iW Partners - DIVERSIFIED ALPHA</v>
      </c>
      <c r="F20" t="str">
        <f ca="1"/>
        <v>DIVERSIFIED ALPHA</v>
      </c>
      <c r="G20">
        <f ca="1"/>
        <v>147</v>
      </c>
      <c r="H20" t="str">
        <f ca="1"/>
        <v>Pictet Fund Accounting</v>
      </c>
      <c r="I20" t="str">
        <f ca="1"/>
        <v>17472909-0</v>
      </c>
      <c r="J20" s="50">
        <f ca="1"/>
        <v>44773</v>
      </c>
      <c r="K20">
        <f ca="1"/>
        <v>-1196272.68</v>
      </c>
      <c r="L20" t="str">
        <f ca="1"/>
        <v>60594-0</v>
      </c>
      <c r="M20" t="str">
        <f ca="1"/>
        <v>Current account Pictet &amp; Cie (Europe) S.A. @@@</v>
      </c>
      <c r="N20" t="str">
        <f ca="1"/>
        <v>GBP</v>
      </c>
      <c r="O20" t="str">
        <f ca="1"/>
        <v>Cash</v>
      </c>
      <c r="P20" t="str">
        <f ca="1"/>
        <v/>
      </c>
      <c r="Q20" t="str">
        <f ca="1"/>
        <v/>
      </c>
      <c r="R20" t="str">
        <f ca="1"/>
        <v/>
      </c>
      <c r="S20" t="str">
        <f ca="1"/>
        <v/>
      </c>
      <c r="T20" t="str">
        <f ca="1"/>
        <v/>
      </c>
      <c r="U20">
        <f ca="1">IF(LEFT(_xll.BDP($T20,U$2),4)="#N/A",0,_xll.BDP($T20,U$2))</f>
        <v>0</v>
      </c>
      <c r="V20" t="e">
        <f>_xll.BDP(#REF!,V$2)</f>
        <v>#REF!</v>
      </c>
      <c r="W20" t="e">
        <f>_xll.BDP(#REF!,W$2)</f>
        <v>#REF!</v>
      </c>
      <c r="X20" t="e">
        <f>_xll.BDP(#REF!,X$2)</f>
        <v>#REF!</v>
      </c>
      <c r="Y20" t="e">
        <f>_xll.BDP(#REF!,Y$2)</f>
        <v>#REF!</v>
      </c>
      <c r="Z20" t="e">
        <f>_xll.BDP(#REF!,Z$2)</f>
        <v>#REF!</v>
      </c>
      <c r="AA20" t="e">
        <f>_xll.BDP(#REF!,AA$2)</f>
        <v>#REF!</v>
      </c>
      <c r="AD20">
        <f ca="1">IF(LEFT(_xll.BDP($T20,AD$2),4)="#N/A",-1,_xll.BDP($T20,AD$2))</f>
        <v>-1</v>
      </c>
    </row>
    <row r="21" spans="1:30">
      <c r="A21">
        <f ca="1"/>
        <v>172</v>
      </c>
      <c r="B21" t="str">
        <f ca="1"/>
        <v>iW Partners - DCM SYSTEMATIC FUND</v>
      </c>
      <c r="C21" t="str">
        <f ca="1"/>
        <v>iW - DCM SYSTEMATIC FUND</v>
      </c>
      <c r="D21">
        <f ca="1"/>
        <v>73630</v>
      </c>
      <c r="E21" t="str">
        <f ca="1"/>
        <v>iW Partners - DIVERSIFIED ALPHA</v>
      </c>
      <c r="F21" t="str">
        <f ca="1"/>
        <v>DIVERSIFIED ALPHA</v>
      </c>
      <c r="G21">
        <f ca="1"/>
        <v>147</v>
      </c>
      <c r="H21" t="str">
        <f ca="1"/>
        <v>Pictet Fund Accounting</v>
      </c>
      <c r="I21" t="str">
        <f ca="1"/>
        <v>17472827-0</v>
      </c>
      <c r="J21" s="50">
        <f ca="1"/>
        <v>44773</v>
      </c>
      <c r="K21">
        <f ca="1"/>
        <v>-55</v>
      </c>
      <c r="L21" t="str">
        <f ca="1"/>
        <v>153481-0</v>
      </c>
      <c r="M21" t="str">
        <f ca="1"/>
        <v>COMMODITIES CACAO</v>
      </c>
      <c r="N21" t="str">
        <f ca="1"/>
        <v>USD</v>
      </c>
      <c r="O21" t="str">
        <f ca="1"/>
        <v>Commodity Future</v>
      </c>
      <c r="P21" t="str">
        <f ca="1"/>
        <v/>
      </c>
      <c r="Q21" t="str">
        <f ca="1"/>
        <v/>
      </c>
      <c r="R21" t="str">
        <f ca="1"/>
        <v>ZZ00WNFWQ1 0</v>
      </c>
      <c r="S21" t="str">
        <f ca="1"/>
        <v/>
      </c>
      <c r="T21" t="str">
        <f ca="1"/>
        <v>CCZ2 Comdty</v>
      </c>
      <c r="U21">
        <f ca="1">IF(LEFT(_xll.BDP($T21,U$2),4)="#N/A",0,_xll.BDP($T21,U$2))</f>
        <v>0</v>
      </c>
      <c r="V21" t="e">
        <f>_xll.BDP(#REF!,V$2)</f>
        <v>#REF!</v>
      </c>
      <c r="W21" t="e">
        <f>_xll.BDP(#REF!,W$2)</f>
        <v>#REF!</v>
      </c>
      <c r="X21" t="e">
        <f>_xll.BDP(#REF!,X$2)</f>
        <v>#REF!</v>
      </c>
      <c r="Y21" t="e">
        <f>_xll.BDP(#REF!,Y$2)</f>
        <v>#REF!</v>
      </c>
      <c r="Z21" t="e">
        <f>_xll.BDP(#REF!,Z$2)</f>
        <v>#REF!</v>
      </c>
      <c r="AA21" t="e">
        <f>_xll.BDP(#REF!,AA$2)</f>
        <v>#REF!</v>
      </c>
      <c r="AD21">
        <f ca="1">IF(LEFT(_xll.BDP($T21,AD$2),4)="#N/A",-1,_xll.BDP($T21,AD$2))</f>
        <v>14541.1</v>
      </c>
    </row>
    <row r="22" spans="1:30">
      <c r="A22">
        <f ca="1"/>
        <v>172</v>
      </c>
      <c r="B22" t="str">
        <f ca="1"/>
        <v>iW Partners - DCM SYSTEMATIC FUND</v>
      </c>
      <c r="C22" t="str">
        <f ca="1"/>
        <v>iW - DCM SYSTEMATIC FUND</v>
      </c>
      <c r="D22">
        <f ca="1"/>
        <v>73630</v>
      </c>
      <c r="E22" t="str">
        <f ca="1"/>
        <v>iW Partners - DIVERSIFIED ALPHA</v>
      </c>
      <c r="F22" t="str">
        <f ca="1"/>
        <v>DIVERSIFIED ALPHA</v>
      </c>
      <c r="G22">
        <f ca="1"/>
        <v>147</v>
      </c>
      <c r="H22" t="str">
        <f ca="1"/>
        <v>Pictet Fund Accounting</v>
      </c>
      <c r="I22" t="str">
        <f ca="1"/>
        <v>17472894-0</v>
      </c>
      <c r="J22" s="50">
        <f ca="1"/>
        <v>44773</v>
      </c>
      <c r="K22">
        <f ca="1"/>
        <v>8</v>
      </c>
      <c r="L22" t="str">
        <f ca="1"/>
        <v>153988-0</v>
      </c>
      <c r="M22" t="str">
        <f ca="1"/>
        <v>COMMODITIES COFFEE 'C'</v>
      </c>
      <c r="N22" t="str">
        <f ca="1"/>
        <v>USD</v>
      </c>
      <c r="O22" t="str">
        <f ca="1"/>
        <v>Commodity Future</v>
      </c>
      <c r="P22" t="str">
        <f ca="1"/>
        <v/>
      </c>
      <c r="Q22" t="str">
        <f ca="1"/>
        <v/>
      </c>
      <c r="R22" t="str">
        <f ca="1"/>
        <v>ZZ00WNOT8X 0</v>
      </c>
      <c r="S22" t="str">
        <f ca="1"/>
        <v/>
      </c>
      <c r="T22" t="str">
        <f ca="1"/>
        <v>KCZ2 Comdty</v>
      </c>
      <c r="U22">
        <f ca="1">IF(LEFT(_xll.BDP($T22,U$2),4)="#N/A",0,_xll.BDP($T22,U$2))</f>
        <v>0</v>
      </c>
      <c r="V22" t="e">
        <f>_xll.BDP(#REF!,V$2)</f>
        <v>#REF!</v>
      </c>
      <c r="W22" t="e">
        <f>_xll.BDP(#REF!,W$2)</f>
        <v>#REF!</v>
      </c>
      <c r="X22" t="e">
        <f>_xll.BDP(#REF!,X$2)</f>
        <v>#REF!</v>
      </c>
      <c r="Y22" t="e">
        <f>_xll.BDP(#REF!,Y$2)</f>
        <v>#REF!</v>
      </c>
      <c r="Z22" t="e">
        <f>_xll.BDP(#REF!,Z$2)</f>
        <v>#REF!</v>
      </c>
      <c r="AA22" t="e">
        <f>_xll.BDP(#REF!,AA$2)</f>
        <v>#REF!</v>
      </c>
      <c r="AD22">
        <f ca="1">IF(LEFT(_xll.BDP($T22,AD$2),4)="#N/A",-1,_xll.BDP($T22,AD$2))</f>
        <v>9785.4500000000007</v>
      </c>
    </row>
    <row r="23" spans="1:30">
      <c r="A23">
        <f ca="1"/>
        <v>172</v>
      </c>
      <c r="B23" t="str">
        <f ca="1"/>
        <v>iW Partners - DCM SYSTEMATIC FUND</v>
      </c>
      <c r="C23" t="str">
        <f ca="1"/>
        <v>iW - DCM SYSTEMATIC FUND</v>
      </c>
      <c r="D23">
        <f ca="1"/>
        <v>73630</v>
      </c>
      <c r="E23" t="str">
        <f ca="1"/>
        <v>iW Partners - DIVERSIFIED ALPHA</v>
      </c>
      <c r="F23" t="str">
        <f ca="1"/>
        <v>DIVERSIFIED ALPHA</v>
      </c>
      <c r="G23">
        <f ca="1"/>
        <v>147</v>
      </c>
      <c r="H23" t="str">
        <f ca="1"/>
        <v>Pictet Fund Accounting</v>
      </c>
      <c r="I23" t="str">
        <f ca="1"/>
        <v>17472913-0</v>
      </c>
      <c r="J23" s="50">
        <f ca="1"/>
        <v>44773</v>
      </c>
      <c r="K23">
        <f ca="1"/>
        <v>-7</v>
      </c>
      <c r="L23" t="str">
        <f ca="1"/>
        <v>153493-0</v>
      </c>
      <c r="M23" t="str">
        <f ca="1"/>
        <v>COMMODITIES COTTON</v>
      </c>
      <c r="N23" t="str">
        <f ca="1"/>
        <v>USD</v>
      </c>
      <c r="O23" t="str">
        <f ca="1"/>
        <v>Commodity Future</v>
      </c>
      <c r="P23" t="str">
        <f ca="1"/>
        <v/>
      </c>
      <c r="Q23" t="str">
        <f ca="1"/>
        <v/>
      </c>
      <c r="R23" t="str">
        <f ca="1"/>
        <v>ZZ00WR8STJ 0</v>
      </c>
      <c r="S23" t="str">
        <f ca="1"/>
        <v/>
      </c>
      <c r="T23" t="str">
        <f ca="1"/>
        <v>CTH3 Comdty</v>
      </c>
      <c r="U23">
        <f ca="1">IF(LEFT(_xll.BDP($T23,U$2),4)="#N/A",0,_xll.BDP($T23,U$2))</f>
        <v>0</v>
      </c>
      <c r="V23" t="e">
        <f>_xll.BDP(#REF!,V$2)</f>
        <v>#REF!</v>
      </c>
      <c r="W23" t="e">
        <f>_xll.BDP(#REF!,W$2)</f>
        <v>#REF!</v>
      </c>
      <c r="X23" t="e">
        <f>_xll.BDP(#REF!,X$2)</f>
        <v>#REF!</v>
      </c>
      <c r="Y23" t="e">
        <f>_xll.BDP(#REF!,Y$2)</f>
        <v>#REF!</v>
      </c>
      <c r="Z23" t="e">
        <f>_xll.BDP(#REF!,Z$2)</f>
        <v>#REF!</v>
      </c>
      <c r="AA23" t="e">
        <f>_xll.BDP(#REF!,AA$2)</f>
        <v>#REF!</v>
      </c>
      <c r="AD23">
        <f ca="1">IF(LEFT(_xll.BDP($T23,AD$2),4)="#N/A",-1,_xll.BDP($T23,AD$2))</f>
        <v>4874.75</v>
      </c>
    </row>
    <row r="24" spans="1:30">
      <c r="A24">
        <f ca="1"/>
        <v>172</v>
      </c>
      <c r="B24" t="str">
        <f ca="1"/>
        <v>iW Partners - DCM SYSTEMATIC FUND</v>
      </c>
      <c r="C24" t="str">
        <f ca="1"/>
        <v>iW - DCM SYSTEMATIC FUND</v>
      </c>
      <c r="D24">
        <f ca="1"/>
        <v>73630</v>
      </c>
      <c r="E24" t="str">
        <f ca="1"/>
        <v>iW Partners - DIVERSIFIED ALPHA</v>
      </c>
      <c r="F24" t="str">
        <f ca="1"/>
        <v>DIVERSIFIED ALPHA</v>
      </c>
      <c r="G24">
        <f ca="1"/>
        <v>147</v>
      </c>
      <c r="H24" t="str">
        <f ca="1"/>
        <v>Pictet Fund Accounting</v>
      </c>
      <c r="I24" t="str">
        <f ca="1"/>
        <v>17472850-0</v>
      </c>
      <c r="J24" s="50">
        <f ca="1"/>
        <v>44773</v>
      </c>
      <c r="K24">
        <f ca="1"/>
        <v>2</v>
      </c>
      <c r="L24" t="str">
        <f ca="1"/>
        <v>154355-0</v>
      </c>
      <c r="M24" t="str">
        <f ca="1"/>
        <v>COMMODITIES HIGH GRADE COPPER</v>
      </c>
      <c r="N24" t="str">
        <f ca="1"/>
        <v>USD</v>
      </c>
      <c r="O24" t="str">
        <f ca="1"/>
        <v>Commodity Future</v>
      </c>
      <c r="P24" t="str">
        <f ca="1"/>
        <v/>
      </c>
      <c r="Q24" t="str">
        <f ca="1"/>
        <v/>
      </c>
      <c r="R24" t="str">
        <f ca="1"/>
        <v>ZZ00WU8HFG 0</v>
      </c>
      <c r="S24" t="str">
        <f ca="1"/>
        <v/>
      </c>
      <c r="T24" t="str">
        <f ca="1"/>
        <v>HGU2 Comdty</v>
      </c>
      <c r="U24">
        <f ca="1">IF(LEFT(_xll.BDP($T24,U$2),4)="#N/A",0,_xll.BDP($T24,U$2))</f>
        <v>0</v>
      </c>
      <c r="V24" t="e">
        <f>_xll.BDP(#REF!,V$2)</f>
        <v>#REF!</v>
      </c>
      <c r="W24" t="e">
        <f>_xll.BDP(#REF!,W$2)</f>
        <v>#REF!</v>
      </c>
      <c r="X24" t="e">
        <f>_xll.BDP(#REF!,X$2)</f>
        <v>#REF!</v>
      </c>
      <c r="Y24" t="e">
        <f>_xll.BDP(#REF!,Y$2)</f>
        <v>#REF!</v>
      </c>
      <c r="Z24" t="e">
        <f>_xll.BDP(#REF!,Z$2)</f>
        <v>#REF!</v>
      </c>
      <c r="AA24" t="e">
        <f>_xll.BDP(#REF!,AA$2)</f>
        <v>#REF!</v>
      </c>
      <c r="AD24">
        <f ca="1">IF(LEFT(_xll.BDP($T24,AD$2),4)="#N/A",-1,_xll.BDP($T24,AD$2))</f>
        <v>66759.05</v>
      </c>
    </row>
    <row r="25" spans="1:30">
      <c r="A25">
        <f ca="1"/>
        <v>172</v>
      </c>
      <c r="B25" t="str">
        <f ca="1"/>
        <v>iW Partners - DCM SYSTEMATIC FUND</v>
      </c>
      <c r="C25" t="str">
        <f ca="1"/>
        <v>iW - DCM SYSTEMATIC FUND</v>
      </c>
      <c r="D25">
        <f ca="1"/>
        <v>73630</v>
      </c>
      <c r="E25" t="str">
        <f ca="1"/>
        <v>iW Partners - DIVERSIFIED ALPHA</v>
      </c>
      <c r="F25" t="str">
        <f ca="1"/>
        <v>DIVERSIFIED ALPHA</v>
      </c>
      <c r="G25">
        <f ca="1"/>
        <v>147</v>
      </c>
      <c r="H25" t="str">
        <f ca="1"/>
        <v>Pictet Fund Accounting</v>
      </c>
      <c r="I25" t="str">
        <f ca="1"/>
        <v>17472835-0</v>
      </c>
      <c r="J25" s="50">
        <f ca="1"/>
        <v>44773</v>
      </c>
      <c r="K25">
        <f ca="1"/>
        <v>16</v>
      </c>
      <c r="L25" t="str">
        <f ca="1"/>
        <v>154353-0</v>
      </c>
      <c r="M25" t="str">
        <f ca="1"/>
        <v>COMMODITIES ICE  CRUDE OIL</v>
      </c>
      <c r="N25" t="str">
        <f ca="1"/>
        <v>USD</v>
      </c>
      <c r="O25" t="str">
        <f ca="1"/>
        <v>Commodity Future</v>
      </c>
      <c r="P25" t="str">
        <f ca="1"/>
        <v/>
      </c>
      <c r="Q25" t="str">
        <f ca="1"/>
        <v/>
      </c>
      <c r="R25" t="str">
        <f ca="1"/>
        <v>GB00H1JWRW81</v>
      </c>
      <c r="S25" t="str">
        <f ca="1"/>
        <v/>
      </c>
      <c r="T25" t="str">
        <f ca="1"/>
        <v>COZ2 Comdty</v>
      </c>
      <c r="U25">
        <f ca="1">IF(LEFT(_xll.BDP($T25,U$2),4)="#N/A",0,_xll.BDP($T25,U$2))</f>
        <v>0</v>
      </c>
      <c r="V25" t="e">
        <f>_xll.BDP(#REF!,V$2)</f>
        <v>#REF!</v>
      </c>
      <c r="W25" t="e">
        <f>_xll.BDP(#REF!,W$2)</f>
        <v>#REF!</v>
      </c>
      <c r="X25" t="e">
        <f>_xll.BDP(#REF!,X$2)</f>
        <v>#REF!</v>
      </c>
      <c r="Y25" t="e">
        <f>_xll.BDP(#REF!,Y$2)</f>
        <v>#REF!</v>
      </c>
      <c r="Z25" t="e">
        <f>_xll.BDP(#REF!,Z$2)</f>
        <v>#REF!</v>
      </c>
      <c r="AA25" t="e">
        <f>_xll.BDP(#REF!,AA$2)</f>
        <v>#REF!</v>
      </c>
      <c r="AD25">
        <f ca="1">IF(LEFT(_xll.BDP($T25,AD$2),4)="#N/A",-1,_xll.BDP($T25,AD$2))</f>
        <v>130154.45</v>
      </c>
    </row>
    <row r="26" spans="1:30">
      <c r="A26">
        <f ca="1"/>
        <v>172</v>
      </c>
      <c r="B26" t="str">
        <f ca="1"/>
        <v>iW Partners - DCM SYSTEMATIC FUND</v>
      </c>
      <c r="C26" t="str">
        <f ca="1"/>
        <v>iW - DCM SYSTEMATIC FUND</v>
      </c>
      <c r="D26">
        <f ca="1"/>
        <v>73630</v>
      </c>
      <c r="E26" t="str">
        <f ca="1"/>
        <v>iW Partners - DIVERSIFIED ALPHA</v>
      </c>
      <c r="F26" t="str">
        <f ca="1"/>
        <v>DIVERSIFIED ALPHA</v>
      </c>
      <c r="G26">
        <f ca="1"/>
        <v>147</v>
      </c>
      <c r="H26" t="str">
        <f ca="1"/>
        <v>Pictet Fund Accounting</v>
      </c>
      <c r="I26" t="str">
        <f ca="1"/>
        <v>17472843-0</v>
      </c>
      <c r="J26" s="50">
        <f ca="1"/>
        <v>44773</v>
      </c>
      <c r="K26">
        <f ca="1"/>
        <v>184</v>
      </c>
      <c r="L26" t="str">
        <f ca="1"/>
        <v>146189-0</v>
      </c>
      <c r="M26" t="str">
        <f ca="1"/>
        <v>COMMODITIES ICE  CRUDE OIL</v>
      </c>
      <c r="N26" t="str">
        <f ca="1"/>
        <v>USD</v>
      </c>
      <c r="O26" t="str">
        <f ca="1"/>
        <v>Commodity Future</v>
      </c>
      <c r="P26" t="str">
        <f ca="1"/>
        <v/>
      </c>
      <c r="Q26" t="str">
        <f ca="1"/>
        <v/>
      </c>
      <c r="R26" t="str">
        <f ca="1"/>
        <v>GB00H1JWRR39</v>
      </c>
      <c r="S26" t="str">
        <f ca="1"/>
        <v/>
      </c>
      <c r="T26" t="str">
        <f ca="1"/>
        <v>COV2 Comdty</v>
      </c>
      <c r="U26">
        <f ca="1">IF(LEFT(_xll.BDP($T26,U$2),4)="#N/A",0,_xll.BDP($T26,U$2))</f>
        <v>0</v>
      </c>
      <c r="V26" t="e">
        <f>_xll.BDP(#REF!,V$2)</f>
        <v>#REF!</v>
      </c>
      <c r="W26" t="e">
        <f>_xll.BDP(#REF!,W$2)</f>
        <v>#REF!</v>
      </c>
      <c r="X26" t="e">
        <f>_xll.BDP(#REF!,X$2)</f>
        <v>#REF!</v>
      </c>
      <c r="Y26" t="e">
        <f>_xll.BDP(#REF!,Y$2)</f>
        <v>#REF!</v>
      </c>
      <c r="Z26" t="e">
        <f>_xll.BDP(#REF!,Z$2)</f>
        <v>#REF!</v>
      </c>
      <c r="AA26" t="e">
        <f>_xll.BDP(#REF!,AA$2)</f>
        <v>#REF!</v>
      </c>
      <c r="AD26">
        <f ca="1">IF(LEFT(_xll.BDP($T26,AD$2),4)="#N/A",-1,_xll.BDP($T26,AD$2))</f>
        <v>212018.8</v>
      </c>
    </row>
    <row r="27" spans="1:30">
      <c r="A27">
        <f ca="1"/>
        <v>172</v>
      </c>
      <c r="B27" t="str">
        <f ca="1"/>
        <v>iW Partners - DCM SYSTEMATIC FUND</v>
      </c>
      <c r="C27" t="str">
        <f ca="1"/>
        <v>iW - DCM SYSTEMATIC FUND</v>
      </c>
      <c r="D27">
        <f ca="1"/>
        <v>73630</v>
      </c>
      <c r="E27" t="str">
        <f ca="1"/>
        <v>iW Partners - DIVERSIFIED ALPHA</v>
      </c>
      <c r="F27" t="str">
        <f ca="1"/>
        <v>DIVERSIFIED ALPHA</v>
      </c>
      <c r="G27">
        <f ca="1"/>
        <v>147</v>
      </c>
      <c r="H27" t="str">
        <f ca="1"/>
        <v>Pictet Fund Accounting</v>
      </c>
      <c r="I27" t="str">
        <f ca="1"/>
        <v>17472863-0</v>
      </c>
      <c r="J27" s="50">
        <f ca="1"/>
        <v>44773</v>
      </c>
      <c r="K27">
        <f ca="1"/>
        <v>20</v>
      </c>
      <c r="L27" t="str">
        <f ca="1"/>
        <v>147309-0</v>
      </c>
      <c r="M27" t="str">
        <f ca="1"/>
        <v>COMMODITIES ICE  CRUDE OIL</v>
      </c>
      <c r="N27" t="str">
        <f ca="1"/>
        <v>USD</v>
      </c>
      <c r="O27" t="str">
        <f ca="1"/>
        <v>Commodity Future</v>
      </c>
      <c r="P27" t="str">
        <f ca="1"/>
        <v/>
      </c>
      <c r="Q27" t="str">
        <f ca="1"/>
        <v/>
      </c>
      <c r="R27" t="str">
        <f ca="1"/>
        <v>GB00H1JWQS70</v>
      </c>
      <c r="S27" t="str">
        <f ca="1"/>
        <v/>
      </c>
      <c r="T27" t="str">
        <f ca="1"/>
        <v>COX2 Comdty</v>
      </c>
      <c r="U27">
        <f ca="1">IF(LEFT(_xll.BDP($T27,U$2),4)="#N/A",0,_xll.BDP($T27,U$2))</f>
        <v>0</v>
      </c>
      <c r="V27" t="e">
        <f>_xll.BDP(#REF!,V$2)</f>
        <v>#REF!</v>
      </c>
      <c r="W27" t="e">
        <f>_xll.BDP(#REF!,W$2)</f>
        <v>#REF!</v>
      </c>
      <c r="X27" t="e">
        <f>_xll.BDP(#REF!,X$2)</f>
        <v>#REF!</v>
      </c>
      <c r="Y27" t="e">
        <f>_xll.BDP(#REF!,Y$2)</f>
        <v>#REF!</v>
      </c>
      <c r="Z27" t="e">
        <f>_xll.BDP(#REF!,Z$2)</f>
        <v>#REF!</v>
      </c>
      <c r="AA27" t="e">
        <f>_xll.BDP(#REF!,AA$2)</f>
        <v>#REF!</v>
      </c>
      <c r="AD27">
        <f ca="1">IF(LEFT(_xll.BDP($T27,AD$2),4)="#N/A",-1,_xll.BDP($T27,AD$2))</f>
        <v>118073.7</v>
      </c>
    </row>
    <row r="28" spans="1:30">
      <c r="A28">
        <f ca="1"/>
        <v>172</v>
      </c>
      <c r="B28" t="str">
        <f ca="1"/>
        <v>iW Partners - DCM SYSTEMATIC FUND</v>
      </c>
      <c r="C28" t="str">
        <f ca="1"/>
        <v>iW - DCM SYSTEMATIC FUND</v>
      </c>
      <c r="D28">
        <f ca="1"/>
        <v>73630</v>
      </c>
      <c r="E28" t="str">
        <f ca="1"/>
        <v>iW Partners - DIVERSIFIED ALPHA</v>
      </c>
      <c r="F28" t="str">
        <f ca="1"/>
        <v>DIVERSIFIED ALPHA</v>
      </c>
      <c r="G28">
        <f ca="1"/>
        <v>147</v>
      </c>
      <c r="H28" t="str">
        <f ca="1"/>
        <v>Pictet Fund Accounting</v>
      </c>
      <c r="I28" t="str">
        <f ca="1"/>
        <v>17472873-0</v>
      </c>
      <c r="J28" s="50">
        <f ca="1"/>
        <v>44773</v>
      </c>
      <c r="K28">
        <f ca="1"/>
        <v>2</v>
      </c>
      <c r="L28" t="str">
        <f ca="1"/>
        <v>158466-0</v>
      </c>
      <c r="M28" t="str">
        <f ca="1"/>
        <v>COMMODITIES ICE  CRUDE OIL</v>
      </c>
      <c r="N28" t="str">
        <f ca="1"/>
        <v>USD</v>
      </c>
      <c r="O28" t="str">
        <f ca="1"/>
        <v>Commodity Future</v>
      </c>
      <c r="P28" t="str">
        <f ca="1"/>
        <v/>
      </c>
      <c r="Q28" t="str">
        <f ca="1"/>
        <v/>
      </c>
      <c r="R28" t="str">
        <f ca="1"/>
        <v>GB00H1JWQY31</v>
      </c>
      <c r="S28" t="str">
        <f ca="1"/>
        <v/>
      </c>
      <c r="T28" t="str">
        <f ca="1"/>
        <v>COF3 Comdty</v>
      </c>
      <c r="U28">
        <f ca="1">IF(LEFT(_xll.BDP($T28,U$2),4)="#N/A",0,_xll.BDP($T28,U$2))</f>
        <v>0</v>
      </c>
      <c r="V28" t="e">
        <f>_xll.BDP(#REF!,V$2)</f>
        <v>#REF!</v>
      </c>
      <c r="W28" t="e">
        <f>_xll.BDP(#REF!,W$2)</f>
        <v>#REF!</v>
      </c>
      <c r="X28" t="e">
        <f>_xll.BDP(#REF!,X$2)</f>
        <v>#REF!</v>
      </c>
      <c r="Y28" t="e">
        <f>_xll.BDP(#REF!,Y$2)</f>
        <v>#REF!</v>
      </c>
      <c r="Z28" t="e">
        <f>_xll.BDP(#REF!,Z$2)</f>
        <v>#REF!</v>
      </c>
      <c r="AA28" t="e">
        <f>_xll.BDP(#REF!,AA$2)</f>
        <v>#REF!</v>
      </c>
      <c r="AD28">
        <f ca="1">IF(LEFT(_xll.BDP($T28,AD$2),4)="#N/A",-1,_xll.BDP($T28,AD$2))</f>
        <v>39433.050000000003</v>
      </c>
    </row>
    <row r="29" spans="1:30">
      <c r="A29">
        <f ca="1"/>
        <v>172</v>
      </c>
      <c r="B29" t="str">
        <f ca="1"/>
        <v>iW Partners - DCM SYSTEMATIC FUND</v>
      </c>
      <c r="C29" t="str">
        <f ca="1"/>
        <v>iW - DCM SYSTEMATIC FUND</v>
      </c>
      <c r="D29">
        <f ca="1"/>
        <v>73630</v>
      </c>
      <c r="E29" t="str">
        <f ca="1"/>
        <v>iW Partners - DIVERSIFIED ALPHA</v>
      </c>
      <c r="F29" t="str">
        <f ca="1"/>
        <v>DIVERSIFIED ALPHA</v>
      </c>
      <c r="G29">
        <f ca="1"/>
        <v>147</v>
      </c>
      <c r="H29" t="str">
        <f ca="1"/>
        <v>Pictet Fund Accounting</v>
      </c>
      <c r="I29" t="str">
        <f ca="1"/>
        <v>17472849-0</v>
      </c>
      <c r="J29" s="50">
        <f ca="1"/>
        <v>44773</v>
      </c>
      <c r="K29">
        <f ca="1"/>
        <v>-13</v>
      </c>
      <c r="L29" t="str">
        <f ca="1"/>
        <v>153483-0</v>
      </c>
      <c r="M29" t="str">
        <f ca="1"/>
        <v>COMMODITIES MAIZE (BUSHELS)</v>
      </c>
      <c r="N29" t="str">
        <f ca="1"/>
        <v>USD</v>
      </c>
      <c r="O29" t="str">
        <f ca="1"/>
        <v>Commodity Future</v>
      </c>
      <c r="P29" t="str">
        <f ca="1"/>
        <v/>
      </c>
      <c r="Q29" t="str">
        <f ca="1"/>
        <v/>
      </c>
      <c r="R29" t="str">
        <f ca="1"/>
        <v>ZZ00WKRCZ8 0</v>
      </c>
      <c r="S29" t="str">
        <f ca="1"/>
        <v/>
      </c>
      <c r="T29" t="str">
        <f ca="1"/>
        <v>C Z2 Comdty</v>
      </c>
      <c r="U29">
        <f ca="1">IF(LEFT(_xll.BDP($T29,U$2),4)="#N/A",0,_xll.BDP($T29,U$2))</f>
        <v>0</v>
      </c>
      <c r="V29" t="e">
        <f>_xll.BDP(#REF!,V$2)</f>
        <v>#REF!</v>
      </c>
      <c r="W29" t="e">
        <f>_xll.BDP(#REF!,W$2)</f>
        <v>#REF!</v>
      </c>
      <c r="X29" t="e">
        <f>_xll.BDP(#REF!,X$2)</f>
        <v>#REF!</v>
      </c>
      <c r="Y29" t="e">
        <f>_xll.BDP(#REF!,Y$2)</f>
        <v>#REF!</v>
      </c>
      <c r="Z29" t="e">
        <f>_xll.BDP(#REF!,Z$2)</f>
        <v>#REF!</v>
      </c>
      <c r="AA29" t="e">
        <f>_xll.BDP(#REF!,AA$2)</f>
        <v>#REF!</v>
      </c>
      <c r="AD29">
        <f ca="1">IF(LEFT(_xll.BDP($T29,AD$2),4)="#N/A",-1,_xll.BDP($T29,AD$2))</f>
        <v>142097.75</v>
      </c>
    </row>
    <row r="30" spans="1:30">
      <c r="A30">
        <f ca="1"/>
        <v>172</v>
      </c>
      <c r="B30" t="str">
        <f ca="1"/>
        <v>iW Partners - DCM SYSTEMATIC FUND</v>
      </c>
      <c r="C30" t="str">
        <f ca="1"/>
        <v>iW - DCM SYSTEMATIC FUND</v>
      </c>
      <c r="D30">
        <f ca="1"/>
        <v>73630</v>
      </c>
      <c r="E30" t="str">
        <f ca="1"/>
        <v>iW Partners - DIVERSIFIED ALPHA</v>
      </c>
      <c r="F30" t="str">
        <f ca="1"/>
        <v>DIVERSIFIED ALPHA</v>
      </c>
      <c r="G30">
        <f ca="1"/>
        <v>147</v>
      </c>
      <c r="H30" t="str">
        <f ca="1"/>
        <v>Pictet Fund Accounting</v>
      </c>
      <c r="I30" t="str">
        <f ca="1"/>
        <v>17472830-0</v>
      </c>
      <c r="J30" s="50">
        <f ca="1"/>
        <v>44773</v>
      </c>
      <c r="K30">
        <f ca="1"/>
        <v>8</v>
      </c>
      <c r="L30" t="str">
        <f ca="1"/>
        <v>154352-0</v>
      </c>
      <c r="M30" t="str">
        <f ca="1"/>
        <v>COMMODITIES NATURAL GAS</v>
      </c>
      <c r="N30" t="str">
        <f ca="1"/>
        <v>USD</v>
      </c>
      <c r="O30" t="str">
        <f ca="1"/>
        <v>Commodity Future</v>
      </c>
      <c r="P30" t="str">
        <f ca="1"/>
        <v/>
      </c>
      <c r="Q30" t="str">
        <f ca="1"/>
        <v/>
      </c>
      <c r="R30" t="str">
        <f ca="1"/>
        <v>ZZ00WLUDUF 0</v>
      </c>
      <c r="S30" t="str">
        <f ca="1"/>
        <v/>
      </c>
      <c r="T30" t="str">
        <f ca="1"/>
        <v>NGX22 COMDTY</v>
      </c>
      <c r="U30">
        <f ca="1">IF(LEFT(_xll.BDP($T30,U$2),4)="#N/A",0,_xll.BDP($T30,U$2))</f>
        <v>0</v>
      </c>
      <c r="V30" t="e">
        <f>_xll.BDP(#REF!,V$2)</f>
        <v>#REF!</v>
      </c>
      <c r="W30" t="e">
        <f>_xll.BDP(#REF!,W$2)</f>
        <v>#REF!</v>
      </c>
      <c r="X30" t="e">
        <f>_xll.BDP(#REF!,X$2)</f>
        <v>#REF!</v>
      </c>
      <c r="Y30" t="e">
        <f>_xll.BDP(#REF!,Y$2)</f>
        <v>#REF!</v>
      </c>
      <c r="Z30" t="e">
        <f>_xll.BDP(#REF!,Z$2)</f>
        <v>#REF!</v>
      </c>
      <c r="AA30" t="e">
        <f>_xll.BDP(#REF!,AA$2)</f>
        <v>#REF!</v>
      </c>
      <c r="AD30">
        <f ca="1">IF(LEFT(_xll.BDP($T30,AD$2),4)="#N/A",-1,_xll.BDP($T30,AD$2))</f>
        <v>20049.849999999999</v>
      </c>
    </row>
    <row r="31" spans="1:30">
      <c r="A31">
        <f ca="1"/>
        <v>172</v>
      </c>
      <c r="B31" t="str">
        <f ca="1"/>
        <v>iW Partners - DCM SYSTEMATIC FUND</v>
      </c>
      <c r="C31" t="str">
        <f ca="1"/>
        <v>iW - DCM SYSTEMATIC FUND</v>
      </c>
      <c r="D31">
        <f ca="1"/>
        <v>73630</v>
      </c>
      <c r="E31" t="str">
        <f ca="1"/>
        <v>iW Partners - DIVERSIFIED ALPHA</v>
      </c>
      <c r="F31" t="str">
        <f ca="1"/>
        <v>DIVERSIFIED ALPHA</v>
      </c>
      <c r="G31">
        <f ca="1"/>
        <v>147</v>
      </c>
      <c r="H31" t="str">
        <f ca="1"/>
        <v>Pictet Fund Accounting</v>
      </c>
      <c r="I31" t="str">
        <f ca="1"/>
        <v>17472860-0</v>
      </c>
      <c r="J31" s="50">
        <f ca="1"/>
        <v>44773</v>
      </c>
      <c r="K31">
        <f ca="1"/>
        <v>2</v>
      </c>
      <c r="L31" t="str">
        <f ca="1"/>
        <v>157682-0</v>
      </c>
      <c r="M31" t="str">
        <f ca="1"/>
        <v>COMMODITIES NATURAL GAS</v>
      </c>
      <c r="N31" t="str">
        <f ca="1"/>
        <v>USD</v>
      </c>
      <c r="O31" t="str">
        <f ca="1"/>
        <v>Commodity Future</v>
      </c>
      <c r="P31" t="str">
        <f ca="1"/>
        <v/>
      </c>
      <c r="Q31" t="str">
        <f ca="1"/>
        <v/>
      </c>
      <c r="R31" t="str">
        <f ca="1"/>
        <v>ZZ00WN5VOX 0</v>
      </c>
      <c r="S31" t="str">
        <f ca="1"/>
        <v/>
      </c>
      <c r="T31" t="str">
        <f ca="1"/>
        <v>NGZ22 Comdty</v>
      </c>
      <c r="U31">
        <f ca="1">IF(LEFT(_xll.BDP($T31,U$2),4)="#N/A",0,_xll.BDP($T31,U$2))</f>
        <v>0</v>
      </c>
      <c r="V31" t="e">
        <f>_xll.BDP(#REF!,V$2)</f>
        <v>#REF!</v>
      </c>
      <c r="W31" t="e">
        <f>_xll.BDP(#REF!,W$2)</f>
        <v>#REF!</v>
      </c>
      <c r="X31" t="e">
        <f>_xll.BDP(#REF!,X$2)</f>
        <v>#REF!</v>
      </c>
      <c r="Y31" t="e">
        <f>_xll.BDP(#REF!,Y$2)</f>
        <v>#REF!</v>
      </c>
      <c r="Z31" t="e">
        <f>_xll.BDP(#REF!,Z$2)</f>
        <v>#REF!</v>
      </c>
      <c r="AA31" t="e">
        <f>_xll.BDP(#REF!,AA$2)</f>
        <v>#REF!</v>
      </c>
      <c r="AD31">
        <f ca="1">IF(LEFT(_xll.BDP($T31,AD$2),4)="#N/A",-1,_xll.BDP($T31,AD$2))</f>
        <v>13692.35</v>
      </c>
    </row>
    <row r="32" spans="1:30">
      <c r="A32">
        <f ca="1"/>
        <v>172</v>
      </c>
      <c r="B32" t="str">
        <f ca="1"/>
        <v>iW Partners - DCM SYSTEMATIC FUND</v>
      </c>
      <c r="C32" t="str">
        <f ca="1"/>
        <v>iW - DCM SYSTEMATIC FUND</v>
      </c>
      <c r="D32">
        <f ca="1"/>
        <v>73630</v>
      </c>
      <c r="E32" t="str">
        <f ca="1"/>
        <v>iW Partners - DIVERSIFIED ALPHA</v>
      </c>
      <c r="F32" t="str">
        <f ca="1"/>
        <v>DIVERSIFIED ALPHA</v>
      </c>
      <c r="G32">
        <f ca="1"/>
        <v>147</v>
      </c>
      <c r="H32" t="str">
        <f ca="1"/>
        <v>Pictet Fund Accounting</v>
      </c>
      <c r="I32" t="str">
        <f ca="1"/>
        <v>17472885-0</v>
      </c>
      <c r="J32" s="50">
        <f ca="1"/>
        <v>44773</v>
      </c>
      <c r="K32">
        <f ca="1"/>
        <v>8</v>
      </c>
      <c r="L32" t="str">
        <f ca="1"/>
        <v>147130-0</v>
      </c>
      <c r="M32" t="str">
        <f ca="1"/>
        <v>COMMODITIES NATURAL GAS</v>
      </c>
      <c r="N32" t="str">
        <f ca="1"/>
        <v>USD</v>
      </c>
      <c r="O32" t="str">
        <f ca="1"/>
        <v>Commodity Future</v>
      </c>
      <c r="P32" t="str">
        <f ca="1"/>
        <v/>
      </c>
      <c r="Q32" t="str">
        <f ca="1"/>
        <v/>
      </c>
      <c r="R32" t="str">
        <f ca="1"/>
        <v>ZZ00WLEWL1 0</v>
      </c>
      <c r="S32" t="str">
        <f ca="1"/>
        <v/>
      </c>
      <c r="T32" t="str">
        <f ca="1"/>
        <v>NGV22 COMDTY</v>
      </c>
      <c r="U32">
        <f ca="1">IF(LEFT(_xll.BDP($T32,U$2),4)="#N/A",0,_xll.BDP($T32,U$2))</f>
        <v>0</v>
      </c>
      <c r="V32" t="e">
        <f>_xll.BDP(#REF!,V$2)</f>
        <v>#REF!</v>
      </c>
      <c r="W32" t="e">
        <f>_xll.BDP(#REF!,W$2)</f>
        <v>#REF!</v>
      </c>
      <c r="X32" t="e">
        <f>_xll.BDP(#REF!,X$2)</f>
        <v>#REF!</v>
      </c>
      <c r="Y32" t="e">
        <f>_xll.BDP(#REF!,Y$2)</f>
        <v>#REF!</v>
      </c>
      <c r="Z32" t="e">
        <f>_xll.BDP(#REF!,Z$2)</f>
        <v>#REF!</v>
      </c>
      <c r="AA32" t="e">
        <f>_xll.BDP(#REF!,AA$2)</f>
        <v>#REF!</v>
      </c>
      <c r="AD32">
        <f ca="1">IF(LEFT(_xll.BDP($T32,AD$2),4)="#N/A",-1,_xll.BDP($T32,AD$2))</f>
        <v>32170.799999999999</v>
      </c>
    </row>
    <row r="33" spans="1:30">
      <c r="A33">
        <f ca="1"/>
        <v>172</v>
      </c>
      <c r="B33" t="str">
        <f ca="1"/>
        <v>iW Partners - DCM SYSTEMATIC FUND</v>
      </c>
      <c r="C33" t="str">
        <f ca="1"/>
        <v>iW - DCM SYSTEMATIC FUND</v>
      </c>
      <c r="D33">
        <f ca="1"/>
        <v>73630</v>
      </c>
      <c r="E33" t="str">
        <f ca="1"/>
        <v>iW Partners - DIVERSIFIED ALPHA</v>
      </c>
      <c r="F33" t="str">
        <f ca="1"/>
        <v>DIVERSIFIED ALPHA</v>
      </c>
      <c r="G33">
        <f ca="1"/>
        <v>147</v>
      </c>
      <c r="H33" t="str">
        <f ca="1"/>
        <v>Pictet Fund Accounting</v>
      </c>
      <c r="I33" t="str">
        <f ca="1"/>
        <v>17472869-0</v>
      </c>
      <c r="J33" s="50">
        <f ca="1"/>
        <v>44773</v>
      </c>
      <c r="K33">
        <f ca="1"/>
        <v>17</v>
      </c>
      <c r="L33" t="str">
        <f ca="1"/>
        <v>146492-0</v>
      </c>
      <c r="M33" t="str">
        <f ca="1"/>
        <v>COMMODITIES SOYABEAN MEAL</v>
      </c>
      <c r="N33" t="str">
        <f ca="1"/>
        <v>USD</v>
      </c>
      <c r="O33" t="str">
        <f ca="1"/>
        <v>Commodity Future</v>
      </c>
      <c r="P33" t="str">
        <f ca="1"/>
        <v/>
      </c>
      <c r="Q33" t="str">
        <f ca="1"/>
        <v/>
      </c>
      <c r="R33" t="str">
        <f ca="1"/>
        <v>ZZ00WNFDBS 0</v>
      </c>
      <c r="S33" t="str">
        <f ca="1"/>
        <v/>
      </c>
      <c r="T33" t="str">
        <f ca="1"/>
        <v>SMZ2 Comdty</v>
      </c>
      <c r="U33">
        <f ca="1">IF(LEFT(_xll.BDP($T33,U$2),4)="#N/A",0,_xll.BDP($T33,U$2))</f>
        <v>0</v>
      </c>
      <c r="V33" t="e">
        <f>_xll.BDP(#REF!,V$2)</f>
        <v>#REF!</v>
      </c>
      <c r="W33" t="e">
        <f>_xll.BDP(#REF!,W$2)</f>
        <v>#REF!</v>
      </c>
      <c r="X33" t="e">
        <f>_xll.BDP(#REF!,X$2)</f>
        <v>#REF!</v>
      </c>
      <c r="Y33" t="e">
        <f>_xll.BDP(#REF!,Y$2)</f>
        <v>#REF!</v>
      </c>
      <c r="Z33" t="e">
        <f>_xll.BDP(#REF!,Z$2)</f>
        <v>#REF!</v>
      </c>
      <c r="AA33" t="e">
        <f>_xll.BDP(#REF!,AA$2)</f>
        <v>#REF!</v>
      </c>
      <c r="AD33">
        <f ca="1">IF(LEFT(_xll.BDP($T33,AD$2),4)="#N/A",-1,_xll.BDP($T33,AD$2))</f>
        <v>42890.8</v>
      </c>
    </row>
    <row r="34" spans="1:30">
      <c r="A34">
        <f ca="1"/>
        <v>172</v>
      </c>
      <c r="B34" t="str">
        <f ca="1"/>
        <v>iW Partners - DCM SYSTEMATIC FUND</v>
      </c>
      <c r="C34" t="str">
        <f ca="1"/>
        <v>iW - DCM SYSTEMATIC FUND</v>
      </c>
      <c r="D34">
        <f ca="1"/>
        <v>73630</v>
      </c>
      <c r="E34" t="str">
        <f ca="1"/>
        <v>iW Partners - DIVERSIFIED ALPHA</v>
      </c>
      <c r="F34" t="str">
        <f ca="1"/>
        <v>DIVERSIFIED ALPHA</v>
      </c>
      <c r="G34">
        <f ca="1"/>
        <v>147</v>
      </c>
      <c r="H34" t="str">
        <f ca="1"/>
        <v>Pictet Fund Accounting</v>
      </c>
      <c r="I34" t="str">
        <f ca="1"/>
        <v>17472896-0</v>
      </c>
      <c r="J34" s="50">
        <f ca="1"/>
        <v>44773</v>
      </c>
      <c r="K34">
        <f ca="1"/>
        <v>14</v>
      </c>
      <c r="L34" t="str">
        <f ca="1"/>
        <v>153990-0</v>
      </c>
      <c r="M34" t="str">
        <f ca="1"/>
        <v>COMMODITIES SOYABEAN MEAL</v>
      </c>
      <c r="N34" t="str">
        <f ca="1"/>
        <v>USD</v>
      </c>
      <c r="O34" t="str">
        <f ca="1"/>
        <v>Commodity Future</v>
      </c>
      <c r="P34" t="str">
        <f ca="1"/>
        <v/>
      </c>
      <c r="Q34" t="str">
        <f ca="1"/>
        <v/>
      </c>
      <c r="R34" t="str">
        <f ca="1"/>
        <v>ZZ00WORY3T 0</v>
      </c>
      <c r="S34" t="str">
        <f ca="1"/>
        <v/>
      </c>
      <c r="T34" t="str">
        <f ca="1"/>
        <v>SMF3 Comdty</v>
      </c>
      <c r="U34">
        <f ca="1">IF(LEFT(_xll.BDP($T34,U$2),4)="#N/A",0,_xll.BDP($T34,U$2))</f>
        <v>0</v>
      </c>
      <c r="V34" t="e">
        <f>_xll.BDP(#REF!,V$2)</f>
        <v>#REF!</v>
      </c>
      <c r="W34" t="e">
        <f>_xll.BDP(#REF!,W$2)</f>
        <v>#REF!</v>
      </c>
      <c r="X34" t="e">
        <f>_xll.BDP(#REF!,X$2)</f>
        <v>#REF!</v>
      </c>
      <c r="Y34" t="e">
        <f>_xll.BDP(#REF!,Y$2)</f>
        <v>#REF!</v>
      </c>
      <c r="Z34" t="e">
        <f>_xll.BDP(#REF!,Z$2)</f>
        <v>#REF!</v>
      </c>
      <c r="AA34" t="e">
        <f>_xll.BDP(#REF!,AA$2)</f>
        <v>#REF!</v>
      </c>
      <c r="AD34">
        <f ca="1">IF(LEFT(_xll.BDP($T34,AD$2),4)="#N/A",-1,_xll.BDP($T34,AD$2))</f>
        <v>8074.4</v>
      </c>
    </row>
    <row r="35" spans="1:30">
      <c r="A35">
        <f ca="1"/>
        <v>172</v>
      </c>
      <c r="B35" t="str">
        <f ca="1"/>
        <v>iW Partners - DCM SYSTEMATIC FUND</v>
      </c>
      <c r="C35" t="str">
        <f ca="1"/>
        <v>iW - DCM SYSTEMATIC FUND</v>
      </c>
      <c r="D35">
        <f ca="1"/>
        <v>73630</v>
      </c>
      <c r="E35" t="str">
        <f ca="1"/>
        <v>iW Partners - DIVERSIFIED ALPHA</v>
      </c>
      <c r="F35" t="str">
        <f ca="1"/>
        <v>DIVERSIFIED ALPHA</v>
      </c>
      <c r="G35">
        <f ca="1"/>
        <v>147</v>
      </c>
      <c r="H35" t="str">
        <f ca="1"/>
        <v>Pictet Fund Accounting</v>
      </c>
      <c r="I35" t="str">
        <f ca="1"/>
        <v>17472831-0</v>
      </c>
      <c r="J35" s="50">
        <f ca="1"/>
        <v>44773</v>
      </c>
      <c r="K35">
        <f ca="1"/>
        <v>-59</v>
      </c>
      <c r="L35" t="str">
        <f ca="1"/>
        <v>143694-0</v>
      </c>
      <c r="M35" t="str">
        <f ca="1"/>
        <v>COMMODITIES SOYBEAN OIL</v>
      </c>
      <c r="N35" t="str">
        <f ca="1"/>
        <v>USD</v>
      </c>
      <c r="O35" t="str">
        <f ca="1"/>
        <v>Commodity Future</v>
      </c>
      <c r="P35" t="str">
        <f ca="1"/>
        <v/>
      </c>
      <c r="Q35" t="str">
        <f ca="1"/>
        <v/>
      </c>
      <c r="R35" t="str">
        <f ca="1"/>
        <v>ZZ00WNF9Y6 0</v>
      </c>
      <c r="S35" t="str">
        <f ca="1"/>
        <v/>
      </c>
      <c r="T35" t="str">
        <f ca="1"/>
        <v>BOZ2 Comdty</v>
      </c>
      <c r="U35">
        <f ca="1">IF(LEFT(_xll.BDP($T35,U$2),4)="#N/A",0,_xll.BDP($T35,U$2))</f>
        <v>0</v>
      </c>
      <c r="V35" t="e">
        <f>_xll.BDP(#REF!,V$2)</f>
        <v>#REF!</v>
      </c>
      <c r="W35" t="e">
        <f>_xll.BDP(#REF!,W$2)</f>
        <v>#REF!</v>
      </c>
      <c r="X35" t="e">
        <f>_xll.BDP(#REF!,X$2)</f>
        <v>#REF!</v>
      </c>
      <c r="Y35" t="e">
        <f>_xll.BDP(#REF!,Y$2)</f>
        <v>#REF!</v>
      </c>
      <c r="Z35" t="e">
        <f>_xll.BDP(#REF!,Z$2)</f>
        <v>#REF!</v>
      </c>
      <c r="AA35" t="e">
        <f>_xll.BDP(#REF!,AA$2)</f>
        <v>#REF!</v>
      </c>
      <c r="AD35">
        <f ca="1">IF(LEFT(_xll.BDP($T35,AD$2),4)="#N/A",-1,_xll.BDP($T35,AD$2))</f>
        <v>47009.1</v>
      </c>
    </row>
    <row r="36" spans="1:30">
      <c r="A36">
        <f ca="1"/>
        <v>172</v>
      </c>
      <c r="B36" t="str">
        <f ca="1"/>
        <v>iW Partners - DCM SYSTEMATIC FUND</v>
      </c>
      <c r="C36" t="str">
        <f ca="1"/>
        <v>iW - DCM SYSTEMATIC FUND</v>
      </c>
      <c r="D36">
        <f ca="1"/>
        <v>73630</v>
      </c>
      <c r="E36" t="str">
        <f ca="1"/>
        <v>iW Partners - DIVERSIFIED ALPHA</v>
      </c>
      <c r="F36" t="str">
        <f ca="1"/>
        <v>DIVERSIFIED ALPHA</v>
      </c>
      <c r="G36">
        <f ca="1"/>
        <v>147</v>
      </c>
      <c r="H36" t="str">
        <f ca="1"/>
        <v>Pictet Fund Accounting</v>
      </c>
      <c r="I36" t="str">
        <f ca="1"/>
        <v>17472893-0</v>
      </c>
      <c r="J36" s="50">
        <f ca="1"/>
        <v>44773</v>
      </c>
      <c r="K36">
        <f ca="1"/>
        <v>5</v>
      </c>
      <c r="L36" t="str">
        <f ca="1"/>
        <v>153987-0</v>
      </c>
      <c r="M36" t="str">
        <f ca="1"/>
        <v>COMMODITIES SOYBEAN OIL</v>
      </c>
      <c r="N36" t="str">
        <f ca="1"/>
        <v>USD</v>
      </c>
      <c r="O36" t="str">
        <f ca="1"/>
        <v>Commodity Future</v>
      </c>
      <c r="P36" t="str">
        <f ca="1"/>
        <v/>
      </c>
      <c r="Q36" t="str">
        <f ca="1"/>
        <v/>
      </c>
      <c r="R36" t="str">
        <f ca="1"/>
        <v>ZZ00WORXQF 0</v>
      </c>
      <c r="S36" t="str">
        <f ca="1"/>
        <v/>
      </c>
      <c r="T36" t="str">
        <f ca="1"/>
        <v>BOF3 Comdty</v>
      </c>
      <c r="U36">
        <f ca="1">IF(LEFT(_xll.BDP($T36,U$2),4)="#N/A",0,_xll.BDP($T36,U$2))</f>
        <v>0</v>
      </c>
      <c r="V36" t="e">
        <f>_xll.BDP(#REF!,V$2)</f>
        <v>#REF!</v>
      </c>
      <c r="W36" t="e">
        <f>_xll.BDP(#REF!,W$2)</f>
        <v>#REF!</v>
      </c>
      <c r="X36" t="e">
        <f>_xll.BDP(#REF!,X$2)</f>
        <v>#REF!</v>
      </c>
      <c r="Y36" t="e">
        <f>_xll.BDP(#REF!,Y$2)</f>
        <v>#REF!</v>
      </c>
      <c r="Z36" t="e">
        <f>_xll.BDP(#REF!,Z$2)</f>
        <v>#REF!</v>
      </c>
      <c r="AA36" t="e">
        <f>_xll.BDP(#REF!,AA$2)</f>
        <v>#REF!</v>
      </c>
      <c r="AD36">
        <f ca="1">IF(LEFT(_xll.BDP($T36,AD$2),4)="#N/A",-1,_xll.BDP($T36,AD$2))</f>
        <v>7948.95</v>
      </c>
    </row>
    <row r="37" spans="1:30">
      <c r="A37">
        <f ca="1"/>
        <v>172</v>
      </c>
      <c r="B37" t="str">
        <f ca="1"/>
        <v>iW Partners - DCM SYSTEMATIC FUND</v>
      </c>
      <c r="C37" t="str">
        <f ca="1"/>
        <v>iW - DCM SYSTEMATIC FUND</v>
      </c>
      <c r="D37">
        <f ca="1"/>
        <v>73630</v>
      </c>
      <c r="E37" t="str">
        <f ca="1"/>
        <v>iW Partners - DIVERSIFIED ALPHA</v>
      </c>
      <c r="F37" t="str">
        <f ca="1"/>
        <v>DIVERSIFIED ALPHA</v>
      </c>
      <c r="G37">
        <f ca="1"/>
        <v>147</v>
      </c>
      <c r="H37" t="str">
        <f ca="1"/>
        <v>Pictet Fund Accounting</v>
      </c>
      <c r="I37" t="str">
        <f ca="1"/>
        <v>17472858-0</v>
      </c>
      <c r="J37" s="50">
        <f ca="1"/>
        <v>44773</v>
      </c>
      <c r="K37">
        <f ca="1"/>
        <v>31</v>
      </c>
      <c r="L37" t="str">
        <f ca="1"/>
        <v>153081-0</v>
      </c>
      <c r="M37" t="str">
        <f ca="1"/>
        <v>COMMODITIES SUGAR NO 11</v>
      </c>
      <c r="N37" t="str">
        <f ca="1"/>
        <v>USD</v>
      </c>
      <c r="O37" t="str">
        <f ca="1"/>
        <v>Commodity Future</v>
      </c>
      <c r="P37" t="str">
        <f ca="1"/>
        <v/>
      </c>
      <c r="Q37" t="str">
        <f ca="1"/>
        <v/>
      </c>
      <c r="R37" t="str">
        <f ca="1"/>
        <v>ZZ00WQRUVK 0</v>
      </c>
      <c r="S37" t="str">
        <f ca="1"/>
        <v/>
      </c>
      <c r="T37" t="str">
        <f ca="1"/>
        <v>SBH3 Comdty</v>
      </c>
      <c r="U37">
        <f ca="1">IF(LEFT(_xll.BDP($T37,U$2),4)="#N/A",0,_xll.BDP($T37,U$2))</f>
        <v>0</v>
      </c>
      <c r="V37" t="e">
        <f>_xll.BDP(#REF!,V$2)</f>
        <v>#REF!</v>
      </c>
      <c r="W37" t="e">
        <f>_xll.BDP(#REF!,W$2)</f>
        <v>#REF!</v>
      </c>
      <c r="X37" t="e">
        <f>_xll.BDP(#REF!,X$2)</f>
        <v>#REF!</v>
      </c>
      <c r="Y37" t="e">
        <f>_xll.BDP(#REF!,Y$2)</f>
        <v>#REF!</v>
      </c>
      <c r="Z37" t="e">
        <f>_xll.BDP(#REF!,Z$2)</f>
        <v>#REF!</v>
      </c>
      <c r="AA37" t="e">
        <f>_xll.BDP(#REF!,AA$2)</f>
        <v>#REF!</v>
      </c>
      <c r="AD37">
        <f ca="1">IF(LEFT(_xll.BDP($T37,AD$2),4)="#N/A",-1,_xll.BDP($T37,AD$2))</f>
        <v>22328.1</v>
      </c>
    </row>
    <row r="38" spans="1:30">
      <c r="A38">
        <f ca="1"/>
        <v>172</v>
      </c>
      <c r="B38" t="str">
        <f ca="1"/>
        <v>iW Partners - DCM SYSTEMATIC FUND</v>
      </c>
      <c r="C38" t="str">
        <f ca="1"/>
        <v>iW - DCM SYSTEMATIC FUND</v>
      </c>
      <c r="D38">
        <f ca="1"/>
        <v>73630</v>
      </c>
      <c r="E38" t="str">
        <f ca="1"/>
        <v>iW Partners - DIVERSIFIED ALPHA</v>
      </c>
      <c r="F38" t="str">
        <f ca="1"/>
        <v>DIVERSIFIED ALPHA</v>
      </c>
      <c r="G38">
        <f ca="1"/>
        <v>147</v>
      </c>
      <c r="H38" t="str">
        <f ca="1"/>
        <v>Pictet Fund Accounting</v>
      </c>
      <c r="I38" t="str">
        <f ca="1"/>
        <v>17472895-0</v>
      </c>
      <c r="J38" s="50">
        <f ca="1"/>
        <v>44773</v>
      </c>
      <c r="K38">
        <f ca="1"/>
        <v>-12</v>
      </c>
      <c r="L38" t="str">
        <f ca="1"/>
        <v>153989-0</v>
      </c>
      <c r="M38" t="str">
        <f ca="1"/>
        <v>COMMODITIES WHEAT (BUSHELS)</v>
      </c>
      <c r="N38" t="str">
        <f ca="1"/>
        <v>USD</v>
      </c>
      <c r="O38" t="str">
        <f ca="1"/>
        <v>Commodity Future</v>
      </c>
      <c r="P38" t="str">
        <f ca="1"/>
        <v/>
      </c>
      <c r="Q38" t="str">
        <f ca="1"/>
        <v/>
      </c>
      <c r="R38" t="str">
        <f ca="1"/>
        <v>ZZ00WRF5JY 0</v>
      </c>
      <c r="S38" t="str">
        <f ca="1"/>
        <v/>
      </c>
      <c r="T38" t="str">
        <f ca="1"/>
        <v>W Z2 Comdty</v>
      </c>
      <c r="U38">
        <f ca="1">IF(LEFT(_xll.BDP($T38,U$2),4)="#N/A",0,_xll.BDP($T38,U$2))</f>
        <v>0</v>
      </c>
      <c r="V38" t="e">
        <f>_xll.BDP(#REF!,V$2)</f>
        <v>#REF!</v>
      </c>
      <c r="W38" t="e">
        <f>_xll.BDP(#REF!,W$2)</f>
        <v>#REF!</v>
      </c>
      <c r="X38" t="e">
        <f>_xll.BDP(#REF!,X$2)</f>
        <v>#REF!</v>
      </c>
      <c r="Y38" t="e">
        <f>_xll.BDP(#REF!,Y$2)</f>
        <v>#REF!</v>
      </c>
      <c r="Z38" t="e">
        <f>_xll.BDP(#REF!,Z$2)</f>
        <v>#REF!</v>
      </c>
      <c r="AA38" t="e">
        <f>_xll.BDP(#REF!,AA$2)</f>
        <v>#REF!</v>
      </c>
      <c r="AD38">
        <f ca="1">IF(LEFT(_xll.BDP($T38,AD$2),4)="#N/A",-1,_xll.BDP($T38,AD$2))</f>
        <v>25601</v>
      </c>
    </row>
    <row r="39" spans="1:30">
      <c r="A39">
        <f ca="1"/>
        <v>172</v>
      </c>
      <c r="B39" t="str">
        <f ca="1"/>
        <v>iW Partners - DCM SYSTEMATIC FUND</v>
      </c>
      <c r="C39" t="str">
        <f ca="1"/>
        <v>iW - DCM SYSTEMATIC FUND</v>
      </c>
      <c r="D39">
        <f ca="1"/>
        <v>73630</v>
      </c>
      <c r="E39" t="str">
        <f ca="1"/>
        <v>iW Partners - DIVERSIFIED ALPHA</v>
      </c>
      <c r="F39" t="str">
        <f ca="1"/>
        <v>DIVERSIFIED ALPHA</v>
      </c>
      <c r="G39">
        <f ca="1"/>
        <v>147</v>
      </c>
      <c r="H39" t="str">
        <f ca="1"/>
        <v>Pictet Fund Accounting</v>
      </c>
      <c r="I39" t="str">
        <f ca="1"/>
        <v>17472867-0</v>
      </c>
      <c r="J39" s="50">
        <f ca="1"/>
        <v>44773</v>
      </c>
      <c r="K39">
        <f ca="1"/>
        <v>-101</v>
      </c>
      <c r="L39" t="str">
        <f ca="1"/>
        <v>143697-0</v>
      </c>
      <c r="M39" t="str">
        <f ca="1"/>
        <v>COMMODITIES WTI LIGHT SWEET CR. OIL</v>
      </c>
      <c r="N39" t="str">
        <f ca="1"/>
        <v>USD</v>
      </c>
      <c r="O39" t="str">
        <f ca="1"/>
        <v>Commodity Future</v>
      </c>
      <c r="P39" t="str">
        <f ca="1"/>
        <v/>
      </c>
      <c r="Q39" t="str">
        <f ca="1"/>
        <v/>
      </c>
      <c r="R39" t="str">
        <f ca="1"/>
        <v>GB00H1Q11M64</v>
      </c>
      <c r="S39" t="str">
        <f ca="1"/>
        <v/>
      </c>
      <c r="T39" t="str">
        <f ca="1"/>
        <v>ENU2 Comdty</v>
      </c>
      <c r="U39">
        <f ca="1">IF(LEFT(_xll.BDP($T39,U$2),4)="#N/A",0,_xll.BDP($T39,U$2))</f>
        <v>0</v>
      </c>
      <c r="V39" t="e">
        <f>_xll.BDP(#REF!,V$2)</f>
        <v>#REF!</v>
      </c>
      <c r="W39" t="e">
        <f>_xll.BDP(#REF!,W$2)</f>
        <v>#REF!</v>
      </c>
      <c r="X39" t="e">
        <f>_xll.BDP(#REF!,X$2)</f>
        <v>#REF!</v>
      </c>
      <c r="Y39" t="e">
        <f>_xll.BDP(#REF!,Y$2)</f>
        <v>#REF!</v>
      </c>
      <c r="Z39" t="e">
        <f>_xll.BDP(#REF!,Z$2)</f>
        <v>#REF!</v>
      </c>
      <c r="AA39" t="e">
        <f>_xll.BDP(#REF!,AA$2)</f>
        <v>#REF!</v>
      </c>
      <c r="AD39">
        <f ca="1">IF(LEFT(_xll.BDP($T39,AD$2),4)="#N/A",-1,_xll.BDP($T39,AD$2))</f>
        <v>37989.4</v>
      </c>
    </row>
    <row r="40" spans="1:30">
      <c r="A40">
        <f ca="1"/>
        <v>172</v>
      </c>
      <c r="B40" t="str">
        <f ca="1"/>
        <v>iW Partners - DCM SYSTEMATIC FUND</v>
      </c>
      <c r="C40" t="str">
        <f ca="1"/>
        <v>iW - DCM SYSTEMATIC FUND</v>
      </c>
      <c r="D40">
        <f ca="1"/>
        <v>73630</v>
      </c>
      <c r="E40" t="str">
        <f ca="1"/>
        <v>iW Partners - DIVERSIFIED ALPHA</v>
      </c>
      <c r="F40" t="str">
        <f ca="1"/>
        <v>DIVERSIFIED ALPHA</v>
      </c>
      <c r="G40">
        <f ca="1"/>
        <v>147</v>
      </c>
      <c r="H40" t="str">
        <f ca="1"/>
        <v>Pictet Fund Accounting</v>
      </c>
      <c r="I40" t="str">
        <f ca="1"/>
        <v>17472875-0</v>
      </c>
      <c r="J40" s="50">
        <f ca="1"/>
        <v>44773</v>
      </c>
      <c r="K40">
        <f ca="1"/>
        <v>5</v>
      </c>
      <c r="L40" t="str">
        <f ca="1"/>
        <v>153985-0</v>
      </c>
      <c r="M40" t="str">
        <f ca="1"/>
        <v>COMMODITIES WTI LIGHT SWEET CR. OIL</v>
      </c>
      <c r="N40" t="str">
        <f ca="1"/>
        <v>USD</v>
      </c>
      <c r="O40" t="str">
        <f ca="1"/>
        <v>Commodity Future</v>
      </c>
      <c r="P40" t="str">
        <f ca="1"/>
        <v/>
      </c>
      <c r="Q40" t="str">
        <f ca="1"/>
        <v/>
      </c>
      <c r="R40" t="str">
        <f ca="1"/>
        <v>GB00H1Q11V55</v>
      </c>
      <c r="S40" t="str">
        <f ca="1"/>
        <v/>
      </c>
      <c r="T40" t="str">
        <f ca="1"/>
        <v>ENX2 Comdty</v>
      </c>
      <c r="U40">
        <f ca="1">IF(LEFT(_xll.BDP($T40,U$2),4)="#N/A",0,_xll.BDP($T40,U$2))</f>
        <v>0</v>
      </c>
      <c r="V40" t="e">
        <f>_xll.BDP(#REF!,V$2)</f>
        <v>#REF!</v>
      </c>
      <c r="W40" t="e">
        <f>_xll.BDP(#REF!,W$2)</f>
        <v>#REF!</v>
      </c>
      <c r="X40" t="e">
        <f>_xll.BDP(#REF!,X$2)</f>
        <v>#REF!</v>
      </c>
      <c r="Y40" t="e">
        <f>_xll.BDP(#REF!,Y$2)</f>
        <v>#REF!</v>
      </c>
      <c r="Z40" t="e">
        <f>_xll.BDP(#REF!,Z$2)</f>
        <v>#REF!</v>
      </c>
      <c r="AA40" t="e">
        <f>_xll.BDP(#REF!,AA$2)</f>
        <v>#REF!</v>
      </c>
      <c r="AD40">
        <f ca="1">IF(LEFT(_xll.BDP($T40,AD$2),4)="#N/A",-1,_xll.BDP($T40,AD$2))</f>
        <v>27996.7</v>
      </c>
    </row>
    <row r="41" spans="1:30">
      <c r="A41">
        <f ca="1"/>
        <v>172</v>
      </c>
      <c r="B41" t="str">
        <f ca="1"/>
        <v>iW Partners - DCM SYSTEMATIC FUND</v>
      </c>
      <c r="C41" t="str">
        <f ca="1"/>
        <v>iW - DCM SYSTEMATIC FUND</v>
      </c>
      <c r="D41">
        <f ca="1"/>
        <v>73630</v>
      </c>
      <c r="E41" t="str">
        <f ca="1"/>
        <v>iW Partners - DIVERSIFIED ALPHA</v>
      </c>
      <c r="F41" t="str">
        <f ca="1"/>
        <v>DIVERSIFIED ALPHA</v>
      </c>
      <c r="G41">
        <f ca="1"/>
        <v>147</v>
      </c>
      <c r="H41" t="str">
        <f ca="1"/>
        <v>Pictet Fund Accounting</v>
      </c>
      <c r="I41" t="str">
        <f ca="1"/>
        <v>17472889-0</v>
      </c>
      <c r="J41" s="50">
        <f ca="1"/>
        <v>44773</v>
      </c>
      <c r="K41">
        <f ca="1"/>
        <v>-16</v>
      </c>
      <c r="L41" t="str">
        <f ca="1"/>
        <v>156446-0</v>
      </c>
      <c r="M41" t="str">
        <f ca="1"/>
        <v>COMMODITIES WTI LIGHT SWEET CR. OIL</v>
      </c>
      <c r="N41" t="str">
        <f ca="1"/>
        <v>USD</v>
      </c>
      <c r="O41" t="str">
        <f ca="1"/>
        <v>Commodity Future</v>
      </c>
      <c r="P41" t="str">
        <f ca="1"/>
        <v/>
      </c>
      <c r="Q41" t="str">
        <f ca="1"/>
        <v/>
      </c>
      <c r="R41" t="str">
        <f ca="1"/>
        <v>GB00H1Q10L82</v>
      </c>
      <c r="S41" t="str">
        <f ca="1"/>
        <v/>
      </c>
      <c r="T41" t="str">
        <f ca="1"/>
        <v>ENZ2 Comdty</v>
      </c>
      <c r="U41">
        <f ca="1">IF(LEFT(_xll.BDP($T41,U$2),4)="#N/A",0,_xll.BDP($T41,U$2))</f>
        <v>0</v>
      </c>
      <c r="V41" t="e">
        <f>_xll.BDP(#REF!,V$2)</f>
        <v>#REF!</v>
      </c>
      <c r="W41" t="e">
        <f>_xll.BDP(#REF!,W$2)</f>
        <v>#REF!</v>
      </c>
      <c r="X41" t="e">
        <f>_xll.BDP(#REF!,X$2)</f>
        <v>#REF!</v>
      </c>
      <c r="Y41" t="e">
        <f>_xll.BDP(#REF!,Y$2)</f>
        <v>#REF!</v>
      </c>
      <c r="Z41" t="e">
        <f>_xll.BDP(#REF!,Z$2)</f>
        <v>#REF!</v>
      </c>
      <c r="AA41" t="e">
        <f>_xll.BDP(#REF!,AA$2)</f>
        <v>#REF!</v>
      </c>
      <c r="AD41">
        <f ca="1">IF(LEFT(_xll.BDP($T41,AD$2),4)="#N/A",-1,_xll.BDP($T41,AD$2))</f>
        <v>28956.05</v>
      </c>
    </row>
    <row r="42" spans="1:30">
      <c r="A42">
        <f ca="1"/>
        <v>172</v>
      </c>
      <c r="B42" t="str">
        <f ca="1"/>
        <v>iW Partners - DCM SYSTEMATIC FUND</v>
      </c>
      <c r="C42" t="str">
        <f ca="1"/>
        <v>iW - DCM SYSTEMATIC FUND</v>
      </c>
      <c r="D42">
        <f ca="1"/>
        <v>73630</v>
      </c>
      <c r="E42" t="str">
        <f ca="1"/>
        <v>iW Partners - DIVERSIFIED ALPHA</v>
      </c>
      <c r="F42" t="str">
        <f ca="1"/>
        <v>DIVERSIFIED ALPHA</v>
      </c>
      <c r="G42">
        <f ca="1"/>
        <v>147</v>
      </c>
      <c r="H42" t="str">
        <f ca="1"/>
        <v>Pictet Fund Accounting</v>
      </c>
      <c r="I42" t="str">
        <f ca="1"/>
        <v>17472921-0</v>
      </c>
      <c r="J42" s="50">
        <f ca="1"/>
        <v>44773</v>
      </c>
      <c r="K42">
        <f ca="1"/>
        <v>3</v>
      </c>
      <c r="L42" t="str">
        <f ca="1"/>
        <v>147129-0</v>
      </c>
      <c r="M42" t="str">
        <f ca="1"/>
        <v>COMMODITIES WTI LIGHT SWEET CR. OIL</v>
      </c>
      <c r="N42" t="str">
        <f ca="1"/>
        <v>USD</v>
      </c>
      <c r="O42" t="str">
        <f ca="1"/>
        <v>Commodity Future</v>
      </c>
      <c r="P42" t="str">
        <f ca="1"/>
        <v/>
      </c>
      <c r="Q42" t="str">
        <f ca="1"/>
        <v/>
      </c>
      <c r="R42" t="str">
        <f ca="1"/>
        <v>GB00H1Q11Q03</v>
      </c>
      <c r="S42" t="str">
        <f ca="1"/>
        <v/>
      </c>
      <c r="T42" t="str">
        <f ca="1"/>
        <v>ENV2 Comdty</v>
      </c>
      <c r="U42">
        <f ca="1">IF(LEFT(_xll.BDP($T42,U$2),4)="#N/A",0,_xll.BDP($T42,U$2))</f>
        <v>0</v>
      </c>
      <c r="V42" t="e">
        <f>_xll.BDP(#REF!,V$2)</f>
        <v>#REF!</v>
      </c>
      <c r="W42" t="e">
        <f>_xll.BDP(#REF!,W$2)</f>
        <v>#REF!</v>
      </c>
      <c r="X42" t="e">
        <f>_xll.BDP(#REF!,X$2)</f>
        <v>#REF!</v>
      </c>
      <c r="Y42" t="e">
        <f>_xll.BDP(#REF!,Y$2)</f>
        <v>#REF!</v>
      </c>
      <c r="Z42" t="e">
        <f>_xll.BDP(#REF!,Z$2)</f>
        <v>#REF!</v>
      </c>
      <c r="AA42" t="e">
        <f>_xll.BDP(#REF!,AA$2)</f>
        <v>#REF!</v>
      </c>
      <c r="AD42">
        <f ca="1">IF(LEFT(_xll.BDP($T42,AD$2),4)="#N/A",-1,_xll.BDP($T42,AD$2))</f>
        <v>41437.35</v>
      </c>
    </row>
    <row r="43" spans="1:30">
      <c r="A43">
        <f ca="1"/>
        <v>172</v>
      </c>
      <c r="B43" t="str">
        <f ca="1"/>
        <v>iW Partners - DCM SYSTEMATIC FUND</v>
      </c>
      <c r="C43" t="str">
        <f ca="1"/>
        <v>iW - DCM SYSTEMATIC FUND</v>
      </c>
      <c r="D43">
        <f ca="1"/>
        <v>73630</v>
      </c>
      <c r="E43" t="str">
        <f ca="1"/>
        <v>iW Partners - DIVERSIFIED ALPHA</v>
      </c>
      <c r="F43" t="str">
        <f ca="1"/>
        <v>DIVERSIFIED ALPHA</v>
      </c>
      <c r="G43">
        <f ca="1"/>
        <v>147</v>
      </c>
      <c r="H43" t="str">
        <f ca="1"/>
        <v>Pictet Fund Accounting</v>
      </c>
      <c r="I43" t="str">
        <f ca="1"/>
        <v>17472826-0</v>
      </c>
      <c r="J43" s="50">
        <f ca="1"/>
        <v>44773</v>
      </c>
      <c r="K43">
        <f ca="1"/>
        <v>10</v>
      </c>
      <c r="L43" t="str">
        <f ca="1"/>
        <v>153480-0</v>
      </c>
      <c r="M43" t="str">
        <f ca="1"/>
        <v>GASOIL LOW SULPHUR 10PPM</v>
      </c>
      <c r="N43" t="str">
        <f ca="1"/>
        <v>USD</v>
      </c>
      <c r="O43" t="str">
        <f ca="1"/>
        <v>Commodity Future</v>
      </c>
      <c r="P43" t="str">
        <f ca="1"/>
        <v/>
      </c>
      <c r="Q43" t="str">
        <f ca="1"/>
        <v/>
      </c>
      <c r="R43" t="str">
        <f ca="1"/>
        <v>GB00H1K81P62</v>
      </c>
      <c r="S43" t="str">
        <f ca="1"/>
        <v/>
      </c>
      <c r="T43" t="str">
        <f ca="1"/>
        <v>QSV2 Comdty</v>
      </c>
      <c r="U43">
        <f ca="1">IF(LEFT(_xll.BDP($T43,U$2),4)="#N/A",0,_xll.BDP($T43,U$2))</f>
        <v>0</v>
      </c>
      <c r="V43" t="e">
        <f>_xll.BDP(#REF!,V$2)</f>
        <v>#REF!</v>
      </c>
      <c r="W43" t="e">
        <f>_xll.BDP(#REF!,W$2)</f>
        <v>#REF!</v>
      </c>
      <c r="X43" t="e">
        <f>_xll.BDP(#REF!,X$2)</f>
        <v>#REF!</v>
      </c>
      <c r="Y43" t="e">
        <f>_xll.BDP(#REF!,Y$2)</f>
        <v>#REF!</v>
      </c>
      <c r="Z43" t="e">
        <f>_xll.BDP(#REF!,Z$2)</f>
        <v>#REF!</v>
      </c>
      <c r="AA43" t="e">
        <f>_xll.BDP(#REF!,AA$2)</f>
        <v>#REF!</v>
      </c>
      <c r="AD43">
        <f ca="1">IF(LEFT(_xll.BDP($T43,AD$2),4)="#N/A",-1,_xll.BDP($T43,AD$2))</f>
        <v>28630.3</v>
      </c>
    </row>
    <row r="44" spans="1:30">
      <c r="A44">
        <f ca="1"/>
        <v>172</v>
      </c>
      <c r="B44" t="str">
        <f ca="1"/>
        <v>iW Partners - DCM SYSTEMATIC FUND</v>
      </c>
      <c r="C44" t="str">
        <f ca="1"/>
        <v>iW - DCM SYSTEMATIC FUND</v>
      </c>
      <c r="D44">
        <f ca="1"/>
        <v>73630</v>
      </c>
      <c r="E44" t="str">
        <f ca="1"/>
        <v>iW Partners - DIVERSIFIED ALPHA</v>
      </c>
      <c r="F44" t="str">
        <f ca="1"/>
        <v>DIVERSIFIED ALPHA</v>
      </c>
      <c r="G44">
        <f ca="1"/>
        <v>147</v>
      </c>
      <c r="H44" t="str">
        <f ca="1"/>
        <v>Pictet Fund Accounting</v>
      </c>
      <c r="I44" t="str">
        <f ca="1"/>
        <v>17472912-0</v>
      </c>
      <c r="J44" s="50">
        <f ca="1"/>
        <v>44773</v>
      </c>
      <c r="K44">
        <f ca="1"/>
        <v>4</v>
      </c>
      <c r="L44" t="str">
        <f ca="1"/>
        <v>155287-0</v>
      </c>
      <c r="M44" t="str">
        <f ca="1"/>
        <v>GASOIL LOW SULPHUR 10PPM</v>
      </c>
      <c r="N44" t="str">
        <f ca="1"/>
        <v>USD</v>
      </c>
      <c r="O44" t="str">
        <f ca="1"/>
        <v>Commodity Future</v>
      </c>
      <c r="P44" t="str">
        <f ca="1"/>
        <v/>
      </c>
      <c r="Q44" t="str">
        <f ca="1"/>
        <v/>
      </c>
      <c r="R44" t="str">
        <f ca="1"/>
        <v>GB00H1K80602</v>
      </c>
      <c r="S44" t="str">
        <f ca="1"/>
        <v/>
      </c>
      <c r="T44" t="str">
        <f ca="1"/>
        <v>QSX2 Comdty</v>
      </c>
      <c r="U44">
        <f ca="1">IF(LEFT(_xll.BDP($T44,U$2),4)="#N/A",0,_xll.BDP($T44,U$2))</f>
        <v>0</v>
      </c>
      <c r="V44" t="e">
        <f>_xll.BDP(#REF!,V$2)</f>
        <v>#REF!</v>
      </c>
      <c r="W44" t="e">
        <f>_xll.BDP(#REF!,W$2)</f>
        <v>#REF!</v>
      </c>
      <c r="X44" t="e">
        <f>_xll.BDP(#REF!,X$2)</f>
        <v>#REF!</v>
      </c>
      <c r="Y44" t="e">
        <f>_xll.BDP(#REF!,Y$2)</f>
        <v>#REF!</v>
      </c>
      <c r="Z44" t="e">
        <f>_xll.BDP(#REF!,Z$2)</f>
        <v>#REF!</v>
      </c>
      <c r="AA44" t="e">
        <f>_xll.BDP(#REF!,AA$2)</f>
        <v>#REF!</v>
      </c>
      <c r="AD44">
        <f ca="1">IF(LEFT(_xll.BDP($T44,AD$2),4)="#N/A",-1,_xll.BDP($T44,AD$2))</f>
        <v>16156.05</v>
      </c>
    </row>
    <row r="45" spans="1:30">
      <c r="A45">
        <f ca="1"/>
        <v>172</v>
      </c>
      <c r="B45" t="str">
        <f ca="1"/>
        <v>iW Partners - DCM SYSTEMATIC FUND</v>
      </c>
      <c r="C45" t="str">
        <f ca="1"/>
        <v>iW - DCM SYSTEMATIC FUND</v>
      </c>
      <c r="D45">
        <f ca="1"/>
        <v>73630</v>
      </c>
      <c r="E45" t="str">
        <f ca="1"/>
        <v>iW Partners - DIVERSIFIED ALPHA</v>
      </c>
      <c r="F45" t="str">
        <f ca="1"/>
        <v>DIVERSIFIED ALPHA</v>
      </c>
      <c r="G45">
        <f ca="1"/>
        <v>147</v>
      </c>
      <c r="H45" t="str">
        <f ca="1"/>
        <v>Pictet Fund Accounting</v>
      </c>
      <c r="I45" t="str">
        <f ca="1"/>
        <v>17472828-0</v>
      </c>
      <c r="J45" s="50">
        <f ca="1"/>
        <v>44773</v>
      </c>
      <c r="K45">
        <f ca="1"/>
        <v>3</v>
      </c>
      <c r="L45" t="str">
        <f ca="1"/>
        <v>158463-0</v>
      </c>
      <c r="M45" t="str">
        <f ca="1"/>
        <v>GOLD -1 OZ-</v>
      </c>
      <c r="N45" t="str">
        <f ca="1"/>
        <v>USD</v>
      </c>
      <c r="O45" t="str">
        <f ca="1"/>
        <v>Commodity Future</v>
      </c>
      <c r="P45" t="str">
        <f ca="1"/>
        <v/>
      </c>
      <c r="Q45" t="str">
        <f ca="1"/>
        <v/>
      </c>
      <c r="R45" t="str">
        <f ca="1"/>
        <v>ZZ00WNC7YP 0</v>
      </c>
      <c r="S45" t="str">
        <f ca="1"/>
        <v/>
      </c>
      <c r="T45" t="str">
        <f ca="1"/>
        <v>GCZ2 Comdty</v>
      </c>
      <c r="U45">
        <f ca="1">IF(LEFT(_xll.BDP($T45,U$2),4)="#N/A",0,_xll.BDP($T45,U$2))</f>
        <v>0</v>
      </c>
      <c r="V45" t="e">
        <f>_xll.BDP(#REF!,V$2)</f>
        <v>#REF!</v>
      </c>
      <c r="W45" t="e">
        <f>_xll.BDP(#REF!,W$2)</f>
        <v>#REF!</v>
      </c>
      <c r="X45" t="e">
        <f>_xll.BDP(#REF!,X$2)</f>
        <v>#REF!</v>
      </c>
      <c r="Y45" t="e">
        <f>_xll.BDP(#REF!,Y$2)</f>
        <v>#REF!</v>
      </c>
      <c r="Z45" t="e">
        <f>_xll.BDP(#REF!,Z$2)</f>
        <v>#REF!</v>
      </c>
      <c r="AA45" t="e">
        <f>_xll.BDP(#REF!,AA$2)</f>
        <v>#REF!</v>
      </c>
      <c r="AD45">
        <f ca="1">IF(LEFT(_xll.BDP($T45,AD$2),4)="#N/A",-1,_xll.BDP($T45,AD$2))</f>
        <v>83710.850000000006</v>
      </c>
    </row>
    <row r="46" spans="1:30">
      <c r="A46">
        <f ca="1"/>
        <v>172</v>
      </c>
      <c r="B46" t="str">
        <f ca="1"/>
        <v>iW Partners - DCM SYSTEMATIC FUND</v>
      </c>
      <c r="C46" t="str">
        <f ca="1"/>
        <v>iW - DCM SYSTEMATIC FUND</v>
      </c>
      <c r="D46">
        <f ca="1"/>
        <v>73630</v>
      </c>
      <c r="E46" t="str">
        <f ca="1"/>
        <v>iW Partners - DIVERSIFIED ALPHA</v>
      </c>
      <c r="F46" t="str">
        <f ca="1"/>
        <v>DIVERSIFIED ALPHA</v>
      </c>
      <c r="G46">
        <f ca="1"/>
        <v>147</v>
      </c>
      <c r="H46" t="str">
        <f ca="1"/>
        <v>Pictet Fund Accounting</v>
      </c>
      <c r="I46" t="str">
        <f ca="1"/>
        <v>17472890-0</v>
      </c>
      <c r="J46" s="50">
        <f ca="1"/>
        <v>44773</v>
      </c>
      <c r="K46">
        <f ca="1"/>
        <v>1</v>
      </c>
      <c r="L46" t="str">
        <f ca="1"/>
        <v>147312-0</v>
      </c>
      <c r="M46" t="str">
        <f ca="1"/>
        <v>PALLADIUM (COLLECTIVE)</v>
      </c>
      <c r="N46" t="str">
        <f ca="1"/>
        <v>USD</v>
      </c>
      <c r="O46" t="str">
        <f ca="1"/>
        <v>Commodity Future</v>
      </c>
      <c r="P46" t="str">
        <f ca="1"/>
        <v/>
      </c>
      <c r="Q46" t="str">
        <f ca="1"/>
        <v/>
      </c>
      <c r="R46" t="str">
        <f ca="1"/>
        <v>ZZ00WUNGEJ 0</v>
      </c>
      <c r="S46" t="str">
        <f ca="1"/>
        <v/>
      </c>
      <c r="T46" t="str">
        <f ca="1"/>
        <v>PAU2 Comdty</v>
      </c>
      <c r="U46">
        <f ca="1">IF(LEFT(_xll.BDP($T46,U$2),4)="#N/A",0,_xll.BDP($T46,U$2))</f>
        <v>0</v>
      </c>
      <c r="V46" t="e">
        <f>_xll.BDP(#REF!,V$2)</f>
        <v>#REF!</v>
      </c>
      <c r="W46" t="e">
        <f>_xll.BDP(#REF!,W$2)</f>
        <v>#REF!</v>
      </c>
      <c r="X46" t="e">
        <f>_xll.BDP(#REF!,X$2)</f>
        <v>#REF!</v>
      </c>
      <c r="Y46" t="e">
        <f>_xll.BDP(#REF!,Y$2)</f>
        <v>#REF!</v>
      </c>
      <c r="Z46" t="e">
        <f>_xll.BDP(#REF!,Z$2)</f>
        <v>#REF!</v>
      </c>
      <c r="AA46" t="e">
        <f>_xll.BDP(#REF!,AA$2)</f>
        <v>#REF!</v>
      </c>
      <c r="AD46">
        <f ca="1">IF(LEFT(_xll.BDP($T46,AD$2),4)="#N/A",-1,_xll.BDP($T46,AD$2))</f>
        <v>1609.25</v>
      </c>
    </row>
    <row r="47" spans="1:30">
      <c r="A47">
        <f ca="1"/>
        <v>172</v>
      </c>
      <c r="B47" t="str">
        <f ca="1"/>
        <v>iW Partners - DCM SYSTEMATIC FUND</v>
      </c>
      <c r="C47" t="str">
        <f ca="1"/>
        <v>iW - DCM SYSTEMATIC FUND</v>
      </c>
      <c r="D47">
        <f ca="1"/>
        <v>73630</v>
      </c>
      <c r="E47" t="str">
        <f ca="1"/>
        <v>iW Partners - DIVERSIFIED ALPHA</v>
      </c>
      <c r="F47" t="str">
        <f ca="1"/>
        <v>DIVERSIFIED ALPHA</v>
      </c>
      <c r="G47">
        <f ca="1"/>
        <v>147</v>
      </c>
      <c r="H47" t="str">
        <f ca="1"/>
        <v>Pictet Fund Accounting</v>
      </c>
      <c r="I47" t="str">
        <f ca="1"/>
        <v>17472847-0</v>
      </c>
      <c r="J47" s="50">
        <f ca="1"/>
        <v>44773</v>
      </c>
      <c r="K47">
        <f ca="1"/>
        <v>2</v>
      </c>
      <c r="L47" t="str">
        <f ca="1"/>
        <v>154354-0</v>
      </c>
      <c r="M47" t="str">
        <f ca="1"/>
        <v>SILVER FIXING 1 OZ CLOS. NY COMEX</v>
      </c>
      <c r="N47" t="str">
        <f ca="1"/>
        <v>USD</v>
      </c>
      <c r="O47" t="str">
        <f ca="1"/>
        <v>Commodity Future</v>
      </c>
      <c r="P47" t="str">
        <f ca="1"/>
        <v/>
      </c>
      <c r="Q47" t="str">
        <f ca="1"/>
        <v/>
      </c>
      <c r="R47" t="str">
        <f ca="1"/>
        <v>ZZ00WU8HF1 0</v>
      </c>
      <c r="S47" t="str">
        <f ca="1"/>
        <v/>
      </c>
      <c r="T47" t="str">
        <f ca="1"/>
        <v>SIU2 Comdty</v>
      </c>
      <c r="U47">
        <f ca="1">IF(LEFT(_xll.BDP($T47,U$2),4)="#N/A",0,_xll.BDP($T47,U$2))</f>
        <v>0</v>
      </c>
      <c r="V47" t="e">
        <f>_xll.BDP(#REF!,V$2)</f>
        <v>#REF!</v>
      </c>
      <c r="W47" t="e">
        <f>_xll.BDP(#REF!,W$2)</f>
        <v>#REF!</v>
      </c>
      <c r="X47" t="e">
        <f>_xll.BDP(#REF!,X$2)</f>
        <v>#REF!</v>
      </c>
      <c r="Y47" t="e">
        <f>_xll.BDP(#REF!,Y$2)</f>
        <v>#REF!</v>
      </c>
      <c r="Z47" t="e">
        <f>_xll.BDP(#REF!,Z$2)</f>
        <v>#REF!</v>
      </c>
      <c r="AA47" t="e">
        <f>_xll.BDP(#REF!,AA$2)</f>
        <v>#REF!</v>
      </c>
      <c r="AD47">
        <f ca="1">IF(LEFT(_xll.BDP($T47,AD$2),4)="#N/A",-1,_xll.BDP($T47,AD$2))</f>
        <v>54518.6</v>
      </c>
    </row>
    <row r="48" spans="1:30">
      <c r="A48">
        <f ca="1"/>
        <v>172</v>
      </c>
      <c r="B48" t="str">
        <f ca="1"/>
        <v>iW Partners - DCM SYSTEMATIC FUND</v>
      </c>
      <c r="C48" t="str">
        <f ca="1"/>
        <v>iW - DCM SYSTEMATIC FUND</v>
      </c>
      <c r="D48">
        <f ca="1"/>
        <v>73630</v>
      </c>
      <c r="E48" t="str">
        <f ca="1"/>
        <v>iW Partners - DIVERSIFIED ALPHA</v>
      </c>
      <c r="F48" t="str">
        <f ca="1"/>
        <v>DIVERSIFIED ALPHA</v>
      </c>
      <c r="G48">
        <f ca="1"/>
        <v>147</v>
      </c>
      <c r="H48" t="str">
        <f ca="1"/>
        <v>Pictet Fund Accounting</v>
      </c>
      <c r="I48" t="str">
        <f ca="1"/>
        <v>17472823-0</v>
      </c>
      <c r="J48" s="50">
        <f ca="1"/>
        <v>44773</v>
      </c>
      <c r="K48">
        <f ca="1"/>
        <v>5</v>
      </c>
      <c r="L48" t="str">
        <f ca="1"/>
        <v>154351-0</v>
      </c>
      <c r="M48" t="str">
        <f ca="1"/>
        <v>SMALL LINGOT PLATINUM 1 ONZE(999)</v>
      </c>
      <c r="N48" t="str">
        <f ca="1"/>
        <v>USD</v>
      </c>
      <c r="O48" t="str">
        <f ca="1"/>
        <v>Commodity Future</v>
      </c>
      <c r="P48" t="str">
        <f ca="1"/>
        <v/>
      </c>
      <c r="Q48" t="str">
        <f ca="1"/>
        <v/>
      </c>
      <c r="R48" t="str">
        <f ca="1"/>
        <v>ZZ00WT1VE0 0</v>
      </c>
      <c r="S48" t="str">
        <f ca="1"/>
        <v/>
      </c>
      <c r="T48" t="str">
        <f ca="1"/>
        <v>PLV2 Comdty</v>
      </c>
      <c r="U48">
        <f ca="1">IF(LEFT(_xll.BDP($T48,U$2),4)="#N/A",0,_xll.BDP($T48,U$2))</f>
        <v>0</v>
      </c>
      <c r="V48" t="e">
        <f>_xll.BDP(#REF!,V$2)</f>
        <v>#REF!</v>
      </c>
      <c r="W48" t="e">
        <f>_xll.BDP(#REF!,W$2)</f>
        <v>#REF!</v>
      </c>
      <c r="X48" t="e">
        <f>_xll.BDP(#REF!,X$2)</f>
        <v>#REF!</v>
      </c>
      <c r="Y48" t="e">
        <f>_xll.BDP(#REF!,Y$2)</f>
        <v>#REF!</v>
      </c>
      <c r="Z48" t="e">
        <f>_xll.BDP(#REF!,Z$2)</f>
        <v>#REF!</v>
      </c>
      <c r="AA48" t="e">
        <f>_xll.BDP(#REF!,AA$2)</f>
        <v>#REF!</v>
      </c>
      <c r="AD48">
        <f ca="1">IF(LEFT(_xll.BDP($T48,AD$2),4)="#N/A",-1,_xll.BDP($T48,AD$2))</f>
        <v>14321.35</v>
      </c>
    </row>
    <row r="49" spans="1:30">
      <c r="A49">
        <f ca="1"/>
        <v>172</v>
      </c>
      <c r="B49" t="str">
        <f ca="1"/>
        <v>iW Partners - DCM SYSTEMATIC FUND</v>
      </c>
      <c r="C49" t="str">
        <f ca="1"/>
        <v>iW - DCM SYSTEMATIC FUND</v>
      </c>
      <c r="D49">
        <f ca="1"/>
        <v>73630</v>
      </c>
      <c r="E49" t="str">
        <f ca="1"/>
        <v>iW Partners - DIVERSIFIED ALPHA</v>
      </c>
      <c r="F49" t="str">
        <f ca="1"/>
        <v>DIVERSIFIED ALPHA</v>
      </c>
      <c r="G49">
        <f ca="1"/>
        <v>147</v>
      </c>
      <c r="H49" t="str">
        <f ca="1"/>
        <v>Pictet Fund Accounting</v>
      </c>
      <c r="I49" t="str">
        <f ca="1"/>
        <v>17472862-0</v>
      </c>
      <c r="J49" s="50">
        <f ca="1"/>
        <v>44773</v>
      </c>
      <c r="K49">
        <f ca="1"/>
        <v>8194376.1100000003</v>
      </c>
      <c r="L49" t="str">
        <f ca="1"/>
        <v>158465-0</v>
      </c>
      <c r="M49" t="str">
        <f ca="1"/>
        <v>Purchase forward contract ~ Bought CHF 8,194,376.11 Sold USD 8,546,556.90</v>
      </c>
      <c r="N49" t="str">
        <f ca="1"/>
        <v>CHF</v>
      </c>
      <c r="O49" t="str">
        <f ca="1"/>
        <v>Currency Forward</v>
      </c>
      <c r="P49" t="str">
        <f ca="1"/>
        <v/>
      </c>
      <c r="Q49" t="str">
        <f ca="1"/>
        <v/>
      </c>
      <c r="R49" t="str">
        <f ca="1"/>
        <v/>
      </c>
      <c r="S49" t="str">
        <f ca="1"/>
        <v/>
      </c>
      <c r="T49" t="str">
        <f ca="1"/>
        <v/>
      </c>
      <c r="U49">
        <f ca="1">IF(LEFT(_xll.BDP($T49,U$2),4)="#N/A",0,_xll.BDP($T49,U$2))</f>
        <v>0</v>
      </c>
      <c r="V49" t="e">
        <f>_xll.BDP(#REF!,V$2)</f>
        <v>#REF!</v>
      </c>
      <c r="W49" t="e">
        <f>_xll.BDP(#REF!,W$2)</f>
        <v>#REF!</v>
      </c>
      <c r="X49" t="e">
        <f>_xll.BDP(#REF!,X$2)</f>
        <v>#REF!</v>
      </c>
      <c r="Y49" t="e">
        <f>_xll.BDP(#REF!,Y$2)</f>
        <v>#REF!</v>
      </c>
      <c r="Z49" t="e">
        <f>_xll.BDP(#REF!,Z$2)</f>
        <v>#REF!</v>
      </c>
      <c r="AA49" t="e">
        <f>_xll.BDP(#REF!,AA$2)</f>
        <v>#REF!</v>
      </c>
      <c r="AD49">
        <f ca="1">IF(LEFT(_xll.BDP($T49,AD$2),4)="#N/A",-1,_xll.BDP($T49,AD$2))</f>
        <v>-1</v>
      </c>
    </row>
    <row r="50" spans="1:30">
      <c r="A50">
        <f ca="1"/>
        <v>172</v>
      </c>
      <c r="B50" t="str">
        <f ca="1"/>
        <v>iW Partners - DCM SYSTEMATIC FUND</v>
      </c>
      <c r="C50" t="str">
        <f ca="1"/>
        <v>iW - DCM SYSTEMATIC FUND</v>
      </c>
      <c r="D50">
        <f ca="1"/>
        <v>73630</v>
      </c>
      <c r="E50" t="str">
        <f ca="1"/>
        <v>iW Partners - DIVERSIFIED ALPHA</v>
      </c>
      <c r="F50" t="str">
        <f ca="1"/>
        <v>DIVERSIFIED ALPHA</v>
      </c>
      <c r="G50">
        <f ca="1"/>
        <v>147</v>
      </c>
      <c r="H50" t="str">
        <f ca="1"/>
        <v>Pictet Fund Accounting</v>
      </c>
      <c r="I50" t="str">
        <f ca="1"/>
        <v>17472879-0</v>
      </c>
      <c r="J50" s="50">
        <f ca="1"/>
        <v>44773</v>
      </c>
      <c r="K50">
        <f ca="1"/>
        <v>-8546556.9000000004</v>
      </c>
      <c r="L50" t="str">
        <f ca="1"/>
        <v>158467-0</v>
      </c>
      <c r="M50" t="str">
        <f ca="1"/>
        <v>Purchase forward contract ~ Bought CHF 8,194,376.11 Sold USD 8,546,556.90</v>
      </c>
      <c r="N50" t="str">
        <f ca="1"/>
        <v>USD</v>
      </c>
      <c r="O50" t="str">
        <f ca="1"/>
        <v>Currency Forward</v>
      </c>
      <c r="P50" t="str">
        <f ca="1"/>
        <v/>
      </c>
      <c r="Q50" t="str">
        <f ca="1"/>
        <v/>
      </c>
      <c r="R50" t="str">
        <f ca="1"/>
        <v/>
      </c>
      <c r="S50" t="str">
        <f ca="1"/>
        <v/>
      </c>
      <c r="T50" t="str">
        <f ca="1"/>
        <v/>
      </c>
      <c r="U50">
        <f ca="1">IF(LEFT(_xll.BDP($T50,U$2),4)="#N/A",0,_xll.BDP($T50,U$2))</f>
        <v>0</v>
      </c>
      <c r="V50" t="e">
        <f>_xll.BDP(#REF!,V$2)</f>
        <v>#REF!</v>
      </c>
      <c r="W50" t="e">
        <f>_xll.BDP(#REF!,W$2)</f>
        <v>#REF!</v>
      </c>
      <c r="X50" t="e">
        <f>_xll.BDP(#REF!,X$2)</f>
        <v>#REF!</v>
      </c>
      <c r="Y50" t="e">
        <f>_xll.BDP(#REF!,Y$2)</f>
        <v>#REF!</v>
      </c>
      <c r="Z50" t="e">
        <f>_xll.BDP(#REF!,Z$2)</f>
        <v>#REF!</v>
      </c>
      <c r="AA50" t="e">
        <f>_xll.BDP(#REF!,AA$2)</f>
        <v>#REF!</v>
      </c>
      <c r="AD50">
        <f ca="1">IF(LEFT(_xll.BDP($T50,AD$2),4)="#N/A",-1,_xll.BDP($T50,AD$2))</f>
        <v>-1</v>
      </c>
    </row>
    <row r="51" spans="1:30">
      <c r="A51">
        <f ca="1"/>
        <v>172</v>
      </c>
      <c r="B51" t="str">
        <f ca="1"/>
        <v>iW Partners - DCM SYSTEMATIC FUND</v>
      </c>
      <c r="C51" t="str">
        <f ca="1"/>
        <v>iW - DCM SYSTEMATIC FUND</v>
      </c>
      <c r="D51">
        <f ca="1"/>
        <v>73630</v>
      </c>
      <c r="E51" t="str">
        <f ca="1"/>
        <v>iW Partners - DIVERSIFIED ALPHA</v>
      </c>
      <c r="F51" t="str">
        <f ca="1"/>
        <v>DIVERSIFIED ALPHA</v>
      </c>
      <c r="G51">
        <f ca="1"/>
        <v>147</v>
      </c>
      <c r="H51" t="str">
        <f ca="1"/>
        <v>Pictet Fund Accounting</v>
      </c>
      <c r="I51" t="str">
        <f ca="1"/>
        <v>17472852-0</v>
      </c>
      <c r="J51" s="50">
        <f ca="1"/>
        <v>44773</v>
      </c>
      <c r="K51">
        <f ca="1"/>
        <v>-28459121.890000001</v>
      </c>
      <c r="L51" t="str">
        <f ca="1"/>
        <v>158464-0</v>
      </c>
      <c r="M51" t="str">
        <f ca="1"/>
        <v>Purchase forward contract ~ Bought EUR 27,998,240.89 Sold USD 28,459,121.89</v>
      </c>
      <c r="N51" t="str">
        <f ca="1"/>
        <v>USD</v>
      </c>
      <c r="O51" t="str">
        <f ca="1"/>
        <v>Currency Forward</v>
      </c>
      <c r="P51" t="str">
        <f ca="1"/>
        <v/>
      </c>
      <c r="Q51" t="str">
        <f ca="1"/>
        <v/>
      </c>
      <c r="R51" t="str">
        <f ca="1"/>
        <v/>
      </c>
      <c r="S51" t="str">
        <f ca="1"/>
        <v/>
      </c>
      <c r="T51" t="str">
        <f ca="1"/>
        <v/>
      </c>
      <c r="U51">
        <f ca="1">IF(LEFT(_xll.BDP($T51,U$2),4)="#N/A",0,_xll.BDP($T51,U$2))</f>
        <v>0</v>
      </c>
      <c r="V51" t="e">
        <f>_xll.BDP(#REF!,V$2)</f>
        <v>#REF!</v>
      </c>
      <c r="W51" t="e">
        <f>_xll.BDP(#REF!,W$2)</f>
        <v>#REF!</v>
      </c>
      <c r="X51" t="e">
        <f>_xll.BDP(#REF!,X$2)</f>
        <v>#REF!</v>
      </c>
      <c r="Y51" t="e">
        <f>_xll.BDP(#REF!,Y$2)</f>
        <v>#REF!</v>
      </c>
      <c r="Z51" t="e">
        <f>_xll.BDP(#REF!,Z$2)</f>
        <v>#REF!</v>
      </c>
      <c r="AA51" t="e">
        <f>_xll.BDP(#REF!,AA$2)</f>
        <v>#REF!</v>
      </c>
      <c r="AD51">
        <f ca="1">IF(LEFT(_xll.BDP($T51,AD$2),4)="#N/A",-1,_xll.BDP($T51,AD$2))</f>
        <v>-1</v>
      </c>
    </row>
    <row r="52" spans="1:30">
      <c r="A52">
        <f ca="1"/>
        <v>172</v>
      </c>
      <c r="B52" t="str">
        <f ca="1"/>
        <v>iW Partners - DCM SYSTEMATIC FUND</v>
      </c>
      <c r="C52" t="str">
        <f ca="1"/>
        <v>iW - DCM SYSTEMATIC FUND</v>
      </c>
      <c r="D52">
        <f ca="1"/>
        <v>73630</v>
      </c>
      <c r="E52" t="str">
        <f ca="1"/>
        <v>iW Partners - DIVERSIFIED ALPHA</v>
      </c>
      <c r="F52" t="str">
        <f ca="1"/>
        <v>DIVERSIFIED ALPHA</v>
      </c>
      <c r="G52">
        <f ca="1"/>
        <v>147</v>
      </c>
      <c r="H52" t="str">
        <f ca="1"/>
        <v>Pictet Fund Accounting</v>
      </c>
      <c r="I52" t="str">
        <f ca="1"/>
        <v>17472888-0</v>
      </c>
      <c r="J52" s="50">
        <f ca="1"/>
        <v>44773</v>
      </c>
      <c r="K52">
        <f ca="1"/>
        <v>27998240.890000001</v>
      </c>
      <c r="L52" t="str">
        <f ca="1"/>
        <v>158468-0</v>
      </c>
      <c r="M52" t="str">
        <f ca="1"/>
        <v>Purchase forward contract ~ Bought EUR 27,998,240.89 Sold USD 28,459,121.89</v>
      </c>
      <c r="N52" t="str">
        <f ca="1"/>
        <v>EUR</v>
      </c>
      <c r="O52" t="str">
        <f ca="1"/>
        <v>Currency Forward</v>
      </c>
      <c r="P52" t="str">
        <f ca="1"/>
        <v/>
      </c>
      <c r="Q52" t="str">
        <f ca="1"/>
        <v/>
      </c>
      <c r="R52" t="str">
        <f ca="1"/>
        <v/>
      </c>
      <c r="S52" t="str">
        <f ca="1"/>
        <v/>
      </c>
      <c r="T52" t="str">
        <f ca="1"/>
        <v/>
      </c>
      <c r="U52">
        <f ca="1">IF(LEFT(_xll.BDP($T52,U$2),4)="#N/A",0,_xll.BDP($T52,U$2))</f>
        <v>0</v>
      </c>
      <c r="V52" t="e">
        <f>_xll.BDP(#REF!,V$2)</f>
        <v>#REF!</v>
      </c>
      <c r="W52" t="e">
        <f>_xll.BDP(#REF!,W$2)</f>
        <v>#REF!</v>
      </c>
      <c r="X52" t="e">
        <f>_xll.BDP(#REF!,X$2)</f>
        <v>#REF!</v>
      </c>
      <c r="Y52" t="e">
        <f>_xll.BDP(#REF!,Y$2)</f>
        <v>#REF!</v>
      </c>
      <c r="Z52" t="e">
        <f>_xll.BDP(#REF!,Z$2)</f>
        <v>#REF!</v>
      </c>
      <c r="AA52" t="e">
        <f>_xll.BDP(#REF!,AA$2)</f>
        <v>#REF!</v>
      </c>
      <c r="AD52">
        <f ca="1">IF(LEFT(_xll.BDP($T52,AD$2),4)="#N/A",-1,_xll.BDP($T52,AD$2))</f>
        <v>-1</v>
      </c>
    </row>
    <row r="53" spans="1:30">
      <c r="A53">
        <f ca="1"/>
        <v>172</v>
      </c>
      <c r="B53" t="str">
        <f ca="1"/>
        <v>iW Partners - DCM SYSTEMATIC FUND</v>
      </c>
      <c r="C53" t="str">
        <f ca="1"/>
        <v>iW - DCM SYSTEMATIC FUND</v>
      </c>
      <c r="D53">
        <f ca="1"/>
        <v>73630</v>
      </c>
      <c r="E53" t="str">
        <f ca="1"/>
        <v>iW Partners - DIVERSIFIED ALPHA</v>
      </c>
      <c r="F53" t="str">
        <f ca="1"/>
        <v>DIVERSIFIED ALPHA</v>
      </c>
      <c r="G53">
        <f ca="1"/>
        <v>147</v>
      </c>
      <c r="H53" t="str">
        <f ca="1"/>
        <v>Pictet Fund Accounting</v>
      </c>
      <c r="I53" t="str">
        <f ca="1"/>
        <v>17472870-0</v>
      </c>
      <c r="J53" s="50">
        <f ca="1"/>
        <v>44773</v>
      </c>
      <c r="K53">
        <f ca="1"/>
        <v>28</v>
      </c>
      <c r="L53" t="str">
        <f ca="1"/>
        <v>153487-0</v>
      </c>
      <c r="M53" t="str">
        <f ca="1"/>
        <v>AUD / USD</v>
      </c>
      <c r="N53" t="str">
        <f ca="1"/>
        <v>USD</v>
      </c>
      <c r="O53" t="str">
        <f ca="1"/>
        <v>Currency Future</v>
      </c>
      <c r="P53" t="str">
        <f ca="1"/>
        <v/>
      </c>
      <c r="Q53" t="str">
        <f ca="1"/>
        <v/>
      </c>
      <c r="R53" t="str">
        <f ca="1"/>
        <v>ZZ00WRE1S8 0</v>
      </c>
      <c r="S53" t="str">
        <f ca="1"/>
        <v/>
      </c>
      <c r="T53" t="str">
        <f ca="1"/>
        <v>ADU2 Curncy</v>
      </c>
      <c r="U53">
        <f ca="1">IF(LEFT(_xll.BDP($T53,U$2),4)="#N/A",0,_xll.BDP($T53,U$2))</f>
        <v>0</v>
      </c>
      <c r="V53" t="e">
        <f>_xll.BDP(#REF!,V$2)</f>
        <v>#REF!</v>
      </c>
      <c r="W53" t="e">
        <f>_xll.BDP(#REF!,W$2)</f>
        <v>#REF!</v>
      </c>
      <c r="X53" t="e">
        <f>_xll.BDP(#REF!,X$2)</f>
        <v>#REF!</v>
      </c>
      <c r="Y53" t="e">
        <f>_xll.BDP(#REF!,Y$2)</f>
        <v>#REF!</v>
      </c>
      <c r="Z53" t="e">
        <f>_xll.BDP(#REF!,Z$2)</f>
        <v>#REF!</v>
      </c>
      <c r="AA53" t="e">
        <f>_xll.BDP(#REF!,AA$2)</f>
        <v>#REF!</v>
      </c>
      <c r="AD53">
        <f ca="1">IF(LEFT(_xll.BDP($T53,AD$2),4)="#N/A",-1,_xll.BDP($T53,AD$2))</f>
        <v>94408.75</v>
      </c>
    </row>
    <row r="54" spans="1:30">
      <c r="A54">
        <f ca="1"/>
        <v>172</v>
      </c>
      <c r="B54" t="str">
        <f ca="1"/>
        <v>iW Partners - DCM SYSTEMATIC FUND</v>
      </c>
      <c r="C54" t="str">
        <f ca="1"/>
        <v>iW - DCM SYSTEMATIC FUND</v>
      </c>
      <c r="D54">
        <f ca="1"/>
        <v>73630</v>
      </c>
      <c r="E54" t="str">
        <f ca="1"/>
        <v>iW Partners - DIVERSIFIED ALPHA</v>
      </c>
      <c r="F54" t="str">
        <f ca="1"/>
        <v>DIVERSIFIED ALPHA</v>
      </c>
      <c r="G54">
        <f ca="1"/>
        <v>147</v>
      </c>
      <c r="H54" t="str">
        <f ca="1"/>
        <v>Pictet Fund Accounting</v>
      </c>
      <c r="I54" t="str">
        <f ca="1"/>
        <v>17472866-0</v>
      </c>
      <c r="J54" s="50">
        <f ca="1"/>
        <v>44773</v>
      </c>
      <c r="K54">
        <f ca="1"/>
        <v>-297</v>
      </c>
      <c r="L54" t="str">
        <f ca="1"/>
        <v>153485-0</v>
      </c>
      <c r="M54" t="str">
        <f ca="1"/>
        <v>CAD / USD</v>
      </c>
      <c r="N54" t="str">
        <f ca="1"/>
        <v>USD</v>
      </c>
      <c r="O54" t="str">
        <f ca="1"/>
        <v>Currency Future</v>
      </c>
      <c r="P54" t="str">
        <f ca="1"/>
        <v/>
      </c>
      <c r="Q54" t="str">
        <f ca="1"/>
        <v/>
      </c>
      <c r="R54" t="str">
        <f ca="1"/>
        <v>ZZ00WRESJQ 0</v>
      </c>
      <c r="S54" t="str">
        <f ca="1"/>
        <v/>
      </c>
      <c r="T54" t="str">
        <f ca="1"/>
        <v>CDU2 Curncy</v>
      </c>
      <c r="U54">
        <f ca="1">IF(LEFT(_xll.BDP($T54,U$2),4)="#N/A",0,_xll.BDP($T54,U$2))</f>
        <v>0</v>
      </c>
      <c r="V54" t="e">
        <f>_xll.BDP(#REF!,V$2)</f>
        <v>#REF!</v>
      </c>
      <c r="W54" t="e">
        <f>_xll.BDP(#REF!,W$2)</f>
        <v>#REF!</v>
      </c>
      <c r="X54" t="e">
        <f>_xll.BDP(#REF!,X$2)</f>
        <v>#REF!</v>
      </c>
      <c r="Y54" t="e">
        <f>_xll.BDP(#REF!,Y$2)</f>
        <v>#REF!</v>
      </c>
      <c r="Z54" t="e">
        <f>_xll.BDP(#REF!,Z$2)</f>
        <v>#REF!</v>
      </c>
      <c r="AA54" t="e">
        <f>_xll.BDP(#REF!,AA$2)</f>
        <v>#REF!</v>
      </c>
      <c r="AD54">
        <f ca="1">IF(LEFT(_xll.BDP($T54,AD$2),4)="#N/A",-1,_xll.BDP($T54,AD$2))</f>
        <v>89570.85</v>
      </c>
    </row>
    <row r="55" spans="1:30">
      <c r="A55">
        <f ca="1"/>
        <v>172</v>
      </c>
      <c r="B55" t="str">
        <f ca="1"/>
        <v>iW Partners - DCM SYSTEMATIC FUND</v>
      </c>
      <c r="C55" t="str">
        <f ca="1"/>
        <v>iW - DCM SYSTEMATIC FUND</v>
      </c>
      <c r="D55">
        <f ca="1"/>
        <v>73630</v>
      </c>
      <c r="E55" t="str">
        <f ca="1"/>
        <v>iW Partners - DIVERSIFIED ALPHA</v>
      </c>
      <c r="F55" t="str">
        <f ca="1"/>
        <v>DIVERSIFIED ALPHA</v>
      </c>
      <c r="G55">
        <f ca="1"/>
        <v>147</v>
      </c>
      <c r="H55" t="str">
        <f ca="1"/>
        <v>Pictet Fund Accounting</v>
      </c>
      <c r="I55" t="str">
        <f ca="1"/>
        <v>17472846-0</v>
      </c>
      <c r="J55" s="50">
        <f ca="1"/>
        <v>44773</v>
      </c>
      <c r="K55">
        <f ca="1"/>
        <v>112</v>
      </c>
      <c r="L55" t="str">
        <f ca="1"/>
        <v>153490-0</v>
      </c>
      <c r="M55" t="str">
        <f ca="1"/>
        <v>EUR / USD</v>
      </c>
      <c r="N55" t="str">
        <f ca="1"/>
        <v>USD</v>
      </c>
      <c r="O55" t="str">
        <f ca="1"/>
        <v>Currency Future</v>
      </c>
      <c r="P55" t="str">
        <f ca="1"/>
        <v/>
      </c>
      <c r="Q55" t="str">
        <f ca="1"/>
        <v/>
      </c>
      <c r="R55" t="str">
        <f ca="1"/>
        <v>ZZ00WRE7CQ 0</v>
      </c>
      <c r="S55" t="str">
        <f ca="1"/>
        <v/>
      </c>
      <c r="T55" t="str">
        <f ca="1"/>
        <v>ECU2 Curncy</v>
      </c>
      <c r="U55">
        <f ca="1">IF(LEFT(_xll.BDP($T55,U$2),4)="#N/A",0,_xll.BDP($T55,U$2))</f>
        <v>0</v>
      </c>
      <c r="V55" t="e">
        <f>_xll.BDP(#REF!,V$2)</f>
        <v>#REF!</v>
      </c>
      <c r="W55" t="e">
        <f>_xll.BDP(#REF!,W$2)</f>
        <v>#REF!</v>
      </c>
      <c r="X55" t="e">
        <f>_xll.BDP(#REF!,X$2)</f>
        <v>#REF!</v>
      </c>
      <c r="Y55" t="e">
        <f>_xll.BDP(#REF!,Y$2)</f>
        <v>#REF!</v>
      </c>
      <c r="Z55" t="e">
        <f>_xll.BDP(#REF!,Z$2)</f>
        <v>#REF!</v>
      </c>
      <c r="AA55" t="e">
        <f>_xll.BDP(#REF!,AA$2)</f>
        <v>#REF!</v>
      </c>
      <c r="AD55">
        <f ca="1">IF(LEFT(_xll.BDP($T55,AD$2),4)="#N/A",-1,_xll.BDP($T55,AD$2))</f>
        <v>229111.5</v>
      </c>
    </row>
    <row r="56" spans="1:30">
      <c r="A56">
        <f ca="1"/>
        <v>172</v>
      </c>
      <c r="B56" t="str">
        <f ca="1"/>
        <v>iW Partners - DCM SYSTEMATIC FUND</v>
      </c>
      <c r="C56" t="str">
        <f ca="1"/>
        <v>iW - DCM SYSTEMATIC FUND</v>
      </c>
      <c r="D56">
        <f ca="1"/>
        <v>73630</v>
      </c>
      <c r="E56" t="str">
        <f ca="1"/>
        <v>iW Partners - DIVERSIFIED ALPHA</v>
      </c>
      <c r="F56" t="str">
        <f ca="1"/>
        <v>DIVERSIFIED ALPHA</v>
      </c>
      <c r="G56">
        <f ca="1"/>
        <v>147</v>
      </c>
      <c r="H56" t="str">
        <f ca="1"/>
        <v>Pictet Fund Accounting</v>
      </c>
      <c r="I56" t="str">
        <f ca="1"/>
        <v>17472822-0</v>
      </c>
      <c r="J56" s="50">
        <f ca="1"/>
        <v>44773</v>
      </c>
      <c r="K56">
        <f ca="1"/>
        <v>249</v>
      </c>
      <c r="L56" t="str">
        <f ca="1"/>
        <v>153479-0</v>
      </c>
      <c r="M56" t="str">
        <f ca="1"/>
        <v>GBP / USD</v>
      </c>
      <c r="N56" t="str">
        <f ca="1"/>
        <v>USD</v>
      </c>
      <c r="O56" t="str">
        <f ca="1"/>
        <v>Currency Future</v>
      </c>
      <c r="P56" t="str">
        <f ca="1"/>
        <v/>
      </c>
      <c r="Q56" t="str">
        <f ca="1"/>
        <v/>
      </c>
      <c r="R56" t="str">
        <f ca="1"/>
        <v>ZZ00WREAN9 0</v>
      </c>
      <c r="S56" t="str">
        <f ca="1"/>
        <v/>
      </c>
      <c r="T56" t="str">
        <f ca="1"/>
        <v>BPU2 Curncy</v>
      </c>
      <c r="U56">
        <f ca="1">IF(LEFT(_xll.BDP($T56,U$2),4)="#N/A",0,_xll.BDP($T56,U$2))</f>
        <v>0</v>
      </c>
      <c r="V56" t="e">
        <f>_xll.BDP(#REF!,V$2)</f>
        <v>#REF!</v>
      </c>
      <c r="W56" t="e">
        <f>_xll.BDP(#REF!,W$2)</f>
        <v>#REF!</v>
      </c>
      <c r="X56" t="e">
        <f>_xll.BDP(#REF!,X$2)</f>
        <v>#REF!</v>
      </c>
      <c r="Y56" t="e">
        <f>_xll.BDP(#REF!,Y$2)</f>
        <v>#REF!</v>
      </c>
      <c r="Z56" t="e">
        <f>_xll.BDP(#REF!,Z$2)</f>
        <v>#REF!</v>
      </c>
      <c r="AA56" t="e">
        <f>_xll.BDP(#REF!,AA$2)</f>
        <v>#REF!</v>
      </c>
      <c r="AD56">
        <f ca="1">IF(LEFT(_xll.BDP($T56,AD$2),4)="#N/A",-1,_xll.BDP($T56,AD$2))</f>
        <v>107836.85</v>
      </c>
    </row>
    <row r="57" spans="1:30">
      <c r="A57">
        <f ca="1"/>
        <v>172</v>
      </c>
      <c r="B57" t="str">
        <f ca="1"/>
        <v>iW Partners - DCM SYSTEMATIC FUND</v>
      </c>
      <c r="C57" t="str">
        <f ca="1"/>
        <v>iW - DCM SYSTEMATIC FUND</v>
      </c>
      <c r="D57">
        <f ca="1"/>
        <v>73630</v>
      </c>
      <c r="E57" t="str">
        <f ca="1"/>
        <v>iW Partners - DIVERSIFIED ALPHA</v>
      </c>
      <c r="F57" t="str">
        <f ca="1"/>
        <v>DIVERSIFIED ALPHA</v>
      </c>
      <c r="G57">
        <f ca="1"/>
        <v>147</v>
      </c>
      <c r="H57" t="str">
        <f ca="1"/>
        <v>Pictet Fund Accounting</v>
      </c>
      <c r="I57" t="str">
        <f ca="1"/>
        <v>17472868-0</v>
      </c>
      <c r="J57" s="50">
        <f ca="1"/>
        <v>44773</v>
      </c>
      <c r="K57">
        <f ca="1"/>
        <v>66</v>
      </c>
      <c r="L57" t="str">
        <f ca="1"/>
        <v>153486-0</v>
      </c>
      <c r="M57" t="str">
        <f ca="1"/>
        <v>JPY / USD</v>
      </c>
      <c r="N57" t="str">
        <f ca="1"/>
        <v>USD</v>
      </c>
      <c r="O57" t="str">
        <f ca="1"/>
        <v>Currency Future</v>
      </c>
      <c r="P57" t="str">
        <f ca="1"/>
        <v/>
      </c>
      <c r="Q57" t="str">
        <f ca="1"/>
        <v/>
      </c>
      <c r="R57" t="str">
        <f ca="1"/>
        <v>ZZ00WRE7BN 0</v>
      </c>
      <c r="S57" t="str">
        <f ca="1"/>
        <v/>
      </c>
      <c r="T57" t="str">
        <f ca="1"/>
        <v>JYU2 Curncy</v>
      </c>
      <c r="U57">
        <f ca="1">IF(LEFT(_xll.BDP($T57,U$2),4)="#N/A",0,_xll.BDP($T57,U$2))</f>
        <v>0</v>
      </c>
      <c r="V57" t="e">
        <f>_xll.BDP(#REF!,V$2)</f>
        <v>#REF!</v>
      </c>
      <c r="W57" t="e">
        <f>_xll.BDP(#REF!,W$2)</f>
        <v>#REF!</v>
      </c>
      <c r="X57" t="e">
        <f>_xll.BDP(#REF!,X$2)</f>
        <v>#REF!</v>
      </c>
      <c r="Y57" t="e">
        <f>_xll.BDP(#REF!,Y$2)</f>
        <v>#REF!</v>
      </c>
      <c r="Z57" t="e">
        <f>_xll.BDP(#REF!,Z$2)</f>
        <v>#REF!</v>
      </c>
      <c r="AA57" t="e">
        <f>_xll.BDP(#REF!,AA$2)</f>
        <v>#REF!</v>
      </c>
      <c r="AD57">
        <f ca="1">IF(LEFT(_xll.BDP($T57,AD$2),4)="#N/A",-1,_xll.BDP($T57,AD$2))</f>
        <v>159834.5</v>
      </c>
    </row>
    <row r="58" spans="1:30">
      <c r="A58">
        <f ca="1"/>
        <v>172</v>
      </c>
      <c r="B58" t="str">
        <f ca="1"/>
        <v>iW Partners - DCM SYSTEMATIC FUND</v>
      </c>
      <c r="C58" t="str">
        <f ca="1"/>
        <v>iW - DCM SYSTEMATIC FUND</v>
      </c>
      <c r="D58">
        <f ca="1"/>
        <v>73630</v>
      </c>
      <c r="E58" t="str">
        <f ca="1"/>
        <v>iW Partners - DIVERSIFIED ALPHA</v>
      </c>
      <c r="F58" t="str">
        <f ca="1"/>
        <v>DIVERSIFIED ALPHA</v>
      </c>
      <c r="G58">
        <f ca="1"/>
        <v>147</v>
      </c>
      <c r="H58" t="str">
        <f ca="1"/>
        <v>Pictet Fund Accounting</v>
      </c>
      <c r="I58" t="str">
        <f ca="1"/>
        <v>17472821-0</v>
      </c>
      <c r="J58" s="50">
        <f ca="1"/>
        <v>44773</v>
      </c>
      <c r="K58">
        <f ca="1"/>
        <v>-291</v>
      </c>
      <c r="L58" t="str">
        <f ca="1"/>
        <v>153478-0</v>
      </c>
      <c r="M58" t="str">
        <f ca="1"/>
        <v>NZD / USD</v>
      </c>
      <c r="N58" t="str">
        <f ca="1"/>
        <v>USD</v>
      </c>
      <c r="O58" t="str">
        <f ca="1"/>
        <v>Currency Future</v>
      </c>
      <c r="P58" t="str">
        <f ca="1"/>
        <v/>
      </c>
      <c r="Q58" t="str">
        <f ca="1"/>
        <v/>
      </c>
      <c r="R58" t="str">
        <f ca="1"/>
        <v>ZZ00WREAL0 0</v>
      </c>
      <c r="S58" t="str">
        <f ca="1"/>
        <v/>
      </c>
      <c r="T58" t="str">
        <f ca="1"/>
        <v>NVU2 Curncy</v>
      </c>
      <c r="U58">
        <f ca="1">IF(LEFT(_xll.BDP($T58,U$2),4)="#N/A",0,_xll.BDP($T58,U$2))</f>
        <v>0</v>
      </c>
      <c r="V58" t="e">
        <f>_xll.BDP(#REF!,V$2)</f>
        <v>#REF!</v>
      </c>
      <c r="W58" t="e">
        <f>_xll.BDP(#REF!,W$2)</f>
        <v>#REF!</v>
      </c>
      <c r="X58" t="e">
        <f>_xll.BDP(#REF!,X$2)</f>
        <v>#REF!</v>
      </c>
      <c r="Y58" t="e">
        <f>_xll.BDP(#REF!,Y$2)</f>
        <v>#REF!</v>
      </c>
      <c r="Z58" t="e">
        <f>_xll.BDP(#REF!,Z$2)</f>
        <v>#REF!</v>
      </c>
      <c r="AA58" t="e">
        <f>_xll.BDP(#REF!,AA$2)</f>
        <v>#REF!</v>
      </c>
      <c r="AD58">
        <f ca="1">IF(LEFT(_xll.BDP($T58,AD$2),4)="#N/A",-1,_xll.BDP($T58,AD$2))</f>
        <v>27529.7</v>
      </c>
    </row>
    <row r="59" spans="1:30">
      <c r="A59">
        <f ca="1"/>
        <v>172</v>
      </c>
      <c r="B59" t="str">
        <f ca="1"/>
        <v>iW Partners - DCM SYSTEMATIC FUND</v>
      </c>
      <c r="C59" t="str">
        <f ca="1"/>
        <v>iW - DCM SYSTEMATIC FUND</v>
      </c>
      <c r="D59">
        <f ca="1"/>
        <v>73630</v>
      </c>
      <c r="E59" t="str">
        <f ca="1"/>
        <v>iW Partners - DIVERSIFIED ALPHA</v>
      </c>
      <c r="F59" t="str">
        <f ca="1"/>
        <v>DIVERSIFIED ALPHA</v>
      </c>
      <c r="G59">
        <f ca="1"/>
        <v>147</v>
      </c>
      <c r="H59" t="str">
        <f ca="1"/>
        <v>Pictet Fund Accounting</v>
      </c>
      <c r="I59" t="str">
        <f ca="1"/>
        <v>17472903-0</v>
      </c>
      <c r="J59" s="50">
        <f ca="1"/>
        <v>44773</v>
      </c>
      <c r="K59">
        <f ca="1"/>
        <v>17690000</v>
      </c>
      <c r="L59" t="str">
        <f ca="1"/>
        <v>68172-0</v>
      </c>
      <c r="M59" t="str">
        <f ca="1"/>
        <v>Call   BNP PARIBAS L</v>
      </c>
      <c r="N59" t="str">
        <f ca="1"/>
        <v>USD</v>
      </c>
      <c r="O59" t="str">
        <f ca="1"/>
        <v>Margins</v>
      </c>
      <c r="P59" t="str">
        <f ca="1"/>
        <v/>
      </c>
      <c r="Q59" t="str">
        <f ca="1"/>
        <v/>
      </c>
      <c r="R59" t="str">
        <f ca="1"/>
        <v/>
      </c>
      <c r="S59" t="str">
        <f ca="1"/>
        <v/>
      </c>
      <c r="T59" t="str">
        <f ca="1"/>
        <v/>
      </c>
      <c r="U59">
        <f ca="1">IF(LEFT(_xll.BDP($T59,U$2),4)="#N/A",0,_xll.BDP($T59,U$2))</f>
        <v>0</v>
      </c>
      <c r="V59" t="e">
        <f>_xll.BDP(#REF!,V$2)</f>
        <v>#REF!</v>
      </c>
      <c r="W59" t="e">
        <f>_xll.BDP(#REF!,W$2)</f>
        <v>#REF!</v>
      </c>
      <c r="X59" t="e">
        <f>_xll.BDP(#REF!,X$2)</f>
        <v>#REF!</v>
      </c>
      <c r="Y59" t="e">
        <f>_xll.BDP(#REF!,Y$2)</f>
        <v>#REF!</v>
      </c>
      <c r="Z59" t="e">
        <f>_xll.BDP(#REF!,Z$2)</f>
        <v>#REF!</v>
      </c>
      <c r="AA59" t="e">
        <f>_xll.BDP(#REF!,AA$2)</f>
        <v>#REF!</v>
      </c>
      <c r="AD59">
        <f ca="1">IF(LEFT(_xll.BDP($T59,AD$2),4)="#N/A",-1,_xll.BDP($T59,AD$2))</f>
        <v>-1</v>
      </c>
    </row>
    <row r="60" spans="1:30">
      <c r="A60">
        <f ca="1"/>
        <v>172</v>
      </c>
      <c r="B60" t="str">
        <f ca="1"/>
        <v>iW Partners - DCM SYSTEMATIC FUND</v>
      </c>
      <c r="C60" t="str">
        <f ca="1"/>
        <v>iW - DCM SYSTEMATIC FUND</v>
      </c>
      <c r="D60">
        <f ca="1"/>
        <v>73630</v>
      </c>
      <c r="E60" t="str">
        <f ca="1"/>
        <v>iW Partners - DIVERSIFIED ALPHA</v>
      </c>
      <c r="F60" t="str">
        <f ca="1"/>
        <v>DIVERSIFIED ALPHA</v>
      </c>
      <c r="G60">
        <f ca="1"/>
        <v>147</v>
      </c>
      <c r="H60" t="str">
        <f ca="1"/>
        <v>Pictet Fund Accounting</v>
      </c>
      <c r="I60" t="str">
        <f ca="1"/>
        <v>17472829-0</v>
      </c>
      <c r="J60" s="50">
        <f ca="1"/>
        <v>44773</v>
      </c>
      <c r="K60">
        <f ca="1"/>
        <v>17510000</v>
      </c>
      <c r="L60" t="str">
        <f ca="1"/>
        <v>127340-0</v>
      </c>
      <c r="M60" t="str">
        <f ca="1"/>
        <v>Call USD 05.11.21  N</v>
      </c>
      <c r="N60" t="str">
        <f ca="1"/>
        <v>USD</v>
      </c>
      <c r="O60" t="str">
        <f ca="1"/>
        <v>Margins</v>
      </c>
      <c r="P60" t="str">
        <f ca="1"/>
        <v/>
      </c>
      <c r="Q60" t="str">
        <f ca="1"/>
        <v/>
      </c>
      <c r="R60" t="str">
        <f ca="1"/>
        <v/>
      </c>
      <c r="S60" t="str">
        <f ca="1"/>
        <v/>
      </c>
      <c r="T60" t="str">
        <f ca="1"/>
        <v/>
      </c>
      <c r="U60">
        <f ca="1">IF(LEFT(_xll.BDP($T60,U$2),4)="#N/A",0,_xll.BDP($T60,U$2))</f>
        <v>0</v>
      </c>
      <c r="V60" t="e">
        <f>_xll.BDP(#REF!,V$2)</f>
        <v>#REF!</v>
      </c>
      <c r="W60" t="e">
        <f>_xll.BDP(#REF!,W$2)</f>
        <v>#REF!</v>
      </c>
      <c r="X60" t="e">
        <f>_xll.BDP(#REF!,X$2)</f>
        <v>#REF!</v>
      </c>
      <c r="Y60" t="e">
        <f>_xll.BDP(#REF!,Y$2)</f>
        <v>#REF!</v>
      </c>
      <c r="Z60" t="e">
        <f>_xll.BDP(#REF!,Z$2)</f>
        <v>#REF!</v>
      </c>
      <c r="AA60" t="e">
        <f>_xll.BDP(#REF!,AA$2)</f>
        <v>#REF!</v>
      </c>
      <c r="AD60">
        <f ca="1">IF(LEFT(_xll.BDP($T60,AD$2),4)="#N/A",-1,_xll.BDP($T60,AD$2))</f>
        <v>-1</v>
      </c>
    </row>
    <row r="61" spans="1:30">
      <c r="A61">
        <f ca="1"/>
        <v>172</v>
      </c>
      <c r="B61" t="str">
        <f ca="1"/>
        <v>iW Partners - DCM SYSTEMATIC FUND</v>
      </c>
      <c r="C61" t="str">
        <f ca="1"/>
        <v>iW - DCM SYSTEMATIC FUND</v>
      </c>
      <c r="D61">
        <f ca="1"/>
        <v>73630</v>
      </c>
      <c r="E61" t="str">
        <f ca="1"/>
        <v>iW Partners - DIVERSIFIED ALPHA</v>
      </c>
      <c r="F61" t="str">
        <f ca="1"/>
        <v>DIVERSIFIED ALPHA</v>
      </c>
      <c r="G61">
        <f ca="1"/>
        <v>147</v>
      </c>
      <c r="H61" t="str">
        <f ca="1"/>
        <v>Pictet Fund Accounting</v>
      </c>
      <c r="I61" t="str">
        <f ca="1"/>
        <v>17472900-0</v>
      </c>
      <c r="J61" s="50">
        <f ca="1"/>
        <v>44773</v>
      </c>
      <c r="K61">
        <f ca="1"/>
        <v>17810000</v>
      </c>
      <c r="L61" t="str">
        <f ca="1"/>
        <v>127607-0</v>
      </c>
      <c r="M61" t="str">
        <f ca="1"/>
        <v>Call USD 10.11.21  S</v>
      </c>
      <c r="N61" t="str">
        <f ca="1"/>
        <v>USD</v>
      </c>
      <c r="O61" t="str">
        <f ca="1"/>
        <v>Margins</v>
      </c>
      <c r="P61" t="str">
        <f ca="1"/>
        <v/>
      </c>
      <c r="Q61" t="str">
        <f ca="1"/>
        <v/>
      </c>
      <c r="R61" t="str">
        <f ca="1"/>
        <v/>
      </c>
      <c r="S61" t="str">
        <f ca="1"/>
        <v/>
      </c>
      <c r="T61" t="str">
        <f ca="1"/>
        <v/>
      </c>
      <c r="U61">
        <f ca="1">IF(LEFT(_xll.BDP($T61,U$2),4)="#N/A",0,_xll.BDP($T61,U$2))</f>
        <v>0</v>
      </c>
      <c r="V61" t="e">
        <f>_xll.BDP(#REF!,V$2)</f>
        <v>#REF!</v>
      </c>
      <c r="W61" t="e">
        <f>_xll.BDP(#REF!,W$2)</f>
        <v>#REF!</v>
      </c>
      <c r="X61" t="e">
        <f>_xll.BDP(#REF!,X$2)</f>
        <v>#REF!</v>
      </c>
      <c r="Y61" t="e">
        <f>_xll.BDP(#REF!,Y$2)</f>
        <v>#REF!</v>
      </c>
      <c r="Z61" t="e">
        <f>_xll.BDP(#REF!,Z$2)</f>
        <v>#REF!</v>
      </c>
      <c r="AA61" t="e">
        <f>_xll.BDP(#REF!,AA$2)</f>
        <v>#REF!</v>
      </c>
      <c r="AD61">
        <f ca="1">IF(LEFT(_xll.BDP($T61,AD$2),4)="#N/A",-1,_xll.BDP($T61,AD$2))</f>
        <v>-1</v>
      </c>
    </row>
    <row r="62" spans="1:30">
      <c r="A62">
        <f ca="1"/>
        <v>172</v>
      </c>
      <c r="B62" t="str">
        <f ca="1"/>
        <v>iW Partners - DCM SYSTEMATIC FUND</v>
      </c>
      <c r="C62" t="str">
        <f ca="1"/>
        <v>iW - DCM SYSTEMATIC FUND</v>
      </c>
      <c r="D62">
        <f ca="1"/>
        <v>73630</v>
      </c>
      <c r="E62" t="str">
        <f ca="1"/>
        <v>iW Partners - DIVERSIFIED ALPHA</v>
      </c>
      <c r="F62" t="str">
        <f ca="1"/>
        <v>DIVERSIFIED ALPHA</v>
      </c>
      <c r="G62">
        <f ca="1"/>
        <v>147</v>
      </c>
      <c r="H62" t="str">
        <f ca="1"/>
        <v>Pictet Fund Accounting</v>
      </c>
      <c r="I62" t="str">
        <f ca="1"/>
        <v>17472844-0</v>
      </c>
      <c r="J62" s="50">
        <f ca="1"/>
        <v>44773</v>
      </c>
      <c r="K62">
        <f ca="1"/>
        <v>17720000</v>
      </c>
      <c r="L62" t="str">
        <f ca="1"/>
        <v>122972-0</v>
      </c>
      <c r="M62" t="str">
        <f ca="1"/>
        <v>Call USD 15.09.21  A</v>
      </c>
      <c r="N62" t="str">
        <f ca="1"/>
        <v>USD</v>
      </c>
      <c r="O62" t="str">
        <f ca="1"/>
        <v>Margins</v>
      </c>
      <c r="P62" t="str">
        <f ca="1"/>
        <v/>
      </c>
      <c r="Q62" t="str">
        <f ca="1"/>
        <v/>
      </c>
      <c r="R62" t="str">
        <f ca="1"/>
        <v/>
      </c>
      <c r="S62" t="str">
        <f ca="1"/>
        <v/>
      </c>
      <c r="T62" t="str">
        <f ca="1"/>
        <v/>
      </c>
      <c r="U62">
        <f ca="1">IF(LEFT(_xll.BDP($T62,U$2),4)="#N/A",0,_xll.BDP($T62,U$2))</f>
        <v>0</v>
      </c>
      <c r="V62" t="e">
        <f>_xll.BDP(#REF!,V$2)</f>
        <v>#REF!</v>
      </c>
      <c r="W62" t="e">
        <f>_xll.BDP(#REF!,W$2)</f>
        <v>#REF!</v>
      </c>
      <c r="X62" t="e">
        <f>_xll.BDP(#REF!,X$2)</f>
        <v>#REF!</v>
      </c>
      <c r="Y62" t="e">
        <f>_xll.BDP(#REF!,Y$2)</f>
        <v>#REF!</v>
      </c>
      <c r="Z62" t="e">
        <f>_xll.BDP(#REF!,Z$2)</f>
        <v>#REF!</v>
      </c>
      <c r="AA62" t="e">
        <f>_xll.BDP(#REF!,AA$2)</f>
        <v>#REF!</v>
      </c>
      <c r="AD62">
        <f ca="1">IF(LEFT(_xll.BDP($T62,AD$2),4)="#N/A",-1,_xll.BDP($T62,AD$2))</f>
        <v>-1</v>
      </c>
    </row>
    <row r="63" spans="1:30">
      <c r="A63">
        <f ca="1"/>
        <v>172</v>
      </c>
      <c r="B63" t="str">
        <f ca="1"/>
        <v>iW Partners - DCM SYSTEMATIC FUND</v>
      </c>
      <c r="C63" t="str">
        <f ca="1"/>
        <v>iW - DCM SYSTEMATIC FUND</v>
      </c>
      <c r="D63">
        <f ca="1"/>
        <v>73630</v>
      </c>
      <c r="E63" t="str">
        <f ca="1"/>
        <v>iW Partners - DIVERSIFIED ALPHA</v>
      </c>
      <c r="F63" t="str">
        <f ca="1"/>
        <v>DIVERSIFIED ALPHA</v>
      </c>
      <c r="G63">
        <f ca="1"/>
        <v>147</v>
      </c>
      <c r="H63" t="str">
        <f ca="1"/>
        <v>Pictet Fund Accounting</v>
      </c>
      <c r="I63" t="str">
        <f ca="1"/>
        <v>17472874-0</v>
      </c>
      <c r="J63" s="50">
        <f ca="1"/>
        <v>44773</v>
      </c>
      <c r="K63">
        <f ca="1"/>
        <v>17850000</v>
      </c>
      <c r="L63" t="str">
        <f ca="1"/>
        <v>75372-0</v>
      </c>
      <c r="M63" t="str">
        <f ca="1"/>
        <v>Call USD 22.10.20  C</v>
      </c>
      <c r="N63" t="str">
        <f ca="1"/>
        <v>USD</v>
      </c>
      <c r="O63" t="str">
        <f ca="1"/>
        <v>Margins</v>
      </c>
      <c r="P63" t="str">
        <f ca="1"/>
        <v/>
      </c>
      <c r="Q63" t="str">
        <f ca="1"/>
        <v/>
      </c>
      <c r="R63" t="str">
        <f ca="1"/>
        <v/>
      </c>
      <c r="S63" t="str">
        <f ca="1"/>
        <v/>
      </c>
      <c r="T63" t="str">
        <f ca="1"/>
        <v/>
      </c>
      <c r="U63">
        <f ca="1">IF(LEFT(_xll.BDP($T63,U$2),4)="#N/A",0,_xll.BDP($T63,U$2))</f>
        <v>0</v>
      </c>
      <c r="V63" t="e">
        <f>_xll.BDP(#REF!,V$2)</f>
        <v>#REF!</v>
      </c>
      <c r="W63" t="e">
        <f>_xll.BDP(#REF!,W$2)</f>
        <v>#REF!</v>
      </c>
      <c r="X63" t="e">
        <f>_xll.BDP(#REF!,X$2)</f>
        <v>#REF!</v>
      </c>
      <c r="Y63" t="e">
        <f>_xll.BDP(#REF!,Y$2)</f>
        <v>#REF!</v>
      </c>
      <c r="Z63" t="e">
        <f>_xll.BDP(#REF!,Z$2)</f>
        <v>#REF!</v>
      </c>
      <c r="AA63" t="e">
        <f>_xll.BDP(#REF!,AA$2)</f>
        <v>#REF!</v>
      </c>
      <c r="AD63">
        <f ca="1">IF(LEFT(_xll.BDP($T63,AD$2),4)="#N/A",-1,_xll.BDP($T63,AD$2))</f>
        <v>-1</v>
      </c>
    </row>
    <row r="64" spans="1:30">
      <c r="A64">
        <f ca="1"/>
        <v>172</v>
      </c>
      <c r="B64" t="str">
        <f ca="1"/>
        <v>iW Partners - DCM SYSTEMATIC FUND</v>
      </c>
      <c r="C64" t="str">
        <f ca="1"/>
        <v>iW - DCM SYSTEMATIC FUND</v>
      </c>
      <c r="D64">
        <f ca="1"/>
        <v>73630</v>
      </c>
      <c r="E64" t="str">
        <f ca="1"/>
        <v>iW Partners - DIVERSIFIED ALPHA</v>
      </c>
      <c r="F64" t="str">
        <f ca="1"/>
        <v>DIVERSIFIED ALPHA</v>
      </c>
      <c r="G64">
        <f ca="1"/>
        <v>147</v>
      </c>
      <c r="H64" t="str">
        <f ca="1"/>
        <v>Pictet Fund Accounting</v>
      </c>
      <c r="I64" t="str">
        <f ca="1"/>
        <v>17472871-0</v>
      </c>
      <c r="J64" s="50">
        <f ca="1"/>
        <v>44773</v>
      </c>
      <c r="K64">
        <f ca="1"/>
        <v>244309.42</v>
      </c>
      <c r="L64" t="str">
        <f ca="1"/>
        <v>73825-0</v>
      </c>
      <c r="M64" t="str">
        <f ca="1"/>
        <v>Receivable Perf fees Class I</v>
      </c>
      <c r="N64" t="str">
        <f ca="1"/>
        <v>USD</v>
      </c>
      <c r="O64" t="str">
        <f ca="1"/>
        <v>Receivable</v>
      </c>
      <c r="P64" t="str">
        <f ca="1"/>
        <v/>
      </c>
      <c r="Q64" t="str">
        <f ca="1"/>
        <v/>
      </c>
      <c r="R64" t="str">
        <f ca="1"/>
        <v/>
      </c>
      <c r="S64" t="str">
        <f ca="1"/>
        <v/>
      </c>
      <c r="T64" t="str">
        <f ca="1"/>
        <v/>
      </c>
      <c r="U64">
        <f ca="1">IF(LEFT(_xll.BDP($T64,U$2),4)="#N/A",0,_xll.BDP($T64,U$2))</f>
        <v>0</v>
      </c>
      <c r="V64" t="e">
        <f>_xll.BDP(#REF!,V$2)</f>
        <v>#REF!</v>
      </c>
      <c r="W64" t="e">
        <f>_xll.BDP(#REF!,W$2)</f>
        <v>#REF!</v>
      </c>
      <c r="X64" t="e">
        <f>_xll.BDP(#REF!,X$2)</f>
        <v>#REF!</v>
      </c>
      <c r="Y64" t="e">
        <f>_xll.BDP(#REF!,Y$2)</f>
        <v>#REF!</v>
      </c>
      <c r="Z64" t="e">
        <f>_xll.BDP(#REF!,Z$2)</f>
        <v>#REF!</v>
      </c>
      <c r="AA64" t="e">
        <f>_xll.BDP(#REF!,AA$2)</f>
        <v>#REF!</v>
      </c>
      <c r="AD64">
        <f ca="1">IF(LEFT(_xll.BDP($T64,AD$2),4)="#N/A",-1,_xll.BDP($T64,AD$2))</f>
        <v>-1</v>
      </c>
    </row>
    <row r="65" spans="1:30">
      <c r="A65">
        <f ca="1"/>
        <v>172</v>
      </c>
      <c r="B65" t="str">
        <f ca="1"/>
        <v>iW Partners - DCM SYSTEMATIC FUND</v>
      </c>
      <c r="C65" t="str">
        <f ca="1"/>
        <v>iW - DCM SYSTEMATIC FUND</v>
      </c>
      <c r="D65">
        <f ca="1"/>
        <v>73630</v>
      </c>
      <c r="E65" t="str">
        <f ca="1"/>
        <v>iW Partners - DIVERSIFIED ALPHA</v>
      </c>
      <c r="F65" t="str">
        <f ca="1"/>
        <v>DIVERSIFIED ALPHA</v>
      </c>
      <c r="G65">
        <f ca="1"/>
        <v>147</v>
      </c>
      <c r="H65" t="str">
        <f ca="1"/>
        <v>Pictet Fund Accounting</v>
      </c>
      <c r="I65" t="str">
        <f ca="1"/>
        <v>17472881-0</v>
      </c>
      <c r="J65" s="50">
        <f ca="1"/>
        <v>44773</v>
      </c>
      <c r="K65">
        <f ca="1"/>
        <v>682544.18</v>
      </c>
      <c r="L65" t="str">
        <f ca="1"/>
        <v>73920-0</v>
      </c>
      <c r="M65" t="str">
        <f ca="1"/>
        <v>Receivable Perf fees Class P</v>
      </c>
      <c r="N65" t="str">
        <f ca="1"/>
        <v>USD</v>
      </c>
      <c r="O65" t="str">
        <f ca="1"/>
        <v>Receivable</v>
      </c>
      <c r="P65" t="str">
        <f ca="1"/>
        <v/>
      </c>
      <c r="Q65" t="str">
        <f ca="1"/>
        <v/>
      </c>
      <c r="R65" t="str">
        <f ca="1"/>
        <v/>
      </c>
      <c r="S65" t="str">
        <f ca="1"/>
        <v/>
      </c>
      <c r="T65" t="str">
        <f ca="1"/>
        <v/>
      </c>
      <c r="U65">
        <f ca="1">IF(LEFT(_xll.BDP($T65,U$2),4)="#N/A",0,_xll.BDP($T65,U$2))</f>
        <v>0</v>
      </c>
      <c r="V65" t="e">
        <f>_xll.BDP(#REF!,V$2)</f>
        <v>#REF!</v>
      </c>
      <c r="W65" t="e">
        <f>_xll.BDP(#REF!,W$2)</f>
        <v>#REF!</v>
      </c>
      <c r="X65" t="e">
        <f>_xll.BDP(#REF!,X$2)</f>
        <v>#REF!</v>
      </c>
      <c r="Y65" t="e">
        <f>_xll.BDP(#REF!,Y$2)</f>
        <v>#REF!</v>
      </c>
      <c r="Z65" t="e">
        <f>_xll.BDP(#REF!,Z$2)</f>
        <v>#REF!</v>
      </c>
      <c r="AA65" t="e">
        <f>_xll.BDP(#REF!,AA$2)</f>
        <v>#REF!</v>
      </c>
      <c r="AD65">
        <f ca="1">IF(LEFT(_xll.BDP($T65,AD$2),4)="#N/A",-1,_xll.BDP($T65,AD$2))</f>
        <v>-1</v>
      </c>
    </row>
    <row r="66" spans="1:30">
      <c r="A66">
        <f ca="1"/>
        <v>172</v>
      </c>
      <c r="B66" t="str">
        <f ca="1"/>
        <v>iW Partners - DCM SYSTEMATIC FUND</v>
      </c>
      <c r="C66" t="str">
        <f ca="1"/>
        <v>iW - DCM SYSTEMATIC FUND</v>
      </c>
      <c r="D66">
        <f ca="1"/>
        <v>73630</v>
      </c>
      <c r="E66" t="str">
        <f ca="1"/>
        <v>iW Partners - DIVERSIFIED ALPHA</v>
      </c>
      <c r="F66" t="str">
        <f ca="1"/>
        <v>DIVERSIFIED ALPHA</v>
      </c>
      <c r="G66">
        <f ca="1"/>
        <v>147</v>
      </c>
      <c r="H66" t="str">
        <f ca="1"/>
        <v>Pictet Fund Accounting</v>
      </c>
      <c r="I66" t="str">
        <f ca="1"/>
        <v>17472845-0</v>
      </c>
      <c r="J66" s="50">
        <f ca="1"/>
        <v>44773</v>
      </c>
      <c r="K66">
        <f ca="1"/>
        <v>208242.69</v>
      </c>
      <c r="L66" t="str">
        <f ca="1"/>
        <v>73797-0</v>
      </c>
      <c r="M66" t="str">
        <f ca="1"/>
        <v>Receivable Perf fees Class S</v>
      </c>
      <c r="N66" t="str">
        <f ca="1"/>
        <v>USD</v>
      </c>
      <c r="O66" t="str">
        <f ca="1"/>
        <v>Receivable</v>
      </c>
      <c r="P66" t="str">
        <f ca="1"/>
        <v/>
      </c>
      <c r="Q66" t="str">
        <f ca="1"/>
        <v/>
      </c>
      <c r="R66" t="str">
        <f ca="1"/>
        <v/>
      </c>
      <c r="S66" t="str">
        <f ca="1"/>
        <v/>
      </c>
      <c r="T66" t="str">
        <f ca="1"/>
        <v/>
      </c>
      <c r="U66">
        <f ca="1">IF(LEFT(_xll.BDP($T66,U$2),4)="#N/A",0,_xll.BDP($T66,U$2))</f>
        <v>0</v>
      </c>
      <c r="V66" t="e">
        <f>_xll.BDP(#REF!,V$2)</f>
        <v>#REF!</v>
      </c>
      <c r="W66" t="e">
        <f>_xll.BDP(#REF!,W$2)</f>
        <v>#REF!</v>
      </c>
      <c r="X66" t="e">
        <f>_xll.BDP(#REF!,X$2)</f>
        <v>#REF!</v>
      </c>
      <c r="Y66" t="e">
        <f>_xll.BDP(#REF!,Y$2)</f>
        <v>#REF!</v>
      </c>
      <c r="Z66" t="e">
        <f>_xll.BDP(#REF!,Z$2)</f>
        <v>#REF!</v>
      </c>
      <c r="AA66" t="e">
        <f>_xll.BDP(#REF!,AA$2)</f>
        <v>#REF!</v>
      </c>
      <c r="AD66">
        <f ca="1">IF(LEFT(_xll.BDP($T66,AD$2),4)="#N/A",-1,_xll.BDP($T66,AD$2))</f>
        <v>-1</v>
      </c>
    </row>
    <row r="67" spans="1:30">
      <c r="A67">
        <f ca="1"/>
        <v>172</v>
      </c>
      <c r="B67" t="str">
        <f ca="1"/>
        <v>iW Partners - DCM SYSTEMATIC FUND</v>
      </c>
      <c r="C67" t="str">
        <f ca="1"/>
        <v>iW - DCM SYSTEMATIC FUND</v>
      </c>
      <c r="D67">
        <f ca="1"/>
        <v>73630</v>
      </c>
      <c r="E67" t="str">
        <f ca="1"/>
        <v>iW Partners - DIVERSIFIED ALPHA</v>
      </c>
      <c r="F67" t="str">
        <f ca="1"/>
        <v>DIVERSIFIED ALPHA</v>
      </c>
      <c r="G67">
        <f ca="1"/>
        <v>147</v>
      </c>
      <c r="H67" t="str">
        <f ca="1"/>
        <v>Pictet Fund Accounting</v>
      </c>
      <c r="I67" t="str">
        <f ca="1"/>
        <v>17472840-0</v>
      </c>
      <c r="J67" s="50">
        <f ca="1"/>
        <v>44773</v>
      </c>
      <c r="K67">
        <f ca="1"/>
        <v>12.12</v>
      </c>
      <c r="L67" t="str">
        <f ca="1"/>
        <v>73890-0</v>
      </c>
      <c r="M67" t="str">
        <f ca="1"/>
        <v>Receivable Perf fees Cryst I</v>
      </c>
      <c r="N67" t="str">
        <f ca="1"/>
        <v>USD</v>
      </c>
      <c r="O67" t="str">
        <f ca="1"/>
        <v>Receivable</v>
      </c>
      <c r="P67" t="str">
        <f ca="1"/>
        <v/>
      </c>
      <c r="Q67" t="str">
        <f ca="1"/>
        <v/>
      </c>
      <c r="R67" t="str">
        <f ca="1"/>
        <v/>
      </c>
      <c r="S67" t="str">
        <f ca="1"/>
        <v/>
      </c>
      <c r="T67" t="str">
        <f ca="1"/>
        <v/>
      </c>
      <c r="U67">
        <f ca="1">IF(LEFT(_xll.BDP($T67,U$2),4)="#N/A",0,_xll.BDP($T67,U$2))</f>
        <v>0</v>
      </c>
      <c r="V67" t="e">
        <f>_xll.BDP(#REF!,V$2)</f>
        <v>#REF!</v>
      </c>
      <c r="W67" t="e">
        <f>_xll.BDP(#REF!,W$2)</f>
        <v>#REF!</v>
      </c>
      <c r="X67" t="e">
        <f>_xll.BDP(#REF!,X$2)</f>
        <v>#REF!</v>
      </c>
      <c r="Y67" t="e">
        <f>_xll.BDP(#REF!,Y$2)</f>
        <v>#REF!</v>
      </c>
      <c r="Z67" t="e">
        <f>_xll.BDP(#REF!,Z$2)</f>
        <v>#REF!</v>
      </c>
      <c r="AA67" t="e">
        <f>_xll.BDP(#REF!,AA$2)</f>
        <v>#REF!</v>
      </c>
      <c r="AD67">
        <f ca="1">IF(LEFT(_xll.BDP($T67,AD$2),4)="#N/A",-1,_xll.BDP($T67,AD$2))</f>
        <v>-1</v>
      </c>
    </row>
    <row r="68" spans="1:30">
      <c r="A68">
        <f ca="1"/>
        <v>172</v>
      </c>
      <c r="B68" t="str">
        <f ca="1"/>
        <v>iW Partners - DCM SYSTEMATIC FUND</v>
      </c>
      <c r="C68" t="str">
        <f ca="1"/>
        <v>iW - DCM SYSTEMATIC FUND</v>
      </c>
      <c r="D68">
        <f ca="1"/>
        <v>73630</v>
      </c>
      <c r="E68" t="str">
        <f ca="1"/>
        <v>iW Partners - DIVERSIFIED ALPHA</v>
      </c>
      <c r="F68" t="str">
        <f ca="1"/>
        <v>DIVERSIFIED ALPHA</v>
      </c>
      <c r="G68">
        <f ca="1"/>
        <v>147</v>
      </c>
      <c r="H68" t="str">
        <f ca="1"/>
        <v>Pictet Fund Accounting</v>
      </c>
      <c r="I68" t="str">
        <f ca="1"/>
        <v>17472878-0</v>
      </c>
      <c r="J68" s="50">
        <f ca="1"/>
        <v>44773</v>
      </c>
      <c r="K68">
        <f ca="1"/>
        <v>2704.79</v>
      </c>
      <c r="L68" t="str">
        <f ca="1"/>
        <v>73918-0</v>
      </c>
      <c r="M68" t="str">
        <f ca="1"/>
        <v>Receivable Perf fees Cryst P</v>
      </c>
      <c r="N68" t="str">
        <f ca="1"/>
        <v>USD</v>
      </c>
      <c r="O68" t="str">
        <f ca="1"/>
        <v>Receivable</v>
      </c>
      <c r="P68" t="str">
        <f ca="1"/>
        <v/>
      </c>
      <c r="Q68" t="str">
        <f ca="1"/>
        <v/>
      </c>
      <c r="R68" t="str">
        <f ca="1"/>
        <v/>
      </c>
      <c r="S68" t="str">
        <f ca="1"/>
        <v/>
      </c>
      <c r="T68" t="str">
        <f ca="1"/>
        <v/>
      </c>
      <c r="U68">
        <f ca="1">IF(LEFT(_xll.BDP($T68,U$2),4)="#N/A",0,_xll.BDP($T68,U$2))</f>
        <v>0</v>
      </c>
      <c r="V68" t="e">
        <f>_xll.BDP(#REF!,V$2)</f>
        <v>#REF!</v>
      </c>
      <c r="W68" t="e">
        <f>_xll.BDP(#REF!,W$2)</f>
        <v>#REF!</v>
      </c>
      <c r="X68" t="e">
        <f>_xll.BDP(#REF!,X$2)</f>
        <v>#REF!</v>
      </c>
      <c r="Y68" t="e">
        <f>_xll.BDP(#REF!,Y$2)</f>
        <v>#REF!</v>
      </c>
      <c r="Z68" t="e">
        <f>_xll.BDP(#REF!,Z$2)</f>
        <v>#REF!</v>
      </c>
      <c r="AA68" t="e">
        <f>_xll.BDP(#REF!,AA$2)</f>
        <v>#REF!</v>
      </c>
      <c r="AD68">
        <f ca="1">IF(LEFT(_xll.BDP($T68,AD$2),4)="#N/A",-1,_xll.BDP($T68,AD$2))</f>
        <v>-1</v>
      </c>
    </row>
    <row r="69" spans="1:30">
      <c r="A69">
        <f ca="1"/>
        <v>172</v>
      </c>
      <c r="B69" t="str">
        <f ca="1"/>
        <v>iW Partners - DCM SYSTEMATIC FUND</v>
      </c>
      <c r="C69" t="str">
        <f ca="1"/>
        <v>iW - DCM SYSTEMATIC FUND</v>
      </c>
      <c r="D69">
        <f ca="1"/>
        <v>73630</v>
      </c>
      <c r="E69" t="str">
        <f ca="1"/>
        <v>iW Partners - DIVERSIFIED ALPHA</v>
      </c>
      <c r="F69" t="str">
        <f ca="1"/>
        <v>DIVERSIFIED ALPHA</v>
      </c>
      <c r="G69">
        <f ca="1"/>
        <v>147</v>
      </c>
      <c r="H69" t="str">
        <f ca="1"/>
        <v>Pictet Fund Accounting</v>
      </c>
      <c r="I69" t="str">
        <f ca="1"/>
        <v>17472917-0</v>
      </c>
      <c r="J69" s="50">
        <f ca="1"/>
        <v>44773</v>
      </c>
      <c r="K69">
        <f ca="1"/>
        <v>21923.43</v>
      </c>
      <c r="L69" t="str">
        <f ca="1"/>
        <v>74236-0</v>
      </c>
      <c r="M69" t="str">
        <f ca="1"/>
        <v>Receivable Perf fees Cryst S</v>
      </c>
      <c r="N69" t="str">
        <f ca="1"/>
        <v>USD</v>
      </c>
      <c r="O69" t="str">
        <f ca="1"/>
        <v>Receivable</v>
      </c>
      <c r="P69" t="str">
        <f ca="1"/>
        <v/>
      </c>
      <c r="Q69" t="str">
        <f ca="1"/>
        <v/>
      </c>
      <c r="R69" t="str">
        <f ca="1"/>
        <v/>
      </c>
      <c r="S69" t="str">
        <f ca="1"/>
        <v/>
      </c>
      <c r="T69" t="str">
        <f ca="1"/>
        <v/>
      </c>
      <c r="U69">
        <f ca="1">IF(LEFT(_xll.BDP($T69,U$2),4)="#N/A",0,_xll.BDP($T69,U$2))</f>
        <v>0</v>
      </c>
      <c r="V69" t="e">
        <f>_xll.BDP(#REF!,V$2)</f>
        <v>#REF!</v>
      </c>
      <c r="W69" t="e">
        <f>_xll.BDP(#REF!,W$2)</f>
        <v>#REF!</v>
      </c>
      <c r="X69" t="e">
        <f>_xll.BDP(#REF!,X$2)</f>
        <v>#REF!</v>
      </c>
      <c r="Y69" t="e">
        <f>_xll.BDP(#REF!,Y$2)</f>
        <v>#REF!</v>
      </c>
      <c r="Z69" t="e">
        <f>_xll.BDP(#REF!,Z$2)</f>
        <v>#REF!</v>
      </c>
      <c r="AA69" t="e">
        <f>_xll.BDP(#REF!,AA$2)</f>
        <v>#REF!</v>
      </c>
      <c r="AD69">
        <f ca="1">IF(LEFT(_xll.BDP($T69,AD$2),4)="#N/A",-1,_xll.BDP($T69,AD$2))</f>
        <v>-1</v>
      </c>
    </row>
    <row r="70" spans="1:30">
      <c r="A70">
        <f ca="1"/>
        <v>172</v>
      </c>
      <c r="B70" t="str">
        <f ca="1"/>
        <v>iW Partners - DCM SYSTEMATIC FUND</v>
      </c>
      <c r="C70" t="str">
        <f ca="1"/>
        <v>iW - DCM SYSTEMATIC FUND</v>
      </c>
      <c r="D70">
        <f ca="1"/>
        <v>73630</v>
      </c>
      <c r="E70" t="str">
        <f ca="1"/>
        <v>iW Partners - DIVERSIFIED ALPHA</v>
      </c>
      <c r="F70" t="str">
        <f ca="1"/>
        <v>DIVERSIFIED ALPHA</v>
      </c>
      <c r="G70">
        <f ca="1"/>
        <v>147</v>
      </c>
      <c r="H70" t="str">
        <f ca="1"/>
        <v>Pictet Fund Accounting</v>
      </c>
      <c r="I70" t="str">
        <f ca="1"/>
        <v>17472915-0</v>
      </c>
      <c r="J70" s="50">
        <f ca="1"/>
        <v>44773</v>
      </c>
      <c r="K70">
        <f ca="1"/>
        <v>3</v>
      </c>
      <c r="L70" t="str">
        <f ca="1"/>
        <v>158471-0</v>
      </c>
      <c r="M70" t="str">
        <f ca="1"/>
        <v>EUROSTOXX 50 ESTX 50 EUR -PRICE-</v>
      </c>
      <c r="N70" t="str">
        <f ca="1"/>
        <v>EUR</v>
      </c>
      <c r="O70" t="str">
        <f ca="1"/>
        <v>Stock Market Index Future</v>
      </c>
      <c r="P70" t="str">
        <f ca="1"/>
        <v/>
      </c>
      <c r="Q70" t="str">
        <f ca="1"/>
        <v/>
      </c>
      <c r="R70" t="str">
        <f ca="1"/>
        <v>DE000C5SKSC4</v>
      </c>
      <c r="S70" t="str">
        <f ca="1"/>
        <v/>
      </c>
      <c r="T70" t="str">
        <f ca="1"/>
        <v>VGU2 Index</v>
      </c>
      <c r="U70">
        <f ca="1">IF(LEFT(_xll.BDP($T70,U$2),4)="#N/A",0,_xll.BDP($T70,U$2))</f>
        <v>0</v>
      </c>
      <c r="V70" t="e">
        <f>_xll.BDP(#REF!,V$2)</f>
        <v>#REF!</v>
      </c>
      <c r="W70" t="e">
        <f>_xll.BDP(#REF!,W$2)</f>
        <v>#REF!</v>
      </c>
      <c r="X70" t="e">
        <f>_xll.BDP(#REF!,X$2)</f>
        <v>#REF!</v>
      </c>
      <c r="Y70" t="e">
        <f>_xll.BDP(#REF!,Y$2)</f>
        <v>#REF!</v>
      </c>
      <c r="Z70" t="e">
        <f>_xll.BDP(#REF!,Z$2)</f>
        <v>#REF!</v>
      </c>
      <c r="AA70" t="e">
        <f>_xll.BDP(#REF!,AA$2)</f>
        <v>#REF!</v>
      </c>
      <c r="AD70">
        <f ca="1">IF(LEFT(_xll.BDP($T70,AD$2),4)="#N/A",-1,_xll.BDP($T70,AD$2))</f>
        <v>842842.5</v>
      </c>
    </row>
    <row r="71" spans="1:30">
      <c r="A71">
        <f ca="1"/>
        <v>172</v>
      </c>
      <c r="B71" t="str">
        <f ca="1"/>
        <v>iW Partners - DCM SYSTEMATIC FUND</v>
      </c>
      <c r="C71" t="str">
        <f ca="1"/>
        <v>iW - DCM SYSTEMATIC FUND</v>
      </c>
      <c r="D71">
        <f ca="1"/>
        <v>73630</v>
      </c>
      <c r="E71" t="str">
        <f ca="1"/>
        <v>iW Partners - DIVERSIFIED ALPHA</v>
      </c>
      <c r="F71" t="str">
        <f ca="1"/>
        <v>DIVERSIFIED ALPHA</v>
      </c>
      <c r="G71">
        <f ca="1"/>
        <v>147</v>
      </c>
      <c r="H71" t="str">
        <f ca="1"/>
        <v>Pictet Fund Accounting</v>
      </c>
      <c r="I71" t="str">
        <f ca="1"/>
        <v>17472865-0</v>
      </c>
      <c r="J71" s="50">
        <f ca="1"/>
        <v>44773</v>
      </c>
      <c r="K71">
        <f ca="1"/>
        <v>120</v>
      </c>
      <c r="L71" t="str">
        <f ca="1"/>
        <v>143696-0</v>
      </c>
      <c r="M71" t="str">
        <f ca="1"/>
        <v>IND. CBOE VOLATILITY INDEX</v>
      </c>
      <c r="N71" t="str">
        <f ca="1"/>
        <v>USD</v>
      </c>
      <c r="O71" t="str">
        <f ca="1"/>
        <v>Stock Market Index Future</v>
      </c>
      <c r="P71" t="str">
        <f ca="1"/>
        <v/>
      </c>
      <c r="Q71" t="str">
        <f ca="1"/>
        <v/>
      </c>
      <c r="R71" t="str">
        <f ca="1"/>
        <v>ZZ00WSZRW6 0</v>
      </c>
      <c r="S71" t="str">
        <f ca="1"/>
        <v/>
      </c>
      <c r="T71" t="str">
        <f ca="1"/>
        <v>UXQ2 Index</v>
      </c>
      <c r="U71">
        <f ca="1">IF(LEFT(_xll.BDP($T71,U$2),4)="#N/A",0,_xll.BDP($T71,U$2))</f>
        <v>0</v>
      </c>
      <c r="V71" t="e">
        <f>_xll.BDP(#REF!,V$2)</f>
        <v>#REF!</v>
      </c>
      <c r="W71" t="e">
        <f>_xll.BDP(#REF!,W$2)</f>
        <v>#REF!</v>
      </c>
      <c r="X71" t="e">
        <f>_xll.BDP(#REF!,X$2)</f>
        <v>#REF!</v>
      </c>
      <c r="Y71" t="e">
        <f>_xll.BDP(#REF!,Y$2)</f>
        <v>#REF!</v>
      </c>
      <c r="Z71" t="e">
        <f>_xll.BDP(#REF!,Z$2)</f>
        <v>#REF!</v>
      </c>
      <c r="AA71" t="e">
        <f>_xll.BDP(#REF!,AA$2)</f>
        <v>#REF!</v>
      </c>
      <c r="AD71">
        <f ca="1">IF(LEFT(_xll.BDP($T71,AD$2),4)="#N/A",-1,_xll.BDP($T71,AD$2))</f>
        <v>65428.800000000003</v>
      </c>
    </row>
    <row r="72" spans="1:30">
      <c r="A72">
        <f ca="1"/>
        <v>172</v>
      </c>
      <c r="B72" t="str">
        <f ca="1"/>
        <v>iW Partners - DCM SYSTEMATIC FUND</v>
      </c>
      <c r="C72" t="str">
        <f ca="1"/>
        <v>iW - DCM SYSTEMATIC FUND</v>
      </c>
      <c r="D72">
        <f ca="1"/>
        <v>73630</v>
      </c>
      <c r="E72" t="str">
        <f ca="1"/>
        <v>iW Partners - DIVERSIFIED ALPHA</v>
      </c>
      <c r="F72" t="str">
        <f ca="1"/>
        <v>DIVERSIFIED ALPHA</v>
      </c>
      <c r="G72">
        <f ca="1"/>
        <v>147</v>
      </c>
      <c r="H72" t="str">
        <f ca="1"/>
        <v>Pictet Fund Accounting</v>
      </c>
      <c r="I72" t="str">
        <f ca="1"/>
        <v>17472892-0</v>
      </c>
      <c r="J72" s="50">
        <f ca="1"/>
        <v>44773</v>
      </c>
      <c r="K72">
        <f ca="1"/>
        <v>-230</v>
      </c>
      <c r="L72" t="str">
        <f ca="1"/>
        <v>156447-0</v>
      </c>
      <c r="M72" t="str">
        <f ca="1"/>
        <v>IND. CBOE VOLATILITY INDEX</v>
      </c>
      <c r="N72" t="str">
        <f ca="1"/>
        <v>USD</v>
      </c>
      <c r="O72" t="str">
        <f ca="1"/>
        <v>Stock Market Index Future</v>
      </c>
      <c r="P72" t="str">
        <f ca="1"/>
        <v/>
      </c>
      <c r="Q72" t="str">
        <f ca="1"/>
        <v/>
      </c>
      <c r="R72" t="str">
        <f ca="1"/>
        <v>ZZ00AB4PZ0 0</v>
      </c>
      <c r="S72" t="str">
        <f ca="1"/>
        <v/>
      </c>
      <c r="T72" t="str">
        <f ca="1"/>
        <v>UXX2 Index</v>
      </c>
      <c r="U72">
        <f ca="1">IF(LEFT(_xll.BDP($T72,U$2),4)="#N/A",0,_xll.BDP($T72,U$2))</f>
        <v>0</v>
      </c>
      <c r="V72" t="e">
        <f>_xll.BDP(#REF!,V$2)</f>
        <v>#REF!</v>
      </c>
      <c r="W72" t="e">
        <f>_xll.BDP(#REF!,W$2)</f>
        <v>#REF!</v>
      </c>
      <c r="X72" t="e">
        <f>_xll.BDP(#REF!,X$2)</f>
        <v>#REF!</v>
      </c>
      <c r="Y72" t="e">
        <f>_xll.BDP(#REF!,Y$2)</f>
        <v>#REF!</v>
      </c>
      <c r="Z72" t="e">
        <f>_xll.BDP(#REF!,Z$2)</f>
        <v>#REF!</v>
      </c>
      <c r="AA72" t="e">
        <f>_xll.BDP(#REF!,AA$2)</f>
        <v>#REF!</v>
      </c>
      <c r="AD72">
        <f ca="1">IF(LEFT(_xll.BDP($T72,AD$2),4)="#N/A",-1,_xll.BDP($T72,AD$2))</f>
        <v>6922.6</v>
      </c>
    </row>
    <row r="73" spans="1:30">
      <c r="A73">
        <f ca="1"/>
        <v>172</v>
      </c>
      <c r="B73" t="str">
        <f ca="1"/>
        <v>iW Partners - DCM SYSTEMATIC FUND</v>
      </c>
      <c r="C73" t="str">
        <f ca="1"/>
        <v>iW - DCM SYSTEMATIC FUND</v>
      </c>
      <c r="D73">
        <f ca="1"/>
        <v>73630</v>
      </c>
      <c r="E73" t="str">
        <f ca="1"/>
        <v>iW Partners - DIVERSIFIED ALPHA</v>
      </c>
      <c r="F73" t="str">
        <f ca="1"/>
        <v>DIVERSIFIED ALPHA</v>
      </c>
      <c r="G73">
        <f ca="1"/>
        <v>147</v>
      </c>
      <c r="H73" t="str">
        <f ca="1"/>
        <v>Pictet Fund Accounting</v>
      </c>
      <c r="I73" t="str">
        <f ca="1"/>
        <v>17472905-0</v>
      </c>
      <c r="J73" s="50">
        <f ca="1"/>
        <v>44773</v>
      </c>
      <c r="K73">
        <f ca="1"/>
        <v>-133</v>
      </c>
      <c r="L73" t="str">
        <f ca="1"/>
        <v>153492-0</v>
      </c>
      <c r="M73" t="str">
        <f ca="1"/>
        <v>IND. CBOE VOLATILITY INDEX</v>
      </c>
      <c r="N73" t="str">
        <f ca="1"/>
        <v>USD</v>
      </c>
      <c r="O73" t="str">
        <f ca="1"/>
        <v>Stock Market Index Future</v>
      </c>
      <c r="P73" t="str">
        <f ca="1"/>
        <v/>
      </c>
      <c r="Q73" t="str">
        <f ca="1"/>
        <v/>
      </c>
      <c r="R73" t="str">
        <f ca="1"/>
        <v>ZZ00WV79ED 0</v>
      </c>
      <c r="S73" t="str">
        <f ca="1"/>
        <v/>
      </c>
      <c r="T73" t="str">
        <f ca="1"/>
        <v>UXV2 Index</v>
      </c>
      <c r="U73">
        <f ca="1">IF(LEFT(_xll.BDP($T73,U$2),4)="#N/A",0,_xll.BDP($T73,U$2))</f>
        <v>0</v>
      </c>
      <c r="V73" t="e">
        <f>_xll.BDP(#REF!,V$2)</f>
        <v>#REF!</v>
      </c>
      <c r="W73" t="e">
        <f>_xll.BDP(#REF!,W$2)</f>
        <v>#REF!</v>
      </c>
      <c r="X73" t="e">
        <f>_xll.BDP(#REF!,X$2)</f>
        <v>#REF!</v>
      </c>
      <c r="Y73" t="e">
        <f>_xll.BDP(#REF!,Y$2)</f>
        <v>#REF!</v>
      </c>
      <c r="Z73" t="e">
        <f>_xll.BDP(#REF!,Z$2)</f>
        <v>#REF!</v>
      </c>
      <c r="AA73" t="e">
        <f>_xll.BDP(#REF!,AA$2)</f>
        <v>#REF!</v>
      </c>
      <c r="AD73">
        <f ca="1">IF(LEFT(_xll.BDP($T73,AD$2),4)="#N/A",-1,_xll.BDP($T73,AD$2))</f>
        <v>11466.55</v>
      </c>
    </row>
    <row r="74" spans="1:30">
      <c r="A74">
        <f ca="1"/>
        <v>172</v>
      </c>
      <c r="B74" t="str">
        <f ca="1"/>
        <v>iW Partners - DCM SYSTEMATIC FUND</v>
      </c>
      <c r="C74" t="str">
        <f ca="1"/>
        <v>iW - DCM SYSTEMATIC FUND</v>
      </c>
      <c r="D74">
        <f ca="1"/>
        <v>73630</v>
      </c>
      <c r="E74" t="str">
        <f ca="1"/>
        <v>iW Partners - DIVERSIFIED ALPHA</v>
      </c>
      <c r="F74" t="str">
        <f ca="1"/>
        <v>DIVERSIFIED ALPHA</v>
      </c>
      <c r="G74">
        <f ca="1"/>
        <v>147</v>
      </c>
      <c r="H74" t="str">
        <f ca="1"/>
        <v>Pictet Fund Accounting</v>
      </c>
      <c r="I74" t="str">
        <f ca="1"/>
        <v>17472906-0</v>
      </c>
      <c r="J74" s="50">
        <f ca="1"/>
        <v>44773</v>
      </c>
      <c r="K74">
        <f ca="1"/>
        <v>41</v>
      </c>
      <c r="L74" t="str">
        <f ca="1"/>
        <v>146788-0</v>
      </c>
      <c r="M74" t="str">
        <f ca="1"/>
        <v>IND. CBOE VOLATILITY INDEX</v>
      </c>
      <c r="N74" t="str">
        <f ca="1"/>
        <v>USD</v>
      </c>
      <c r="O74" t="str">
        <f ca="1"/>
        <v>Stock Market Index Future</v>
      </c>
      <c r="P74" t="str">
        <f ca="1"/>
        <v/>
      </c>
      <c r="Q74" t="str">
        <f ca="1"/>
        <v/>
      </c>
      <c r="R74" t="str">
        <f ca="1"/>
        <v>ZZ00WU57ZG 0</v>
      </c>
      <c r="S74" t="str">
        <f ca="1"/>
        <v/>
      </c>
      <c r="T74" t="str">
        <f ca="1"/>
        <v>UXU2 Index</v>
      </c>
      <c r="U74">
        <f ca="1">IF(LEFT(_xll.BDP($T74,U$2),4)="#N/A",0,_xll.BDP($T74,U$2))</f>
        <v>0</v>
      </c>
      <c r="V74" t="e">
        <f>_xll.BDP(#REF!,V$2)</f>
        <v>#REF!</v>
      </c>
      <c r="W74" t="e">
        <f>_xll.BDP(#REF!,W$2)</f>
        <v>#REF!</v>
      </c>
      <c r="X74" t="e">
        <f>_xll.BDP(#REF!,X$2)</f>
        <v>#REF!</v>
      </c>
      <c r="Y74" t="e">
        <f>_xll.BDP(#REF!,Y$2)</f>
        <v>#REF!</v>
      </c>
      <c r="Z74" t="e">
        <f>_xll.BDP(#REF!,Z$2)</f>
        <v>#REF!</v>
      </c>
      <c r="AA74" t="e">
        <f>_xll.BDP(#REF!,AA$2)</f>
        <v>#REF!</v>
      </c>
      <c r="AD74">
        <f ca="1">IF(LEFT(_xll.BDP($T74,AD$2),4)="#N/A",-1,_xll.BDP($T74,AD$2))</f>
        <v>32075.85</v>
      </c>
    </row>
    <row r="75" spans="1:30">
      <c r="A75">
        <f ca="1"/>
        <v>172</v>
      </c>
      <c r="B75" t="str">
        <f ca="1"/>
        <v>iW Partners - DCM SYSTEMATIC FUND</v>
      </c>
      <c r="C75" t="str">
        <f ca="1"/>
        <v>iW - DCM SYSTEMATIC FUND</v>
      </c>
      <c r="D75">
        <f ca="1"/>
        <v>73630</v>
      </c>
      <c r="E75" t="str">
        <f ca="1"/>
        <v>iW Partners - DIVERSIFIED ALPHA</v>
      </c>
      <c r="F75" t="str">
        <f ca="1"/>
        <v>DIVERSIFIED ALPHA</v>
      </c>
      <c r="G75">
        <f ca="1"/>
        <v>147</v>
      </c>
      <c r="H75" t="str">
        <f ca="1"/>
        <v>Pictet Fund Accounting</v>
      </c>
      <c r="I75" t="str">
        <f ca="1"/>
        <v>17472898-0</v>
      </c>
      <c r="J75" s="50">
        <f ca="1"/>
        <v>44773</v>
      </c>
      <c r="K75">
        <f ca="1"/>
        <v>2</v>
      </c>
      <c r="L75" t="str">
        <f ca="1"/>
        <v>158469-0</v>
      </c>
      <c r="M75" t="str">
        <f ca="1"/>
        <v>INDICE FTSE 100</v>
      </c>
      <c r="N75" t="str">
        <f ca="1"/>
        <v>GBP</v>
      </c>
      <c r="O75" t="str">
        <f ca="1"/>
        <v>Stock Market Index Future</v>
      </c>
      <c r="P75" t="str">
        <f ca="1"/>
        <v/>
      </c>
      <c r="Q75" t="str">
        <f ca="1"/>
        <v/>
      </c>
      <c r="R75" t="str">
        <f ca="1"/>
        <v>GB00JLVR7414</v>
      </c>
      <c r="S75" t="str">
        <f ca="1"/>
        <v/>
      </c>
      <c r="T75" t="str">
        <f ca="1"/>
        <v>Z U2 Index</v>
      </c>
      <c r="U75">
        <f ca="1">IF(LEFT(_xll.BDP($T75,U$2),4)="#N/A",0,_xll.BDP($T75,U$2))</f>
        <v>0</v>
      </c>
      <c r="V75" t="e">
        <f>_xll.BDP(#REF!,V$2)</f>
        <v>#REF!</v>
      </c>
      <c r="W75" t="e">
        <f>_xll.BDP(#REF!,W$2)</f>
        <v>#REF!</v>
      </c>
      <c r="X75" t="e">
        <f>_xll.BDP(#REF!,X$2)</f>
        <v>#REF!</v>
      </c>
      <c r="Y75" t="e">
        <f>_xll.BDP(#REF!,Y$2)</f>
        <v>#REF!</v>
      </c>
      <c r="Z75" t="e">
        <f>_xll.BDP(#REF!,Z$2)</f>
        <v>#REF!</v>
      </c>
      <c r="AA75" t="e">
        <f>_xll.BDP(#REF!,AA$2)</f>
        <v>#REF!</v>
      </c>
      <c r="AD75">
        <f ca="1">IF(LEFT(_xll.BDP($T75,AD$2),4)="#N/A",-1,_xll.BDP($T75,AD$2))</f>
        <v>94028.15</v>
      </c>
    </row>
    <row r="76" spans="1:30">
      <c r="A76">
        <f ca="1"/>
        <v>172</v>
      </c>
      <c r="B76" t="str">
        <f ca="1"/>
        <v>iW Partners - DCM SYSTEMATIC FUND</v>
      </c>
      <c r="C76" t="str">
        <f ca="1"/>
        <v>iW - DCM SYSTEMATIC FUND</v>
      </c>
      <c r="D76">
        <f ca="1"/>
        <v>73630</v>
      </c>
      <c r="E76" t="str">
        <f ca="1"/>
        <v>iW Partners - DIVERSIFIED ALPHA</v>
      </c>
      <c r="F76" t="str">
        <f ca="1"/>
        <v>DIVERSIFIED ALPHA</v>
      </c>
      <c r="G76">
        <f ca="1"/>
        <v>147</v>
      </c>
      <c r="H76" t="str">
        <f ca="1"/>
        <v>Pictet Fund Accounting</v>
      </c>
      <c r="I76" t="str">
        <f ca="1"/>
        <v>17472857-0</v>
      </c>
      <c r="J76" s="50">
        <f ca="1"/>
        <v>44773</v>
      </c>
      <c r="K76">
        <f ca="1"/>
        <v>1</v>
      </c>
      <c r="L76" t="str">
        <f ca="1"/>
        <v>153484-0</v>
      </c>
      <c r="M76" t="str">
        <f ca="1"/>
        <v>INDICE NIKKEI 225 TOKYO (USD)</v>
      </c>
      <c r="N76" t="str">
        <f ca="1"/>
        <v>USD</v>
      </c>
      <c r="O76" t="str">
        <f ca="1"/>
        <v>Stock Market Index Future</v>
      </c>
      <c r="P76" t="str">
        <f ca="1"/>
        <v/>
      </c>
      <c r="Q76" t="str">
        <f ca="1"/>
        <v/>
      </c>
      <c r="R76" t="str">
        <f ca="1"/>
        <v>ZZ00WRA0KC 0</v>
      </c>
      <c r="S76" t="str">
        <f ca="1"/>
        <v/>
      </c>
      <c r="T76" t="str">
        <f ca="1"/>
        <v>NXU2 Index</v>
      </c>
      <c r="U76">
        <f ca="1">IF(LEFT(_xll.BDP($T76,U$2),4)="#N/A",0,_xll.BDP($T76,U$2))</f>
        <v>0</v>
      </c>
      <c r="V76" t="e">
        <f>_xll.BDP(#REF!,V$2)</f>
        <v>#REF!</v>
      </c>
      <c r="W76" t="e">
        <f>_xll.BDP(#REF!,W$2)</f>
        <v>#REF!</v>
      </c>
      <c r="X76" t="e">
        <f>_xll.BDP(#REF!,X$2)</f>
        <v>#REF!</v>
      </c>
      <c r="Y76" t="e">
        <f>_xll.BDP(#REF!,Y$2)</f>
        <v>#REF!</v>
      </c>
      <c r="Z76" t="e">
        <f>_xll.BDP(#REF!,Z$2)</f>
        <v>#REF!</v>
      </c>
      <c r="AA76" t="e">
        <f>_xll.BDP(#REF!,AA$2)</f>
        <v>#REF!</v>
      </c>
      <c r="AD76">
        <f ca="1">IF(LEFT(_xll.BDP($T76,AD$2),4)="#N/A",-1,_xll.BDP($T76,AD$2))</f>
        <v>3384.1</v>
      </c>
    </row>
    <row r="77" spans="1:30">
      <c r="A77">
        <f ca="1"/>
        <v>172</v>
      </c>
      <c r="B77" t="str">
        <f ca="1"/>
        <v>iW Partners - DCM SYSTEMATIC FUND</v>
      </c>
      <c r="C77" t="str">
        <f ca="1"/>
        <v>iW - DCM SYSTEMATIC FUND</v>
      </c>
      <c r="D77">
        <f ca="1"/>
        <v>73630</v>
      </c>
      <c r="E77" t="str">
        <f ca="1"/>
        <v>iW Partners - DIVERSIFIED ALPHA</v>
      </c>
      <c r="F77" t="str">
        <f ca="1"/>
        <v>DIVERSIFIED ALPHA</v>
      </c>
      <c r="G77">
        <f ca="1"/>
        <v>147</v>
      </c>
      <c r="H77" t="str">
        <f ca="1"/>
        <v>Pictet Fund Accounting</v>
      </c>
      <c r="I77" t="str">
        <f ca="1"/>
        <v>17472899-0</v>
      </c>
      <c r="J77" s="50">
        <f ca="1"/>
        <v>44773</v>
      </c>
      <c r="K77">
        <f ca="1"/>
        <v>1</v>
      </c>
      <c r="L77" t="str">
        <f ca="1"/>
        <v>158470-0</v>
      </c>
      <c r="M77" t="str">
        <f ca="1"/>
        <v>S &amp; P / TSX 60 INDEX</v>
      </c>
      <c r="N77" t="str">
        <f ca="1"/>
        <v>CAD</v>
      </c>
      <c r="O77" t="str">
        <f ca="1"/>
        <v>Stock Market Index Future</v>
      </c>
      <c r="P77" t="str">
        <f ca="1"/>
        <v/>
      </c>
      <c r="Q77" t="str">
        <f ca="1"/>
        <v/>
      </c>
      <c r="R77" t="str">
        <f ca="1"/>
        <v>ZZ00WRGDZ5 0</v>
      </c>
      <c r="S77" t="str">
        <f ca="1"/>
        <v/>
      </c>
      <c r="T77" t="str">
        <f ca="1"/>
        <v>PTU2 Index</v>
      </c>
      <c r="U77">
        <f ca="1">IF(LEFT(_xll.BDP($T77,U$2),4)="#N/A",0,_xll.BDP($T77,U$2))</f>
        <v>0</v>
      </c>
      <c r="V77" t="e">
        <f>_xll.BDP(#REF!,V$2)</f>
        <v>#REF!</v>
      </c>
      <c r="W77" t="e">
        <f>_xll.BDP(#REF!,W$2)</f>
        <v>#REF!</v>
      </c>
      <c r="X77" t="e">
        <f>_xll.BDP(#REF!,X$2)</f>
        <v>#REF!</v>
      </c>
      <c r="Y77" t="e">
        <f>_xll.BDP(#REF!,Y$2)</f>
        <v>#REF!</v>
      </c>
      <c r="Z77" t="e">
        <f>_xll.BDP(#REF!,Z$2)</f>
        <v>#REF!</v>
      </c>
      <c r="AA77" t="e">
        <f>_xll.BDP(#REF!,AA$2)</f>
        <v>#REF!</v>
      </c>
      <c r="AD77">
        <f ca="1">IF(LEFT(_xll.BDP($T77,AD$2),4)="#N/A",-1,_xll.BDP($T77,AD$2))</f>
        <v>20750.7</v>
      </c>
    </row>
    <row r="78" spans="1:30">
      <c r="A78">
        <f ca="1"/>
        <v>172</v>
      </c>
      <c r="B78" t="str">
        <f ca="1"/>
        <v>iW Partners - DCM SYSTEMATIC FUND</v>
      </c>
      <c r="C78" t="str">
        <f ca="1"/>
        <v>iW - DCM SYSTEMATIC FUND</v>
      </c>
      <c r="D78">
        <f ca="1"/>
        <v>73630</v>
      </c>
      <c r="E78" t="str">
        <f ca="1"/>
        <v>iW Partners - DIVERSIFIED ALPHA</v>
      </c>
      <c r="F78" t="str">
        <f ca="1"/>
        <v>DIVERSIFIED ALPHA</v>
      </c>
      <c r="G78">
        <f ca="1"/>
        <v>147</v>
      </c>
      <c r="H78" t="str">
        <f ca="1"/>
        <v>Pictet Fund Accounting</v>
      </c>
      <c r="I78" t="str">
        <f ca="1"/>
        <v>17472841-0</v>
      </c>
      <c r="J78" s="50">
        <f ca="1"/>
        <v>44773</v>
      </c>
      <c r="K78">
        <f ca="1"/>
        <v>57</v>
      </c>
      <c r="L78" t="str">
        <f ca="1"/>
        <v>153489-0</v>
      </c>
      <c r="M78" t="str">
        <f ca="1"/>
        <v>S &amp; P 500-STOCK (OS) SPX</v>
      </c>
      <c r="N78" t="str">
        <f ca="1"/>
        <v>USD</v>
      </c>
      <c r="O78" t="str">
        <f ca="1"/>
        <v>Stock Market Index Future</v>
      </c>
      <c r="P78" t="str">
        <f ca="1"/>
        <v/>
      </c>
      <c r="Q78" t="str">
        <f ca="1"/>
        <v/>
      </c>
      <c r="R78" t="str">
        <f ca="1"/>
        <v>ZZ00WKOPVO 0</v>
      </c>
      <c r="S78" t="str">
        <f ca="1"/>
        <v/>
      </c>
      <c r="T78" t="str">
        <f ca="1"/>
        <v>ESU2 Index</v>
      </c>
      <c r="U78">
        <f ca="1">IF(LEFT(_xll.BDP($T78,U$2),4)="#N/A",0,_xll.BDP($T78,U$2))</f>
        <v>0</v>
      </c>
      <c r="V78" t="e">
        <f>_xll.BDP(#REF!,V$2)</f>
        <v>#REF!</v>
      </c>
      <c r="W78" t="e">
        <f>_xll.BDP(#REF!,W$2)</f>
        <v>#REF!</v>
      </c>
      <c r="X78" t="e">
        <f>_xll.BDP(#REF!,X$2)</f>
        <v>#REF!</v>
      </c>
      <c r="Y78" t="e">
        <f>_xll.BDP(#REF!,Y$2)</f>
        <v>#REF!</v>
      </c>
      <c r="Z78" t="e">
        <f>_xll.BDP(#REF!,Z$2)</f>
        <v>#REF!</v>
      </c>
      <c r="AA78" t="e">
        <f>_xll.BDP(#REF!,AA$2)</f>
        <v>#REF!</v>
      </c>
      <c r="AD78">
        <f ca="1">IF(LEFT(_xll.BDP($T78,AD$2),4)="#N/A",-1,_xll.BDP($T78,AD$2))</f>
        <v>1698937.75</v>
      </c>
    </row>
    <row r="79" spans="1:30">
      <c r="A79">
        <f ca="1"/>
        <v>172</v>
      </c>
      <c r="B79" t="str">
        <f ca="1"/>
        <v>iW Partners - DCM SYSTEMATIC FUND</v>
      </c>
      <c r="C79" t="str">
        <f ca="1"/>
        <v>iW - DCM SYSTEMATIC FUND</v>
      </c>
      <c r="D79">
        <f ca="1"/>
        <v>73630</v>
      </c>
      <c r="E79" t="str">
        <f ca="1"/>
        <v>iW Partners - DIVERSIFIED ALPHA</v>
      </c>
      <c r="F79" t="str">
        <f ca="1"/>
        <v>DIVERSIFIED ALPHA</v>
      </c>
      <c r="G79">
        <f ca="1"/>
        <v>147</v>
      </c>
      <c r="H79" t="str">
        <f ca="1"/>
        <v>Pictet Fund Accounting</v>
      </c>
      <c r="I79" t="str">
        <f ca="1"/>
        <v>17472916-0</v>
      </c>
      <c r="J79" s="50">
        <f ca="1"/>
        <v>44773</v>
      </c>
      <c r="K79">
        <f ca="1"/>
        <v>8013.09</v>
      </c>
      <c r="L79" t="str">
        <f ca="1"/>
        <v>60607-0</v>
      </c>
      <c r="M79" t="str">
        <f ca="1"/>
        <v>Accr. Inter. Call deposit</v>
      </c>
      <c r="N79" t="str">
        <f ca="1"/>
        <v>USD</v>
      </c>
      <c r="O79" t="str">
        <f ca="1"/>
        <v>Uncategorized (Treasury)</v>
      </c>
      <c r="P79" t="str">
        <f ca="1"/>
        <v/>
      </c>
      <c r="Q79" t="str">
        <f ca="1"/>
        <v/>
      </c>
      <c r="R79" t="str">
        <f ca="1"/>
        <v/>
      </c>
      <c r="S79" t="str">
        <f ca="1"/>
        <v/>
      </c>
      <c r="T79" t="str">
        <f ca="1"/>
        <v/>
      </c>
      <c r="U79">
        <f ca="1">IF(LEFT(_xll.BDP($T79,U$2),4)="#N/A",0,_xll.BDP($T79,U$2))</f>
        <v>0</v>
      </c>
      <c r="V79" t="e">
        <f>_xll.BDP(#REF!,V$2)</f>
        <v>#REF!</v>
      </c>
      <c r="W79" t="e">
        <f>_xll.BDP(#REF!,W$2)</f>
        <v>#REF!</v>
      </c>
      <c r="X79" t="e">
        <f>_xll.BDP(#REF!,X$2)</f>
        <v>#REF!</v>
      </c>
      <c r="Y79" t="e">
        <f>_xll.BDP(#REF!,Y$2)</f>
        <v>#REF!</v>
      </c>
      <c r="Z79" t="e">
        <f>_xll.BDP(#REF!,Z$2)</f>
        <v>#REF!</v>
      </c>
      <c r="AA79" t="e">
        <f>_xll.BDP(#REF!,AA$2)</f>
        <v>#REF!</v>
      </c>
      <c r="AD79">
        <f ca="1">IF(LEFT(_xll.BDP($T79,AD$2),4)="#N/A",-1,_xll.BDP($T79,AD$2))</f>
        <v>-1</v>
      </c>
    </row>
    <row r="80" spans="1:30">
      <c r="A80">
        <f ca="1"/>
        <v>172</v>
      </c>
      <c r="B80" t="str">
        <f ca="1"/>
        <v>iW Partners - DCM SYSTEMATIC FUND</v>
      </c>
      <c r="C80" t="str">
        <f ca="1"/>
        <v>iW - DCM SYSTEMATIC FUND</v>
      </c>
      <c r="D80">
        <f ca="1"/>
        <v>73630</v>
      </c>
      <c r="E80" t="str">
        <f ca="1"/>
        <v>iW Partners - DIVERSIFIED ALPHA</v>
      </c>
      <c r="F80" t="str">
        <f ca="1"/>
        <v>DIVERSIFIED ALPHA</v>
      </c>
      <c r="G80">
        <f ca="1"/>
        <v>147</v>
      </c>
      <c r="H80" t="str">
        <f ca="1"/>
        <v>Pictet Fund Accounting</v>
      </c>
      <c r="I80" t="str">
        <f ca="1"/>
        <v>17472920-0</v>
      </c>
      <c r="J80" s="50">
        <f ca="1"/>
        <v>44773</v>
      </c>
      <c r="K80">
        <f ca="1"/>
        <v>-21923.43</v>
      </c>
      <c r="L80" t="str">
        <f ca="1"/>
        <v>74215-0</v>
      </c>
      <c r="M80" t="str">
        <f ca="1"/>
        <v>Crystallised Perf.</v>
      </c>
      <c r="N80" t="str">
        <f ca="1"/>
        <v>USD</v>
      </c>
      <c r="O80" t="str">
        <f ca="1"/>
        <v>Uncategorized (Treasury)</v>
      </c>
      <c r="P80" t="str">
        <f ca="1"/>
        <v/>
      </c>
      <c r="Q80" t="str">
        <f ca="1"/>
        <v/>
      </c>
      <c r="R80" t="str">
        <f ca="1"/>
        <v/>
      </c>
      <c r="S80" t="str">
        <f ca="1"/>
        <v/>
      </c>
      <c r="T80" t="str">
        <f ca="1"/>
        <v/>
      </c>
      <c r="U80">
        <f ca="1">IF(LEFT(_xll.BDP($T80,U$2),4)="#N/A",0,_xll.BDP($T80,U$2))</f>
        <v>0</v>
      </c>
      <c r="V80" t="e">
        <f>_xll.BDP(#REF!,V$2)</f>
        <v>#REF!</v>
      </c>
      <c r="W80" t="e">
        <f>_xll.BDP(#REF!,W$2)</f>
        <v>#REF!</v>
      </c>
      <c r="X80" t="e">
        <f>_xll.BDP(#REF!,X$2)</f>
        <v>#REF!</v>
      </c>
      <c r="Y80" t="e">
        <f>_xll.BDP(#REF!,Y$2)</f>
        <v>#REF!</v>
      </c>
      <c r="Z80" t="e">
        <f>_xll.BDP(#REF!,Z$2)</f>
        <v>#REF!</v>
      </c>
      <c r="AA80" t="e">
        <f>_xll.BDP(#REF!,AA$2)</f>
        <v>#REF!</v>
      </c>
      <c r="AD80">
        <f ca="1">IF(LEFT(_xll.BDP($T80,AD$2),4)="#N/A",-1,_xll.BDP($T80,AD$2))</f>
        <v>-1</v>
      </c>
    </row>
    <row r="81" spans="1:30">
      <c r="A81">
        <f ca="1"/>
        <v>172</v>
      </c>
      <c r="B81" t="str">
        <f ca="1"/>
        <v>iW Partners - DCM SYSTEMATIC FUND</v>
      </c>
      <c r="C81" t="str">
        <f ca="1"/>
        <v>iW - DCM SYSTEMATIC FUND</v>
      </c>
      <c r="D81">
        <f ca="1"/>
        <v>73630</v>
      </c>
      <c r="E81" t="str">
        <f ca="1"/>
        <v>iW Partners - DIVERSIFIED ALPHA</v>
      </c>
      <c r="F81" t="str">
        <f ca="1"/>
        <v>DIVERSIFIED ALPHA</v>
      </c>
      <c r="G81">
        <f ca="1"/>
        <v>147</v>
      </c>
      <c r="H81" t="str">
        <f ca="1"/>
        <v>Pictet Fund Accounting</v>
      </c>
      <c r="I81" t="str">
        <f ca="1"/>
        <v>17472918-0</v>
      </c>
      <c r="J81" s="50">
        <f ca="1"/>
        <v>44773</v>
      </c>
      <c r="K81">
        <f ca="1"/>
        <v>-12.12</v>
      </c>
      <c r="L81" t="str">
        <f ca="1"/>
        <v>73875-0</v>
      </c>
      <c r="M81" t="str">
        <f ca="1"/>
        <v>Crystallised Perf. I</v>
      </c>
      <c r="N81" t="str">
        <f ca="1"/>
        <v>USD</v>
      </c>
      <c r="O81" t="str">
        <f ca="1"/>
        <v>Uncategorized (Treasury)</v>
      </c>
      <c r="P81" t="str">
        <f ca="1"/>
        <v/>
      </c>
      <c r="Q81" t="str">
        <f ca="1"/>
        <v/>
      </c>
      <c r="R81" t="str">
        <f ca="1"/>
        <v/>
      </c>
      <c r="S81" t="str">
        <f ca="1"/>
        <v/>
      </c>
      <c r="T81" t="str">
        <f ca="1"/>
        <v/>
      </c>
      <c r="U81">
        <f ca="1">IF(LEFT(_xll.BDP($T81,U$2),4)="#N/A",0,_xll.BDP($T81,U$2))</f>
        <v>0</v>
      </c>
      <c r="V81" t="e">
        <f>_xll.BDP(#REF!,V$2)</f>
        <v>#REF!</v>
      </c>
      <c r="W81" t="e">
        <f>_xll.BDP(#REF!,W$2)</f>
        <v>#REF!</v>
      </c>
      <c r="X81" t="e">
        <f>_xll.BDP(#REF!,X$2)</f>
        <v>#REF!</v>
      </c>
      <c r="Y81" t="e">
        <f>_xll.BDP(#REF!,Y$2)</f>
        <v>#REF!</v>
      </c>
      <c r="Z81" t="e">
        <f>_xll.BDP(#REF!,Z$2)</f>
        <v>#REF!</v>
      </c>
      <c r="AA81" t="e">
        <f>_xll.BDP(#REF!,AA$2)</f>
        <v>#REF!</v>
      </c>
      <c r="AD81">
        <f ca="1">IF(LEFT(_xll.BDP($T81,AD$2),4)="#N/A",-1,_xll.BDP($T81,AD$2))</f>
        <v>-1</v>
      </c>
    </row>
    <row r="82" spans="1:30">
      <c r="A82">
        <f ca="1"/>
        <v>172</v>
      </c>
      <c r="B82" t="str">
        <f ca="1"/>
        <v>iW Partners - DCM SYSTEMATIC FUND</v>
      </c>
      <c r="C82" t="str">
        <f ca="1"/>
        <v>iW - DCM SYSTEMATIC FUND</v>
      </c>
      <c r="D82">
        <f ca="1"/>
        <v>73630</v>
      </c>
      <c r="E82" t="str">
        <f ca="1"/>
        <v>iW Partners - DIVERSIFIED ALPHA</v>
      </c>
      <c r="F82" t="str">
        <f ca="1"/>
        <v>DIVERSIFIED ALPHA</v>
      </c>
      <c r="G82">
        <f ca="1"/>
        <v>147</v>
      </c>
      <c r="H82" t="str">
        <f ca="1"/>
        <v>Pictet Fund Accounting</v>
      </c>
      <c r="I82" t="str">
        <f ca="1"/>
        <v>17472911-0</v>
      </c>
      <c r="J82" s="50">
        <f ca="1"/>
        <v>44773</v>
      </c>
      <c r="K82">
        <f ca="1"/>
        <v>-2704.79</v>
      </c>
      <c r="L82" t="str">
        <f ca="1"/>
        <v>73866-0</v>
      </c>
      <c r="M82" t="str">
        <f ca="1"/>
        <v>Crystallised Perf. P</v>
      </c>
      <c r="N82" t="str">
        <f ca="1"/>
        <v>USD</v>
      </c>
      <c r="O82" t="str">
        <f ca="1"/>
        <v>Uncategorized (Treasury)</v>
      </c>
      <c r="P82" t="str">
        <f ca="1"/>
        <v/>
      </c>
      <c r="Q82" t="str">
        <f ca="1"/>
        <v/>
      </c>
      <c r="R82" t="str">
        <f ca="1"/>
        <v/>
      </c>
      <c r="S82" t="str">
        <f ca="1"/>
        <v/>
      </c>
      <c r="T82" t="str">
        <f ca="1"/>
        <v/>
      </c>
      <c r="U82">
        <f ca="1">IF(LEFT(_xll.BDP($T82,U$2),4)="#N/A",0,_xll.BDP($T82,U$2))</f>
        <v>0</v>
      </c>
      <c r="V82" t="e">
        <f>_xll.BDP(#REF!,V$2)</f>
        <v>#REF!</v>
      </c>
      <c r="W82" t="e">
        <f>_xll.BDP(#REF!,W$2)</f>
        <v>#REF!</v>
      </c>
      <c r="X82" t="e">
        <f>_xll.BDP(#REF!,X$2)</f>
        <v>#REF!</v>
      </c>
      <c r="Y82" t="e">
        <f>_xll.BDP(#REF!,Y$2)</f>
        <v>#REF!</v>
      </c>
      <c r="Z82" t="e">
        <f>_xll.BDP(#REF!,Z$2)</f>
        <v>#REF!</v>
      </c>
      <c r="AA82" t="e">
        <f>_xll.BDP(#REF!,AA$2)</f>
        <v>#REF!</v>
      </c>
      <c r="AD82">
        <f ca="1">IF(LEFT(_xll.BDP($T82,AD$2),4)="#N/A",-1,_xll.BDP($T82,AD$2))</f>
        <v>-1</v>
      </c>
    </row>
    <row r="83" spans="1:30">
      <c r="A83">
        <f ca="1"/>
        <v>172</v>
      </c>
      <c r="B83" t="str">
        <f ca="1"/>
        <v>iW Partners - DCM SYSTEMATIC FUND</v>
      </c>
      <c r="C83" t="str">
        <f ca="1"/>
        <v>iW - DCM SYSTEMATIC FUND</v>
      </c>
      <c r="D83">
        <f ca="1"/>
        <v>73630</v>
      </c>
      <c r="E83" t="str">
        <f ca="1"/>
        <v>iW Partners - DIVERSIFIED ALPHA</v>
      </c>
      <c r="F83" t="str">
        <f ca="1"/>
        <v>DIVERSIFIED ALPHA</v>
      </c>
      <c r="G83">
        <f ca="1"/>
        <v>147</v>
      </c>
      <c r="H83" t="str">
        <f ca="1"/>
        <v>Pictet Fund Accounting</v>
      </c>
      <c r="I83" t="str">
        <f ca="1"/>
        <v>17472872-0</v>
      </c>
      <c r="J83" s="50">
        <f ca="1"/>
        <v>44773</v>
      </c>
      <c r="K83">
        <f ca="1"/>
        <v>-172.92</v>
      </c>
      <c r="L83" t="str">
        <f ca="1"/>
        <v>60606-0</v>
      </c>
      <c r="M83" t="str">
        <f ca="1"/>
        <v>Prov Audit Annual report</v>
      </c>
      <c r="N83" t="str">
        <f ca="1"/>
        <v>USD</v>
      </c>
      <c r="O83" t="str">
        <f ca="1"/>
        <v>Uncategorized (Treasury)</v>
      </c>
      <c r="P83" t="str">
        <f ca="1"/>
        <v/>
      </c>
      <c r="Q83" t="str">
        <f ca="1"/>
        <v/>
      </c>
      <c r="R83" t="str">
        <f ca="1"/>
        <v/>
      </c>
      <c r="S83" t="str">
        <f ca="1"/>
        <v/>
      </c>
      <c r="T83" t="str">
        <f ca="1"/>
        <v/>
      </c>
      <c r="U83">
        <f ca="1">IF(LEFT(_xll.BDP($T83,U$2),4)="#N/A",0,_xll.BDP($T83,U$2))</f>
        <v>0</v>
      </c>
      <c r="V83" t="e">
        <f>_xll.BDP(#REF!,V$2)</f>
        <v>#REF!</v>
      </c>
      <c r="W83" t="e">
        <f>_xll.BDP(#REF!,W$2)</f>
        <v>#REF!</v>
      </c>
      <c r="X83" t="e">
        <f>_xll.BDP(#REF!,X$2)</f>
        <v>#REF!</v>
      </c>
      <c r="Y83" t="e">
        <f>_xll.BDP(#REF!,Y$2)</f>
        <v>#REF!</v>
      </c>
      <c r="Z83" t="e">
        <f>_xll.BDP(#REF!,Z$2)</f>
        <v>#REF!</v>
      </c>
      <c r="AA83" t="e">
        <f>_xll.BDP(#REF!,AA$2)</f>
        <v>#REF!</v>
      </c>
      <c r="AD83">
        <f ca="1">IF(LEFT(_xll.BDP($T83,AD$2),4)="#N/A",-1,_xll.BDP($T83,AD$2))</f>
        <v>-1</v>
      </c>
    </row>
    <row r="84" spans="1:30">
      <c r="A84">
        <f ca="1"/>
        <v>172</v>
      </c>
      <c r="B84" t="str">
        <f ca="1"/>
        <v>iW Partners - DCM SYSTEMATIC FUND</v>
      </c>
      <c r="C84" t="str">
        <f ca="1"/>
        <v>iW - DCM SYSTEMATIC FUND</v>
      </c>
      <c r="D84">
        <f ca="1"/>
        <v>73630</v>
      </c>
      <c r="E84" t="str">
        <f ca="1"/>
        <v>iW Partners - DIVERSIFIED ALPHA</v>
      </c>
      <c r="F84" t="str">
        <f ca="1"/>
        <v>DIVERSIFIED ALPHA</v>
      </c>
      <c r="G84">
        <f ca="1"/>
        <v>147</v>
      </c>
      <c r="H84" t="str">
        <f ca="1"/>
        <v>Pictet Fund Accounting</v>
      </c>
      <c r="I84" t="str">
        <f ca="1"/>
        <v>17472864-0</v>
      </c>
      <c r="J84" s="50">
        <f ca="1"/>
        <v>44773</v>
      </c>
      <c r="K84">
        <f ca="1"/>
        <v>-260.74</v>
      </c>
      <c r="L84" t="str">
        <f ca="1"/>
        <v>73908-0</v>
      </c>
      <c r="M84" t="str">
        <f ca="1"/>
        <v>Prov Fees for calcul. of perf.</v>
      </c>
      <c r="N84" t="str">
        <f ca="1"/>
        <v>USD</v>
      </c>
      <c r="O84" t="str">
        <f ca="1"/>
        <v>Uncategorized (Treasury)</v>
      </c>
      <c r="P84" t="str">
        <f ca="1"/>
        <v/>
      </c>
      <c r="Q84" t="str">
        <f ca="1"/>
        <v/>
      </c>
      <c r="R84" t="str">
        <f ca="1"/>
        <v/>
      </c>
      <c r="S84" t="str">
        <f ca="1"/>
        <v/>
      </c>
      <c r="T84" t="str">
        <f ca="1"/>
        <v/>
      </c>
      <c r="U84">
        <f ca="1">IF(LEFT(_xll.BDP($T84,U$2),4)="#N/A",0,_xll.BDP($T84,U$2))</f>
        <v>0</v>
      </c>
      <c r="V84" t="e">
        <f>_xll.BDP(#REF!,V$2)</f>
        <v>#REF!</v>
      </c>
      <c r="W84" t="e">
        <f>_xll.BDP(#REF!,W$2)</f>
        <v>#REF!</v>
      </c>
      <c r="X84" t="e">
        <f>_xll.BDP(#REF!,X$2)</f>
        <v>#REF!</v>
      </c>
      <c r="Y84" t="e">
        <f>_xll.BDP(#REF!,Y$2)</f>
        <v>#REF!</v>
      </c>
      <c r="Z84" t="e">
        <f>_xll.BDP(#REF!,Z$2)</f>
        <v>#REF!</v>
      </c>
      <c r="AA84" t="e">
        <f>_xll.BDP(#REF!,AA$2)</f>
        <v>#REF!</v>
      </c>
      <c r="AD84">
        <f ca="1">IF(LEFT(_xll.BDP($T84,AD$2),4)="#N/A",-1,_xll.BDP($T84,AD$2))</f>
        <v>-1</v>
      </c>
    </row>
    <row r="85" spans="1:30">
      <c r="A85">
        <f ca="1"/>
        <v>172</v>
      </c>
      <c r="B85" t="str">
        <f ca="1"/>
        <v>iW Partners - DCM SYSTEMATIC FUND</v>
      </c>
      <c r="C85" t="str">
        <f ca="1"/>
        <v>iW - DCM SYSTEMATIC FUND</v>
      </c>
      <c r="D85">
        <f ca="1"/>
        <v>73630</v>
      </c>
      <c r="E85" t="str">
        <f ca="1"/>
        <v>iW Partners - DIVERSIFIED ALPHA</v>
      </c>
      <c r="F85" t="str">
        <f ca="1"/>
        <v>DIVERSIFIED ALPHA</v>
      </c>
      <c r="G85">
        <f ca="1"/>
        <v>147</v>
      </c>
      <c r="H85" t="str">
        <f ca="1"/>
        <v>Pictet Fund Accounting</v>
      </c>
      <c r="I85" t="str">
        <f ca="1"/>
        <v>17472848-0</v>
      </c>
      <c r="J85" s="50">
        <f ca="1"/>
        <v>44773</v>
      </c>
      <c r="K85">
        <f ca="1"/>
        <v>-1870.87</v>
      </c>
      <c r="L85" t="str">
        <f ca="1"/>
        <v>73800-0</v>
      </c>
      <c r="M85" t="str">
        <f ca="1"/>
        <v>Prov Financial Stat. ex ant.</v>
      </c>
      <c r="N85" t="str">
        <f ca="1"/>
        <v>USD</v>
      </c>
      <c r="O85" t="str">
        <f ca="1"/>
        <v>Uncategorized (Treasury)</v>
      </c>
      <c r="P85" t="str">
        <f ca="1"/>
        <v/>
      </c>
      <c r="Q85" t="str">
        <f ca="1"/>
        <v/>
      </c>
      <c r="R85" t="str">
        <f ca="1"/>
        <v/>
      </c>
      <c r="S85" t="str">
        <f ca="1"/>
        <v/>
      </c>
      <c r="T85" t="str">
        <f ca="1"/>
        <v/>
      </c>
      <c r="U85">
        <f ca="1">IF(LEFT(_xll.BDP($T85,U$2),4)="#N/A",0,_xll.BDP($T85,U$2))</f>
        <v>0</v>
      </c>
      <c r="V85" t="e">
        <f>_xll.BDP(#REF!,V$2)</f>
        <v>#REF!</v>
      </c>
      <c r="W85" t="e">
        <f>_xll.BDP(#REF!,W$2)</f>
        <v>#REF!</v>
      </c>
      <c r="X85" t="e">
        <f>_xll.BDP(#REF!,X$2)</f>
        <v>#REF!</v>
      </c>
      <c r="Y85" t="e">
        <f>_xll.BDP(#REF!,Y$2)</f>
        <v>#REF!</v>
      </c>
      <c r="Z85" t="e">
        <f>_xll.BDP(#REF!,Z$2)</f>
        <v>#REF!</v>
      </c>
      <c r="AA85" t="e">
        <f>_xll.BDP(#REF!,AA$2)</f>
        <v>#REF!</v>
      </c>
      <c r="AD85">
        <f ca="1">IF(LEFT(_xll.BDP($T85,AD$2),4)="#N/A",-1,_xll.BDP($T85,AD$2))</f>
        <v>-1</v>
      </c>
    </row>
    <row r="86" spans="1:30">
      <c r="A86">
        <f ca="1"/>
        <v>172</v>
      </c>
      <c r="B86" t="str">
        <f ca="1"/>
        <v>iW Partners - DCM SYSTEMATIC FUND</v>
      </c>
      <c r="C86" t="str">
        <f ca="1"/>
        <v>iW - DCM SYSTEMATIC FUND</v>
      </c>
      <c r="D86">
        <f ca="1"/>
        <v>73630</v>
      </c>
      <c r="E86" t="str">
        <f ca="1"/>
        <v>iW Partners - DIVERSIFIED ALPHA</v>
      </c>
      <c r="F86" t="str">
        <f ca="1"/>
        <v>DIVERSIFIED ALPHA</v>
      </c>
      <c r="G86">
        <f ca="1"/>
        <v>147</v>
      </c>
      <c r="H86" t="str">
        <f ca="1"/>
        <v>Pictet Fund Accounting</v>
      </c>
      <c r="I86" t="str">
        <f ca="1"/>
        <v>17472825-0</v>
      </c>
      <c r="J86" s="50">
        <f ca="1"/>
        <v>44773</v>
      </c>
      <c r="K86">
        <f ca="1"/>
        <v>-112160.16</v>
      </c>
      <c r="L86" t="str">
        <f ca="1"/>
        <v>133796-0</v>
      </c>
      <c r="M86" t="str">
        <f ca="1"/>
        <v>Prov/paiemt directors fees ant</v>
      </c>
      <c r="N86" t="str">
        <f ca="1"/>
        <v>USD</v>
      </c>
      <c r="O86" t="str">
        <f ca="1"/>
        <v>Uncategorized (Treasury)</v>
      </c>
      <c r="P86" t="str">
        <f ca="1"/>
        <v/>
      </c>
      <c r="Q86" t="str">
        <f ca="1"/>
        <v/>
      </c>
      <c r="R86" t="str">
        <f ca="1"/>
        <v/>
      </c>
      <c r="S86" t="str">
        <f ca="1"/>
        <v/>
      </c>
      <c r="T86" t="str">
        <f ca="1"/>
        <v/>
      </c>
      <c r="U86">
        <f ca="1">IF(LEFT(_xll.BDP($T86,U$2),4)="#N/A",0,_xll.BDP($T86,U$2))</f>
        <v>0</v>
      </c>
      <c r="V86" t="e">
        <f>_xll.BDP(#REF!,V$2)</f>
        <v>#REF!</v>
      </c>
      <c r="W86" t="e">
        <f>_xll.BDP(#REF!,W$2)</f>
        <v>#REF!</v>
      </c>
      <c r="X86" t="e">
        <f>_xll.BDP(#REF!,X$2)</f>
        <v>#REF!</v>
      </c>
      <c r="Y86" t="e">
        <f>_xll.BDP(#REF!,Y$2)</f>
        <v>#REF!</v>
      </c>
      <c r="Z86" t="e">
        <f>_xll.BDP(#REF!,Z$2)</f>
        <v>#REF!</v>
      </c>
      <c r="AA86" t="e">
        <f>_xll.BDP(#REF!,AA$2)</f>
        <v>#REF!</v>
      </c>
      <c r="AD86">
        <f ca="1">IF(LEFT(_xll.BDP($T86,AD$2),4)="#N/A",-1,_xll.BDP($T86,AD$2))</f>
        <v>-1</v>
      </c>
    </row>
    <row r="87" spans="1:30">
      <c r="A87">
        <f ca="1"/>
        <v>172</v>
      </c>
      <c r="B87" t="str">
        <f ca="1"/>
        <v>iW Partners - DCM SYSTEMATIC FUND</v>
      </c>
      <c r="C87" t="str">
        <f ca="1"/>
        <v>iW - DCM SYSTEMATIC FUND</v>
      </c>
      <c r="D87">
        <f ca="1"/>
        <v>73630</v>
      </c>
      <c r="E87" t="str">
        <f ca="1"/>
        <v>iW Partners - DIVERSIFIED ALPHA</v>
      </c>
      <c r="F87" t="str">
        <f ca="1"/>
        <v>DIVERSIFIED ALPHA</v>
      </c>
      <c r="G87">
        <f ca="1"/>
        <v>147</v>
      </c>
      <c r="H87" t="str">
        <f ca="1"/>
        <v>Pictet Fund Accounting</v>
      </c>
      <c r="I87" t="str">
        <f ca="1"/>
        <v>17472839-0</v>
      </c>
      <c r="J87" s="50">
        <f ca="1"/>
        <v>44773</v>
      </c>
      <c r="K87">
        <f ca="1"/>
        <v>-853.76</v>
      </c>
      <c r="L87" t="str">
        <f ca="1"/>
        <v>60603-0</v>
      </c>
      <c r="M87" t="str">
        <f ca="1"/>
        <v>Provis. taxe d'abonnemt 0.01 %</v>
      </c>
      <c r="N87" t="str">
        <f ca="1"/>
        <v>USD</v>
      </c>
      <c r="O87" t="str">
        <f ca="1"/>
        <v>Uncategorized (Treasury)</v>
      </c>
      <c r="P87" t="str">
        <f ca="1"/>
        <v/>
      </c>
      <c r="Q87" t="str">
        <f ca="1"/>
        <v/>
      </c>
      <c r="R87" t="str">
        <f ca="1"/>
        <v/>
      </c>
      <c r="S87" t="str">
        <f ca="1"/>
        <v/>
      </c>
      <c r="T87" t="str">
        <f ca="1"/>
        <v/>
      </c>
      <c r="U87">
        <f ca="1">IF(LEFT(_xll.BDP($T87,U$2),4)="#N/A",0,_xll.BDP($T87,U$2))</f>
        <v>0</v>
      </c>
      <c r="V87" t="e">
        <f>_xll.BDP(#REF!,V$2)</f>
        <v>#REF!</v>
      </c>
      <c r="W87" t="e">
        <f>_xll.BDP(#REF!,W$2)</f>
        <v>#REF!</v>
      </c>
      <c r="X87" t="e">
        <f>_xll.BDP(#REF!,X$2)</f>
        <v>#REF!</v>
      </c>
      <c r="Y87" t="e">
        <f>_xll.BDP(#REF!,Y$2)</f>
        <v>#REF!</v>
      </c>
      <c r="Z87" t="e">
        <f>_xll.BDP(#REF!,Z$2)</f>
        <v>#REF!</v>
      </c>
      <c r="AA87" t="e">
        <f>_xll.BDP(#REF!,AA$2)</f>
        <v>#REF!</v>
      </c>
      <c r="AD87">
        <f ca="1">IF(LEFT(_xll.BDP($T87,AD$2),4)="#N/A",-1,_xll.BDP($T87,AD$2))</f>
        <v>-1</v>
      </c>
    </row>
    <row r="88" spans="1:30">
      <c r="A88">
        <f ca="1"/>
        <v>172</v>
      </c>
      <c r="B88" t="str">
        <f ca="1"/>
        <v>iW Partners - DCM SYSTEMATIC FUND</v>
      </c>
      <c r="C88" t="str">
        <f ca="1"/>
        <v>iW - DCM SYSTEMATIC FUND</v>
      </c>
      <c r="D88">
        <f ca="1"/>
        <v>73630</v>
      </c>
      <c r="E88" t="str">
        <f ca="1"/>
        <v>iW Partners - DIVERSIFIED ALPHA</v>
      </c>
      <c r="F88" t="str">
        <f ca="1"/>
        <v>DIVERSIFIED ALPHA</v>
      </c>
      <c r="G88">
        <f ca="1"/>
        <v>147</v>
      </c>
      <c r="H88" t="str">
        <f ca="1"/>
        <v>Pictet Fund Accounting</v>
      </c>
      <c r="I88" t="str">
        <f ca="1"/>
        <v>17472883-0</v>
      </c>
      <c r="J88" s="50">
        <f ca="1"/>
        <v>44773</v>
      </c>
      <c r="K88">
        <f ca="1"/>
        <v>-8684.9</v>
      </c>
      <c r="L88" t="str">
        <f ca="1"/>
        <v>60588-0</v>
      </c>
      <c r="M88" t="str">
        <f ca="1"/>
        <v>Provision administration fee</v>
      </c>
      <c r="N88" t="str">
        <f ca="1"/>
        <v>USD</v>
      </c>
      <c r="O88" t="str">
        <f ca="1"/>
        <v>Uncategorized (Treasury)</v>
      </c>
      <c r="P88" t="str">
        <f ca="1"/>
        <v/>
      </c>
      <c r="Q88" t="str">
        <f ca="1"/>
        <v/>
      </c>
      <c r="R88" t="str">
        <f ca="1"/>
        <v/>
      </c>
      <c r="S88" t="str">
        <f ca="1"/>
        <v/>
      </c>
      <c r="T88" t="str">
        <f ca="1"/>
        <v/>
      </c>
      <c r="U88">
        <f ca="1">IF(LEFT(_xll.BDP($T88,U$2),4)="#N/A",0,_xll.BDP($T88,U$2))</f>
        <v>0</v>
      </c>
      <c r="V88" t="e">
        <f>_xll.BDP(#REF!,V$2)</f>
        <v>#REF!</v>
      </c>
      <c r="W88" t="e">
        <f>_xll.BDP(#REF!,W$2)</f>
        <v>#REF!</v>
      </c>
      <c r="X88" t="e">
        <f>_xll.BDP(#REF!,X$2)</f>
        <v>#REF!</v>
      </c>
      <c r="Y88" t="e">
        <f>_xll.BDP(#REF!,Y$2)</f>
        <v>#REF!</v>
      </c>
      <c r="Z88" t="e">
        <f>_xll.BDP(#REF!,Z$2)</f>
        <v>#REF!</v>
      </c>
      <c r="AA88" t="e">
        <f>_xll.BDP(#REF!,AA$2)</f>
        <v>#REF!</v>
      </c>
      <c r="AD88">
        <f ca="1">IF(LEFT(_xll.BDP($T88,AD$2),4)="#N/A",-1,_xll.BDP($T88,AD$2))</f>
        <v>-1</v>
      </c>
    </row>
    <row r="89" spans="1:30">
      <c r="A89">
        <f ca="1"/>
        <v>172</v>
      </c>
      <c r="B89" t="str">
        <f ca="1"/>
        <v>iW Partners - DCM SYSTEMATIC FUND</v>
      </c>
      <c r="C89" t="str">
        <f ca="1"/>
        <v>iW - DCM SYSTEMATIC FUND</v>
      </c>
      <c r="D89">
        <f ca="1"/>
        <v>73630</v>
      </c>
      <c r="E89" t="str">
        <f ca="1"/>
        <v>iW Partners - DIVERSIFIED ALPHA</v>
      </c>
      <c r="F89" t="str">
        <f ca="1"/>
        <v>DIVERSIFIED ALPHA</v>
      </c>
      <c r="G89">
        <f ca="1"/>
        <v>147</v>
      </c>
      <c r="H89" t="str">
        <f ca="1"/>
        <v>Pictet Fund Accounting</v>
      </c>
      <c r="I89" t="str">
        <f ca="1"/>
        <v>17472877-0</v>
      </c>
      <c r="J89" s="50">
        <f ca="1"/>
        <v>44773</v>
      </c>
      <c r="K89">
        <f ca="1"/>
        <v>-505.74</v>
      </c>
      <c r="L89" t="str">
        <f ca="1"/>
        <v>70421-0</v>
      </c>
      <c r="M89" t="str">
        <f ca="1"/>
        <v>Provision AIFM Fees</v>
      </c>
      <c r="N89" t="str">
        <f ca="1"/>
        <v>USD</v>
      </c>
      <c r="O89" t="str">
        <f ca="1"/>
        <v>Uncategorized (Treasury)</v>
      </c>
      <c r="P89" t="str">
        <f ca="1"/>
        <v/>
      </c>
      <c r="Q89" t="str">
        <f ca="1"/>
        <v/>
      </c>
      <c r="R89" t="str">
        <f ca="1"/>
        <v/>
      </c>
      <c r="S89" t="str">
        <f ca="1"/>
        <v/>
      </c>
      <c r="T89" t="str">
        <f ca="1"/>
        <v/>
      </c>
      <c r="U89">
        <f ca="1">IF(LEFT(_xll.BDP($T89,U$2),4)="#N/A",0,_xll.BDP($T89,U$2))</f>
        <v>0</v>
      </c>
      <c r="V89" t="e">
        <f>_xll.BDP(#REF!,V$2)</f>
        <v>#REF!</v>
      </c>
      <c r="W89" t="e">
        <f>_xll.BDP(#REF!,W$2)</f>
        <v>#REF!</v>
      </c>
      <c r="X89" t="e">
        <f>_xll.BDP(#REF!,X$2)</f>
        <v>#REF!</v>
      </c>
      <c r="Y89" t="e">
        <f>_xll.BDP(#REF!,Y$2)</f>
        <v>#REF!</v>
      </c>
      <c r="Z89" t="e">
        <f>_xll.BDP(#REF!,Z$2)</f>
        <v>#REF!</v>
      </c>
      <c r="AA89" t="e">
        <f>_xll.BDP(#REF!,AA$2)</f>
        <v>#REF!</v>
      </c>
      <c r="AD89">
        <f ca="1">IF(LEFT(_xll.BDP($T89,AD$2),4)="#N/A",-1,_xll.BDP($T89,AD$2))</f>
        <v>-1</v>
      </c>
    </row>
    <row r="90" spans="1:30">
      <c r="A90">
        <f ca="1"/>
        <v>172</v>
      </c>
      <c r="B90" t="str">
        <f ca="1"/>
        <v>iW Partners - DCM SYSTEMATIC FUND</v>
      </c>
      <c r="C90" t="str">
        <f ca="1"/>
        <v>iW - DCM SYSTEMATIC FUND</v>
      </c>
      <c r="D90">
        <f ca="1"/>
        <v>73630</v>
      </c>
      <c r="E90" t="str">
        <f ca="1"/>
        <v>iW Partners - DIVERSIFIED ALPHA</v>
      </c>
      <c r="F90" t="str">
        <f ca="1"/>
        <v>DIVERSIFIED ALPHA</v>
      </c>
      <c r="G90">
        <f ca="1"/>
        <v>147</v>
      </c>
      <c r="H90" t="str">
        <f ca="1"/>
        <v>Pictet Fund Accounting</v>
      </c>
      <c r="I90" t="str">
        <f ca="1"/>
        <v>17472876-0</v>
      </c>
      <c r="J90" s="50">
        <f ca="1"/>
        <v>44773</v>
      </c>
      <c r="K90">
        <f ca="1"/>
        <v>-321.22000000000003</v>
      </c>
      <c r="L90" t="str">
        <f ca="1"/>
        <v>123130-0</v>
      </c>
      <c r="M90" t="str">
        <f ca="1"/>
        <v>Provision AIFM Legal Reporting</v>
      </c>
      <c r="N90" t="str">
        <f ca="1"/>
        <v>USD</v>
      </c>
      <c r="O90" t="str">
        <f ca="1"/>
        <v>Uncategorized (Treasury)</v>
      </c>
      <c r="P90" t="str">
        <f ca="1"/>
        <v/>
      </c>
      <c r="Q90" t="str">
        <f ca="1"/>
        <v/>
      </c>
      <c r="R90" t="str">
        <f ca="1"/>
        <v/>
      </c>
      <c r="S90" t="str">
        <f ca="1"/>
        <v/>
      </c>
      <c r="T90" t="str">
        <f ca="1"/>
        <v/>
      </c>
      <c r="U90">
        <f ca="1">IF(LEFT(_xll.BDP($T90,U$2),4)="#N/A",0,_xll.BDP($T90,U$2))</f>
        <v>0</v>
      </c>
      <c r="V90" t="e">
        <f>_xll.BDP(#REF!,V$2)</f>
        <v>#REF!</v>
      </c>
      <c r="W90" t="e">
        <f>_xll.BDP(#REF!,W$2)</f>
        <v>#REF!</v>
      </c>
      <c r="X90" t="e">
        <f>_xll.BDP(#REF!,X$2)</f>
        <v>#REF!</v>
      </c>
      <c r="Y90" t="e">
        <f>_xll.BDP(#REF!,Y$2)</f>
        <v>#REF!</v>
      </c>
      <c r="Z90" t="e">
        <f>_xll.BDP(#REF!,Z$2)</f>
        <v>#REF!</v>
      </c>
      <c r="AA90" t="e">
        <f>_xll.BDP(#REF!,AA$2)</f>
        <v>#REF!</v>
      </c>
      <c r="AD90">
        <f ca="1">IF(LEFT(_xll.BDP($T90,AD$2),4)="#N/A",-1,_xll.BDP($T90,AD$2))</f>
        <v>-1</v>
      </c>
    </row>
    <row r="91" spans="1:30">
      <c r="A91">
        <f ca="1"/>
        <v>172</v>
      </c>
      <c r="B91" t="str">
        <f ca="1"/>
        <v>iW Partners - DCM SYSTEMATIC FUND</v>
      </c>
      <c r="C91" t="str">
        <f ca="1"/>
        <v>iW - DCM SYSTEMATIC FUND</v>
      </c>
      <c r="D91">
        <f ca="1"/>
        <v>73630</v>
      </c>
      <c r="E91" t="str">
        <f ca="1"/>
        <v>iW Partners - DIVERSIFIED ALPHA</v>
      </c>
      <c r="F91" t="str">
        <f ca="1"/>
        <v>DIVERSIFIED ALPHA</v>
      </c>
      <c r="G91">
        <f ca="1"/>
        <v>147</v>
      </c>
      <c r="H91" t="str">
        <f ca="1"/>
        <v>Pictet Fund Accounting</v>
      </c>
      <c r="I91" t="str">
        <f ca="1"/>
        <v>17472880-0</v>
      </c>
      <c r="J91" s="50">
        <f ca="1"/>
        <v>44773</v>
      </c>
      <c r="K91">
        <f ca="1"/>
        <v>-6079.46</v>
      </c>
      <c r="L91" t="str">
        <f ca="1"/>
        <v>60584-0</v>
      </c>
      <c r="M91" t="str">
        <f ca="1"/>
        <v>Provision custody fee</v>
      </c>
      <c r="N91" t="str">
        <f ca="1"/>
        <v>USD</v>
      </c>
      <c r="O91" t="str">
        <f ca="1"/>
        <v>Uncategorized (Treasury)</v>
      </c>
      <c r="P91" t="str">
        <f ca="1"/>
        <v/>
      </c>
      <c r="Q91" t="str">
        <f ca="1"/>
        <v/>
      </c>
      <c r="R91" t="str">
        <f ca="1"/>
        <v/>
      </c>
      <c r="S91" t="str">
        <f ca="1"/>
        <v/>
      </c>
      <c r="T91" t="str">
        <f ca="1"/>
        <v/>
      </c>
      <c r="U91">
        <f ca="1">IF(LEFT(_xll.BDP($T91,U$2),4)="#N/A",0,_xll.BDP($T91,U$2))</f>
        <v>0</v>
      </c>
      <c r="V91" t="e">
        <f>_xll.BDP(#REF!,V$2)</f>
        <v>#REF!</v>
      </c>
      <c r="W91" t="e">
        <f>_xll.BDP(#REF!,W$2)</f>
        <v>#REF!</v>
      </c>
      <c r="X91" t="e">
        <f>_xll.BDP(#REF!,X$2)</f>
        <v>#REF!</v>
      </c>
      <c r="Y91" t="e">
        <f>_xll.BDP(#REF!,Y$2)</f>
        <v>#REF!</v>
      </c>
      <c r="Z91" t="e">
        <f>_xll.BDP(#REF!,Z$2)</f>
        <v>#REF!</v>
      </c>
      <c r="AA91" t="e">
        <f>_xll.BDP(#REF!,AA$2)</f>
        <v>#REF!</v>
      </c>
      <c r="AD91">
        <f ca="1">IF(LEFT(_xll.BDP($T91,AD$2),4)="#N/A",-1,_xll.BDP($T91,AD$2))</f>
        <v>-1</v>
      </c>
    </row>
    <row r="92" spans="1:30">
      <c r="A92">
        <f ca="1"/>
        <v>172</v>
      </c>
      <c r="B92" t="str">
        <f ca="1"/>
        <v>iW Partners - DCM SYSTEMATIC FUND</v>
      </c>
      <c r="C92" t="str">
        <f ca="1"/>
        <v>iW - DCM SYSTEMATIC FUND</v>
      </c>
      <c r="D92">
        <f ca="1"/>
        <v>73630</v>
      </c>
      <c r="E92" t="str">
        <f ca="1"/>
        <v>iW Partners - DIVERSIFIED ALPHA</v>
      </c>
      <c r="F92" t="str">
        <f ca="1"/>
        <v>DIVERSIFIED ALPHA</v>
      </c>
      <c r="G92">
        <f ca="1"/>
        <v>147</v>
      </c>
      <c r="H92" t="str">
        <f ca="1"/>
        <v>Pictet Fund Accounting</v>
      </c>
      <c r="I92" t="str">
        <f ca="1"/>
        <v>17472837-0</v>
      </c>
      <c r="J92" s="50">
        <f ca="1"/>
        <v>44773</v>
      </c>
      <c r="K92">
        <f ca="1"/>
        <v>-867</v>
      </c>
      <c r="L92" t="str">
        <f ca="1"/>
        <v>60599-0</v>
      </c>
      <c r="M92" t="str">
        <f ca="1"/>
        <v>Provision Deposit supervi duty</v>
      </c>
      <c r="N92" t="str">
        <f ca="1"/>
        <v>USD</v>
      </c>
      <c r="O92" t="str">
        <f ca="1"/>
        <v>Uncategorized (Treasury)</v>
      </c>
      <c r="P92" t="str">
        <f ca="1"/>
        <v/>
      </c>
      <c r="Q92" t="str">
        <f ca="1"/>
        <v/>
      </c>
      <c r="R92" t="str">
        <f ca="1"/>
        <v/>
      </c>
      <c r="S92" t="str">
        <f ca="1"/>
        <v/>
      </c>
      <c r="T92" t="str">
        <f ca="1"/>
        <v/>
      </c>
      <c r="U92">
        <f ca="1">IF(LEFT(_xll.BDP($T92,U$2),4)="#N/A",0,_xll.BDP($T92,U$2))</f>
        <v>0</v>
      </c>
      <c r="V92" t="e">
        <f>_xll.BDP(#REF!,V$2)</f>
        <v>#REF!</v>
      </c>
      <c r="W92" t="e">
        <f>_xll.BDP(#REF!,W$2)</f>
        <v>#REF!</v>
      </c>
      <c r="X92" t="e">
        <f>_xll.BDP(#REF!,X$2)</f>
        <v>#REF!</v>
      </c>
      <c r="Y92" t="e">
        <f>_xll.BDP(#REF!,Y$2)</f>
        <v>#REF!</v>
      </c>
      <c r="Z92" t="e">
        <f>_xll.BDP(#REF!,Z$2)</f>
        <v>#REF!</v>
      </c>
      <c r="AA92" t="e">
        <f>_xll.BDP(#REF!,AA$2)</f>
        <v>#REF!</v>
      </c>
      <c r="AD92">
        <f ca="1">IF(LEFT(_xll.BDP($T92,AD$2),4)="#N/A",-1,_xll.BDP($T92,AD$2))</f>
        <v>-1</v>
      </c>
    </row>
    <row r="93" spans="1:30">
      <c r="A93">
        <f ca="1"/>
        <v>172</v>
      </c>
      <c r="B93" t="str">
        <f ca="1"/>
        <v>iW Partners - DCM SYSTEMATIC FUND</v>
      </c>
      <c r="C93" t="str">
        <f ca="1"/>
        <v>iW - DCM SYSTEMATIC FUND</v>
      </c>
      <c r="D93">
        <f ca="1"/>
        <v>73630</v>
      </c>
      <c r="E93" t="str">
        <f ca="1"/>
        <v>iW Partners - DIVERSIFIED ALPHA</v>
      </c>
      <c r="F93" t="str">
        <f ca="1"/>
        <v>DIVERSIFIED ALPHA</v>
      </c>
      <c r="G93">
        <f ca="1"/>
        <v>147</v>
      </c>
      <c r="H93" t="str">
        <f ca="1"/>
        <v>Pictet Fund Accounting</v>
      </c>
      <c r="I93" t="str">
        <f ca="1"/>
        <v>17472907-0</v>
      </c>
      <c r="J93" s="50">
        <f ca="1"/>
        <v>44773</v>
      </c>
      <c r="K93">
        <f ca="1"/>
        <v>-59223.51</v>
      </c>
      <c r="L93" t="str">
        <f ca="1"/>
        <v>60590-0</v>
      </c>
      <c r="M93" t="str">
        <f ca="1"/>
        <v>Provision directors fees</v>
      </c>
      <c r="N93" t="str">
        <f ca="1"/>
        <v>USD</v>
      </c>
      <c r="O93" t="str">
        <f ca="1"/>
        <v>Uncategorized (Treasury)</v>
      </c>
      <c r="P93" t="str">
        <f ca="1"/>
        <v/>
      </c>
      <c r="Q93" t="str">
        <f ca="1"/>
        <v/>
      </c>
      <c r="R93" t="str">
        <f ca="1"/>
        <v/>
      </c>
      <c r="S93" t="str">
        <f ca="1"/>
        <v/>
      </c>
      <c r="T93" t="str">
        <f ca="1"/>
        <v/>
      </c>
      <c r="U93">
        <f ca="1">IF(LEFT(_xll.BDP($T93,U$2),4)="#N/A",0,_xll.BDP($T93,U$2))</f>
        <v>0</v>
      </c>
      <c r="V93" t="e">
        <f>_xll.BDP(#REF!,V$2)</f>
        <v>#REF!</v>
      </c>
      <c r="W93" t="e">
        <f>_xll.BDP(#REF!,W$2)</f>
        <v>#REF!</v>
      </c>
      <c r="X93" t="e">
        <f>_xll.BDP(#REF!,X$2)</f>
        <v>#REF!</v>
      </c>
      <c r="Y93" t="e">
        <f>_xll.BDP(#REF!,Y$2)</f>
        <v>#REF!</v>
      </c>
      <c r="Z93" t="e">
        <f>_xll.BDP(#REF!,Z$2)</f>
        <v>#REF!</v>
      </c>
      <c r="AA93" t="e">
        <f>_xll.BDP(#REF!,AA$2)</f>
        <v>#REF!</v>
      </c>
      <c r="AD93">
        <f ca="1">IF(LEFT(_xll.BDP($T93,AD$2),4)="#N/A",-1,_xll.BDP($T93,AD$2))</f>
        <v>-1</v>
      </c>
    </row>
    <row r="94" spans="1:30">
      <c r="A94">
        <f ca="1"/>
        <v>172</v>
      </c>
      <c r="B94" t="str">
        <f ca="1"/>
        <v>iW Partners - DCM SYSTEMATIC FUND</v>
      </c>
      <c r="C94" t="str">
        <f ca="1"/>
        <v>iW - DCM SYSTEMATIC FUND</v>
      </c>
      <c r="D94">
        <f ca="1"/>
        <v>73630</v>
      </c>
      <c r="E94" t="str">
        <f ca="1"/>
        <v>iW Partners - DIVERSIFIED ALPHA</v>
      </c>
      <c r="F94" t="str">
        <f ca="1"/>
        <v>DIVERSIFIED ALPHA</v>
      </c>
      <c r="G94">
        <f ca="1"/>
        <v>147</v>
      </c>
      <c r="H94" t="str">
        <f ca="1"/>
        <v>Pictet Fund Accounting</v>
      </c>
      <c r="I94" t="str">
        <f ca="1"/>
        <v>17472882-0</v>
      </c>
      <c r="J94" s="50">
        <f ca="1"/>
        <v>44773</v>
      </c>
      <c r="K94">
        <f ca="1"/>
        <v>-14651</v>
      </c>
      <c r="L94" t="str">
        <f ca="1"/>
        <v>73921-0</v>
      </c>
      <c r="M94" t="str">
        <f ca="1"/>
        <v>Provision Management Company</v>
      </c>
      <c r="N94" t="str">
        <f ca="1"/>
        <v>USD</v>
      </c>
      <c r="O94" t="str">
        <f ca="1"/>
        <v>Uncategorized (Treasury)</v>
      </c>
      <c r="P94" t="str">
        <f ca="1"/>
        <v/>
      </c>
      <c r="Q94" t="str">
        <f ca="1"/>
        <v/>
      </c>
      <c r="R94" t="str">
        <f ca="1"/>
        <v/>
      </c>
      <c r="S94" t="str">
        <f ca="1"/>
        <v/>
      </c>
      <c r="T94" t="str">
        <f ca="1"/>
        <v/>
      </c>
      <c r="U94">
        <f ca="1">IF(LEFT(_xll.BDP($T94,U$2),4)="#N/A",0,_xll.BDP($T94,U$2))</f>
        <v>0</v>
      </c>
      <c r="V94" t="e">
        <f>_xll.BDP(#REF!,V$2)</f>
        <v>#REF!</v>
      </c>
      <c r="W94" t="e">
        <f>_xll.BDP(#REF!,W$2)</f>
        <v>#REF!</v>
      </c>
      <c r="X94" t="e">
        <f>_xll.BDP(#REF!,X$2)</f>
        <v>#REF!</v>
      </c>
      <c r="Y94" t="e">
        <f>_xll.BDP(#REF!,Y$2)</f>
        <v>#REF!</v>
      </c>
      <c r="Z94" t="e">
        <f>_xll.BDP(#REF!,Z$2)</f>
        <v>#REF!</v>
      </c>
      <c r="AA94" t="e">
        <f>_xll.BDP(#REF!,AA$2)</f>
        <v>#REF!</v>
      </c>
      <c r="AD94">
        <f ca="1">IF(LEFT(_xll.BDP($T94,AD$2),4)="#N/A",-1,_xll.BDP($T94,AD$2))</f>
        <v>-1</v>
      </c>
    </row>
    <row r="95" spans="1:30">
      <c r="A95">
        <f ca="1"/>
        <v>172</v>
      </c>
      <c r="B95" t="str">
        <f ca="1"/>
        <v>iW Partners - DCM SYSTEMATIC FUND</v>
      </c>
      <c r="C95" t="str">
        <f ca="1"/>
        <v>iW - DCM SYSTEMATIC FUND</v>
      </c>
      <c r="D95">
        <f ca="1"/>
        <v>73630</v>
      </c>
      <c r="E95" t="str">
        <f ca="1"/>
        <v>iW Partners - DIVERSIFIED ALPHA</v>
      </c>
      <c r="F95" t="str">
        <f ca="1"/>
        <v>DIVERSIFIED ALPHA</v>
      </c>
      <c r="G95">
        <f ca="1"/>
        <v>147</v>
      </c>
      <c r="H95" t="str">
        <f ca="1"/>
        <v>Pictet Fund Accounting</v>
      </c>
      <c r="I95" t="str">
        <f ca="1"/>
        <v>17472854-0</v>
      </c>
      <c r="J95" s="50">
        <f ca="1"/>
        <v>44773</v>
      </c>
      <c r="K95">
        <f ca="1"/>
        <v>-31381.45</v>
      </c>
      <c r="L95" t="str">
        <f ca="1"/>
        <v>60580-0</v>
      </c>
      <c r="M95" t="str">
        <f ca="1"/>
        <v>Provision Mgt Institutional</v>
      </c>
      <c r="N95" t="str">
        <f ca="1"/>
        <v>USD</v>
      </c>
      <c r="O95" t="str">
        <f ca="1"/>
        <v>Uncategorized (Treasury)</v>
      </c>
      <c r="P95" t="str">
        <f ca="1"/>
        <v/>
      </c>
      <c r="Q95" t="str">
        <f ca="1"/>
        <v/>
      </c>
      <c r="R95" t="str">
        <f ca="1"/>
        <v/>
      </c>
      <c r="S95" t="str">
        <f ca="1"/>
        <v/>
      </c>
      <c r="T95" t="str">
        <f ca="1"/>
        <v/>
      </c>
      <c r="U95">
        <f ca="1">IF(LEFT(_xll.BDP($T95,U$2),4)="#N/A",0,_xll.BDP($T95,U$2))</f>
        <v>0</v>
      </c>
      <c r="V95" t="e">
        <f>_xll.BDP(#REF!,V$2)</f>
        <v>#REF!</v>
      </c>
      <c r="W95" t="e">
        <f>_xll.BDP(#REF!,W$2)</f>
        <v>#REF!</v>
      </c>
      <c r="X95" t="e">
        <f>_xll.BDP(#REF!,X$2)</f>
        <v>#REF!</v>
      </c>
      <c r="Y95" t="e">
        <f>_xll.BDP(#REF!,Y$2)</f>
        <v>#REF!</v>
      </c>
      <c r="Z95" t="e">
        <f>_xll.BDP(#REF!,Z$2)</f>
        <v>#REF!</v>
      </c>
      <c r="AA95" t="e">
        <f>_xll.BDP(#REF!,AA$2)</f>
        <v>#REF!</v>
      </c>
      <c r="AD95">
        <f ca="1">IF(LEFT(_xll.BDP($T95,AD$2),4)="#N/A",-1,_xll.BDP($T95,AD$2))</f>
        <v>-1</v>
      </c>
    </row>
    <row r="96" spans="1:30">
      <c r="A96">
        <f ca="1"/>
        <v>172</v>
      </c>
      <c r="B96" t="str">
        <f ca="1"/>
        <v>iW Partners - DCM SYSTEMATIC FUND</v>
      </c>
      <c r="C96" t="str">
        <f ca="1"/>
        <v>iW - DCM SYSTEMATIC FUND</v>
      </c>
      <c r="D96">
        <f ca="1"/>
        <v>73630</v>
      </c>
      <c r="E96" t="str">
        <f ca="1"/>
        <v>iW Partners - DIVERSIFIED ALPHA</v>
      </c>
      <c r="F96" t="str">
        <f ca="1"/>
        <v>DIVERSIFIED ALPHA</v>
      </c>
      <c r="G96">
        <f ca="1"/>
        <v>147</v>
      </c>
      <c r="H96" t="str">
        <f ca="1"/>
        <v>Pictet Fund Accounting</v>
      </c>
      <c r="I96" t="str">
        <f ca="1"/>
        <v>17472855-0</v>
      </c>
      <c r="J96" s="50">
        <f ca="1"/>
        <v>44773</v>
      </c>
      <c r="K96">
        <f ca="1"/>
        <v>-87584.8</v>
      </c>
      <c r="L96" t="str">
        <f ca="1"/>
        <v>60581-0</v>
      </c>
      <c r="M96" t="str">
        <f ca="1"/>
        <v>Provision Mgt Private</v>
      </c>
      <c r="N96" t="str">
        <f ca="1"/>
        <v>USD</v>
      </c>
      <c r="O96" t="str">
        <f ca="1"/>
        <v>Uncategorized (Treasury)</v>
      </c>
      <c r="P96" t="str">
        <f ca="1"/>
        <v/>
      </c>
      <c r="Q96" t="str">
        <f ca="1"/>
        <v/>
      </c>
      <c r="R96" t="str">
        <f ca="1"/>
        <v/>
      </c>
      <c r="S96" t="str">
        <f ca="1"/>
        <v/>
      </c>
      <c r="T96" t="str">
        <f ca="1"/>
        <v/>
      </c>
      <c r="U96">
        <f ca="1">IF(LEFT(_xll.BDP($T96,U$2),4)="#N/A",0,_xll.BDP($T96,U$2))</f>
        <v>0</v>
      </c>
      <c r="V96" t="e">
        <f>_xll.BDP(#REF!,V$2)</f>
        <v>#REF!</v>
      </c>
      <c r="W96" t="e">
        <f>_xll.BDP(#REF!,W$2)</f>
        <v>#REF!</v>
      </c>
      <c r="X96" t="e">
        <f>_xll.BDP(#REF!,X$2)</f>
        <v>#REF!</v>
      </c>
      <c r="Y96" t="e">
        <f>_xll.BDP(#REF!,Y$2)</f>
        <v>#REF!</v>
      </c>
      <c r="Z96" t="e">
        <f>_xll.BDP(#REF!,Z$2)</f>
        <v>#REF!</v>
      </c>
      <c r="AA96" t="e">
        <f>_xll.BDP(#REF!,AA$2)</f>
        <v>#REF!</v>
      </c>
      <c r="AD96">
        <f ca="1">IF(LEFT(_xll.BDP($T96,AD$2),4)="#N/A",-1,_xll.BDP($T96,AD$2))</f>
        <v>-1</v>
      </c>
    </row>
    <row r="97" spans="1:30">
      <c r="A97">
        <f ca="1"/>
        <v>172</v>
      </c>
      <c r="B97" t="str">
        <f ca="1"/>
        <v>iW Partners - DCM SYSTEMATIC FUND</v>
      </c>
      <c r="C97" t="str">
        <f ca="1"/>
        <v>iW - DCM SYSTEMATIC FUND</v>
      </c>
      <c r="D97">
        <f ca="1"/>
        <v>73630</v>
      </c>
      <c r="E97" t="str">
        <f ca="1"/>
        <v>iW Partners - DIVERSIFIED ALPHA</v>
      </c>
      <c r="F97" t="str">
        <f ca="1"/>
        <v>DIVERSIFIED ALPHA</v>
      </c>
      <c r="G97">
        <f ca="1"/>
        <v>147</v>
      </c>
      <c r="H97" t="str">
        <f ca="1"/>
        <v>Pictet Fund Accounting</v>
      </c>
      <c r="I97" t="str">
        <f ca="1"/>
        <v>17472901-0</v>
      </c>
      <c r="J97" s="50">
        <f ca="1"/>
        <v>44773</v>
      </c>
      <c r="K97">
        <f ca="1"/>
        <v>-20764.900000000001</v>
      </c>
      <c r="L97" t="str">
        <f ca="1"/>
        <v>60613-0</v>
      </c>
      <c r="M97" t="str">
        <f ca="1"/>
        <v>Provision Mgt S</v>
      </c>
      <c r="N97" t="str">
        <f ca="1"/>
        <v>USD</v>
      </c>
      <c r="O97" t="str">
        <f ca="1"/>
        <v>Uncategorized (Treasury)</v>
      </c>
      <c r="P97" t="str">
        <f ca="1"/>
        <v/>
      </c>
      <c r="Q97" t="str">
        <f ca="1"/>
        <v/>
      </c>
      <c r="R97" t="str">
        <f ca="1"/>
        <v/>
      </c>
      <c r="S97" t="str">
        <f ca="1"/>
        <v/>
      </c>
      <c r="T97" t="str">
        <f ca="1"/>
        <v/>
      </c>
      <c r="U97">
        <f ca="1">IF(LEFT(_xll.BDP($T97,U$2),4)="#N/A",0,_xll.BDP($T97,U$2))</f>
        <v>0</v>
      </c>
      <c r="V97" t="e">
        <f>_xll.BDP(#REF!,V$2)</f>
        <v>#REF!</v>
      </c>
      <c r="W97" t="e">
        <f>_xll.BDP(#REF!,W$2)</f>
        <v>#REF!</v>
      </c>
      <c r="X97" t="e">
        <f>_xll.BDP(#REF!,X$2)</f>
        <v>#REF!</v>
      </c>
      <c r="Y97" t="e">
        <f>_xll.BDP(#REF!,Y$2)</f>
        <v>#REF!</v>
      </c>
      <c r="Z97" t="e">
        <f>_xll.BDP(#REF!,Z$2)</f>
        <v>#REF!</v>
      </c>
      <c r="AA97" t="e">
        <f>_xll.BDP(#REF!,AA$2)</f>
        <v>#REF!</v>
      </c>
      <c r="AD97">
        <f ca="1">IF(LEFT(_xll.BDP($T97,AD$2),4)="#N/A",-1,_xll.BDP($T97,AD$2))</f>
        <v>-1</v>
      </c>
    </row>
    <row r="98" spans="1:30">
      <c r="A98">
        <f ca="1"/>
        <v>172</v>
      </c>
      <c r="B98" t="str">
        <f ca="1"/>
        <v>iW Partners - DCM SYSTEMATIC FUND</v>
      </c>
      <c r="C98" t="str">
        <f ca="1"/>
        <v>iW - DCM SYSTEMATIC FUND</v>
      </c>
      <c r="D98">
        <f ca="1"/>
        <v>73630</v>
      </c>
      <c r="E98" t="str">
        <f ca="1"/>
        <v>iW Partners - DIVERSIFIED ALPHA</v>
      </c>
      <c r="F98" t="str">
        <f ca="1"/>
        <v>DIVERSIFIED ALPHA</v>
      </c>
      <c r="G98">
        <f ca="1"/>
        <v>147</v>
      </c>
      <c r="H98" t="str">
        <f ca="1"/>
        <v>Pictet Fund Accounting</v>
      </c>
      <c r="I98" t="str">
        <f ca="1"/>
        <v>17472891-0</v>
      </c>
      <c r="J98" s="50">
        <f ca="1"/>
        <v>44773</v>
      </c>
      <c r="K98">
        <f ca="1"/>
        <v>-210.06</v>
      </c>
      <c r="L98" t="str">
        <f ca="1"/>
        <v>73933-0</v>
      </c>
      <c r="M98" t="str">
        <f ca="1"/>
        <v>Provision others fees</v>
      </c>
      <c r="N98" t="str">
        <f ca="1"/>
        <v>USD</v>
      </c>
      <c r="O98" t="str">
        <f ca="1"/>
        <v>Uncategorized (Treasury)</v>
      </c>
      <c r="P98" t="str">
        <f ca="1"/>
        <v/>
      </c>
      <c r="Q98" t="str">
        <f ca="1"/>
        <v/>
      </c>
      <c r="R98" t="str">
        <f ca="1"/>
        <v/>
      </c>
      <c r="S98" t="str">
        <f ca="1"/>
        <v/>
      </c>
      <c r="T98" t="str">
        <f ca="1"/>
        <v/>
      </c>
      <c r="U98">
        <f ca="1">IF(LEFT(_xll.BDP($T98,U$2),4)="#N/A",0,_xll.BDP($T98,U$2))</f>
        <v>0</v>
      </c>
      <c r="V98" t="e">
        <f>_xll.BDP(#REF!,V$2)</f>
        <v>#REF!</v>
      </c>
      <c r="W98" t="e">
        <f>_xll.BDP(#REF!,W$2)</f>
        <v>#REF!</v>
      </c>
      <c r="X98" t="e">
        <f>_xll.BDP(#REF!,X$2)</f>
        <v>#REF!</v>
      </c>
      <c r="Y98" t="e">
        <f>_xll.BDP(#REF!,Y$2)</f>
        <v>#REF!</v>
      </c>
      <c r="Z98" t="e">
        <f>_xll.BDP(#REF!,Z$2)</f>
        <v>#REF!</v>
      </c>
      <c r="AA98" t="e">
        <f>_xll.BDP(#REF!,AA$2)</f>
        <v>#REF!</v>
      </c>
      <c r="AD98">
        <f ca="1">IF(LEFT(_xll.BDP($T98,AD$2),4)="#N/A",-1,_xll.BDP($T98,AD$2))</f>
        <v>-1</v>
      </c>
    </row>
    <row r="99" spans="1:30">
      <c r="A99">
        <f ca="1"/>
        <v>172</v>
      </c>
      <c r="B99" t="str">
        <f ca="1"/>
        <v>iW Partners - DCM SYSTEMATIC FUND</v>
      </c>
      <c r="C99" t="str">
        <f ca="1"/>
        <v>iW - DCM SYSTEMATIC FUND</v>
      </c>
      <c r="D99">
        <f ca="1"/>
        <v>73630</v>
      </c>
      <c r="E99" t="str">
        <f ca="1"/>
        <v>iW Partners - DIVERSIFIED ALPHA</v>
      </c>
      <c r="F99" t="str">
        <f ca="1"/>
        <v>DIVERSIFIED ALPHA</v>
      </c>
      <c r="G99">
        <f ca="1"/>
        <v>147</v>
      </c>
      <c r="H99" t="str">
        <f ca="1"/>
        <v>Pictet Fund Accounting</v>
      </c>
      <c r="I99" t="str">
        <f ca="1"/>
        <v>17472919-0</v>
      </c>
      <c r="J99" s="50">
        <f ca="1"/>
        <v>44773</v>
      </c>
      <c r="K99">
        <f ca="1"/>
        <v>-244309.42</v>
      </c>
      <c r="L99" t="str">
        <f ca="1"/>
        <v>73879-0</v>
      </c>
      <c r="M99" t="str">
        <f ca="1"/>
        <v>Provision performance fees I</v>
      </c>
      <c r="N99" t="str">
        <f ca="1"/>
        <v>USD</v>
      </c>
      <c r="O99" t="str">
        <f ca="1"/>
        <v>Uncategorized (Treasury)</v>
      </c>
      <c r="P99" t="str">
        <f ca="1"/>
        <v/>
      </c>
      <c r="Q99" t="str">
        <f ca="1"/>
        <v/>
      </c>
      <c r="R99" t="str">
        <f ca="1"/>
        <v/>
      </c>
      <c r="S99" t="str">
        <f ca="1"/>
        <v/>
      </c>
      <c r="T99" t="str">
        <f ca="1"/>
        <v/>
      </c>
      <c r="U99">
        <f ca="1">IF(LEFT(_xll.BDP($T99,U$2),4)="#N/A",0,_xll.BDP($T99,U$2))</f>
        <v>0</v>
      </c>
      <c r="V99" t="e">
        <f>_xll.BDP(#REF!,V$2)</f>
        <v>#REF!</v>
      </c>
      <c r="W99" t="e">
        <f>_xll.BDP(#REF!,W$2)</f>
        <v>#REF!</v>
      </c>
      <c r="X99" t="e">
        <f>_xll.BDP(#REF!,X$2)</f>
        <v>#REF!</v>
      </c>
      <c r="Y99" t="e">
        <f>_xll.BDP(#REF!,Y$2)</f>
        <v>#REF!</v>
      </c>
      <c r="Z99" t="e">
        <f>_xll.BDP(#REF!,Z$2)</f>
        <v>#REF!</v>
      </c>
      <c r="AA99" t="e">
        <f>_xll.BDP(#REF!,AA$2)</f>
        <v>#REF!</v>
      </c>
      <c r="AD99">
        <f ca="1">IF(LEFT(_xll.BDP($T99,AD$2),4)="#N/A",-1,_xll.BDP($T99,AD$2))</f>
        <v>-1</v>
      </c>
    </row>
    <row r="100" spans="1:30">
      <c r="A100">
        <f ca="1"/>
        <v>172</v>
      </c>
      <c r="B100" t="str">
        <f ca="1"/>
        <v>iW Partners - DCM SYSTEMATIC FUND</v>
      </c>
      <c r="C100" t="str">
        <f ca="1"/>
        <v>iW - DCM SYSTEMATIC FUND</v>
      </c>
      <c r="D100">
        <f ca="1"/>
        <v>73630</v>
      </c>
      <c r="E100" t="str">
        <f ca="1"/>
        <v>iW Partners - DIVERSIFIED ALPHA</v>
      </c>
      <c r="F100" t="str">
        <f ca="1"/>
        <v>DIVERSIFIED ALPHA</v>
      </c>
      <c r="G100">
        <f ca="1"/>
        <v>147</v>
      </c>
      <c r="H100" t="str">
        <f ca="1"/>
        <v>Pictet Fund Accounting</v>
      </c>
      <c r="I100" t="str">
        <f ca="1"/>
        <v>17472910-0</v>
      </c>
      <c r="J100" s="50">
        <f ca="1"/>
        <v>44773</v>
      </c>
      <c r="K100">
        <f ca="1"/>
        <v>-682544.18</v>
      </c>
      <c r="L100" t="str">
        <f ca="1"/>
        <v>73952-0</v>
      </c>
      <c r="M100" t="str">
        <f ca="1"/>
        <v>Provision performance fees P</v>
      </c>
      <c r="N100" t="str">
        <f ca="1"/>
        <v>USD</v>
      </c>
      <c r="O100" t="str">
        <f ca="1"/>
        <v>Uncategorized (Treasury)</v>
      </c>
      <c r="P100" t="str">
        <f ca="1"/>
        <v/>
      </c>
      <c r="Q100" t="str">
        <f ca="1"/>
        <v/>
      </c>
      <c r="R100" t="str">
        <f ca="1"/>
        <v/>
      </c>
      <c r="S100" t="str">
        <f ca="1"/>
        <v/>
      </c>
      <c r="T100" t="str">
        <f ca="1"/>
        <v/>
      </c>
      <c r="U100">
        <f ca="1">IF(LEFT(_xll.BDP($T100,U$2),4)="#N/A",0,_xll.BDP($T100,U$2))</f>
        <v>0</v>
      </c>
      <c r="V100" t="e">
        <f>_xll.BDP(#REF!,V$2)</f>
        <v>#REF!</v>
      </c>
      <c r="W100" t="e">
        <f>_xll.BDP(#REF!,W$2)</f>
        <v>#REF!</v>
      </c>
      <c r="X100" t="e">
        <f>_xll.BDP(#REF!,X$2)</f>
        <v>#REF!</v>
      </c>
      <c r="Y100" t="e">
        <f>_xll.BDP(#REF!,Y$2)</f>
        <v>#REF!</v>
      </c>
      <c r="Z100" t="e">
        <f>_xll.BDP(#REF!,Z$2)</f>
        <v>#REF!</v>
      </c>
      <c r="AA100" t="e">
        <f>_xll.BDP(#REF!,AA$2)</f>
        <v>#REF!</v>
      </c>
      <c r="AD100">
        <f ca="1">IF(LEFT(_xll.BDP($T100,AD$2),4)="#N/A",-1,_xll.BDP($T100,AD$2))</f>
        <v>-1</v>
      </c>
    </row>
    <row r="101" spans="1:30">
      <c r="A101">
        <f ca="1"/>
        <v>172</v>
      </c>
      <c r="B101" t="str">
        <f ca="1"/>
        <v>iW Partners - DCM SYSTEMATIC FUND</v>
      </c>
      <c r="C101" t="str">
        <f ca="1"/>
        <v>iW - DCM SYSTEMATIC FUND</v>
      </c>
      <c r="D101">
        <f ca="1"/>
        <v>73630</v>
      </c>
      <c r="E101" t="str">
        <f ca="1"/>
        <v>iW Partners - DIVERSIFIED ALPHA</v>
      </c>
      <c r="F101" t="str">
        <f ca="1"/>
        <v>DIVERSIFIED ALPHA</v>
      </c>
      <c r="G101">
        <f ca="1"/>
        <v>147</v>
      </c>
      <c r="H101" t="str">
        <f ca="1"/>
        <v>Pictet Fund Accounting</v>
      </c>
      <c r="I101" t="str">
        <f ca="1"/>
        <v>17472884-0</v>
      </c>
      <c r="J101" s="50">
        <f ca="1"/>
        <v>44773</v>
      </c>
      <c r="K101">
        <f ca="1"/>
        <v>-208242.69</v>
      </c>
      <c r="L101" t="str">
        <f ca="1"/>
        <v>73924-0</v>
      </c>
      <c r="M101" t="str">
        <f ca="1"/>
        <v>Provision performance fees S</v>
      </c>
      <c r="N101" t="str">
        <f ca="1"/>
        <v>USD</v>
      </c>
      <c r="O101" t="str">
        <f ca="1"/>
        <v>Uncategorized (Treasury)</v>
      </c>
      <c r="P101" t="str">
        <f ca="1"/>
        <v/>
      </c>
      <c r="Q101" t="str">
        <f ca="1"/>
        <v/>
      </c>
      <c r="R101" t="str">
        <f ca="1"/>
        <v/>
      </c>
      <c r="S101" t="str">
        <f ca="1"/>
        <v/>
      </c>
      <c r="T101" t="str">
        <f ca="1"/>
        <v/>
      </c>
      <c r="U101">
        <f ca="1">IF(LEFT(_xll.BDP($T101,U$2),4)="#N/A",0,_xll.BDP($T101,U$2))</f>
        <v>0</v>
      </c>
      <c r="V101" t="e">
        <f>_xll.BDP(#REF!,V$2)</f>
        <v>#REF!</v>
      </c>
      <c r="W101" t="e">
        <f>_xll.BDP(#REF!,W$2)</f>
        <v>#REF!</v>
      </c>
      <c r="X101" t="e">
        <f>_xll.BDP(#REF!,X$2)</f>
        <v>#REF!</v>
      </c>
      <c r="Y101" t="e">
        <f>_xll.BDP(#REF!,Y$2)</f>
        <v>#REF!</v>
      </c>
      <c r="Z101" t="e">
        <f>_xll.BDP(#REF!,Z$2)</f>
        <v>#REF!</v>
      </c>
      <c r="AA101" t="e">
        <f>_xll.BDP(#REF!,AA$2)</f>
        <v>#REF!</v>
      </c>
      <c r="AD101">
        <f ca="1">IF(LEFT(_xll.BDP($T101,AD$2),4)="#N/A",-1,_xll.BDP($T101,AD$2))</f>
        <v>-1</v>
      </c>
    </row>
    <row r="102" spans="1:30">
      <c r="A102">
        <f ca="1"/>
        <v>172</v>
      </c>
      <c r="B102" t="str">
        <f ca="1"/>
        <v>iW Partners - DCM SYSTEMATIC FUND</v>
      </c>
      <c r="C102" t="str">
        <f ca="1"/>
        <v>iW - DCM SYSTEMATIC FUND</v>
      </c>
      <c r="D102">
        <f ca="1"/>
        <v>73630</v>
      </c>
      <c r="E102" t="str">
        <f ca="1"/>
        <v>iW Partners - DIVERSIFIED ALPHA</v>
      </c>
      <c r="F102" t="str">
        <f ca="1"/>
        <v>DIVERSIFIED ALPHA</v>
      </c>
      <c r="G102">
        <f ca="1"/>
        <v>147</v>
      </c>
      <c r="H102" t="str">
        <f ca="1"/>
        <v>Pictet Fund Accounting</v>
      </c>
      <c r="I102" t="str">
        <f ca="1"/>
        <v>17472834-0</v>
      </c>
      <c r="J102" s="50">
        <f ca="1"/>
        <v>44773</v>
      </c>
      <c r="K102">
        <f ca="1"/>
        <v>-129.69</v>
      </c>
      <c r="L102" t="str">
        <f ca="1"/>
        <v>121515-0</v>
      </c>
      <c r="M102" t="str">
        <f ca="1"/>
        <v>Provision Transfer Agency</v>
      </c>
      <c r="N102" t="str">
        <f ca="1"/>
        <v>USD</v>
      </c>
      <c r="O102" t="str">
        <f ca="1"/>
        <v>Uncategorized (Treasury)</v>
      </c>
      <c r="P102" t="str">
        <f ca="1"/>
        <v/>
      </c>
      <c r="Q102" t="str">
        <f ca="1"/>
        <v/>
      </c>
      <c r="R102" t="str">
        <f ca="1"/>
        <v/>
      </c>
      <c r="S102" t="str">
        <f ca="1"/>
        <v/>
      </c>
      <c r="T102" t="str">
        <f ca="1"/>
        <v/>
      </c>
      <c r="U102">
        <f ca="1">IF(LEFT(_xll.BDP($T102,U$2),4)="#N/A",0,_xll.BDP($T102,U$2))</f>
        <v>0</v>
      </c>
      <c r="V102" t="e">
        <f>_xll.BDP(#REF!,V$2)</f>
        <v>#REF!</v>
      </c>
      <c r="W102" t="e">
        <f>_xll.BDP(#REF!,W$2)</f>
        <v>#REF!</v>
      </c>
      <c r="X102" t="e">
        <f>_xll.BDP(#REF!,X$2)</f>
        <v>#REF!</v>
      </c>
      <c r="Y102" t="e">
        <f>_xll.BDP(#REF!,Y$2)</f>
        <v>#REF!</v>
      </c>
      <c r="Z102" t="e">
        <f>_xll.BDP(#REF!,Z$2)</f>
        <v>#REF!</v>
      </c>
      <c r="AA102" t="e">
        <f>_xll.BDP(#REF!,AA$2)</f>
        <v>#REF!</v>
      </c>
      <c r="AD102">
        <f ca="1">IF(LEFT(_xll.BDP($T102,AD$2),4)="#N/A",-1,_xll.BDP($T102,AD$2))</f>
        <v>-1</v>
      </c>
    </row>
    <row r="103" spans="1:30">
      <c r="A103">
        <f ca="1"/>
        <v>172</v>
      </c>
      <c r="B103" t="str">
        <f ca="1"/>
        <v>iW Partners - DCM SYSTEMATIC FUND</v>
      </c>
      <c r="C103" t="str">
        <f ca="1"/>
        <v>iW - DCM SYSTEMATIC FUND</v>
      </c>
      <c r="D103">
        <f ca="1"/>
        <v>73630</v>
      </c>
      <c r="E103" t="str">
        <f ca="1"/>
        <v>iW Partners - DIVERSIFIED ALPHA</v>
      </c>
      <c r="F103" t="str">
        <f ca="1"/>
        <v>DIVERSIFIED ALPHA</v>
      </c>
      <c r="G103">
        <f ca="1"/>
        <v>147</v>
      </c>
      <c r="H103" t="str">
        <f ca="1"/>
        <v>Pictet Fund Accounting</v>
      </c>
      <c r="I103" t="str">
        <f ca="1"/>
        <v>17472902-0</v>
      </c>
      <c r="J103" s="50">
        <f ca="1"/>
        <v>44773</v>
      </c>
      <c r="K103">
        <f ca="1"/>
        <v>-86.45</v>
      </c>
      <c r="L103" t="str">
        <f ca="1"/>
        <v>67888-0</v>
      </c>
      <c r="M103" t="str">
        <f ca="1"/>
        <v>Provision VAT Declaration</v>
      </c>
      <c r="N103" t="str">
        <f ca="1"/>
        <v>USD</v>
      </c>
      <c r="O103" t="str">
        <f ca="1"/>
        <v>Uncategorized (Treasury)</v>
      </c>
      <c r="P103" t="str">
        <f ca="1"/>
        <v/>
      </c>
      <c r="Q103" t="str">
        <f ca="1"/>
        <v/>
      </c>
      <c r="R103" t="str">
        <f ca="1"/>
        <v/>
      </c>
      <c r="S103" t="str">
        <f ca="1"/>
        <v/>
      </c>
      <c r="T103" t="str">
        <f ca="1"/>
        <v/>
      </c>
      <c r="U103">
        <f ca="1">IF(LEFT(_xll.BDP($T103,U$2),4)="#N/A",0,_xll.BDP($T103,U$2))</f>
        <v>0</v>
      </c>
      <c r="V103" t="e">
        <f>_xll.BDP(#REF!,V$2)</f>
        <v>#REF!</v>
      </c>
      <c r="W103" t="e">
        <f>_xll.BDP(#REF!,W$2)</f>
        <v>#REF!</v>
      </c>
      <c r="X103" t="e">
        <f>_xll.BDP(#REF!,X$2)</f>
        <v>#REF!</v>
      </c>
      <c r="Y103" t="e">
        <f>_xll.BDP(#REF!,Y$2)</f>
        <v>#REF!</v>
      </c>
      <c r="Z103" t="e">
        <f>_xll.BDP(#REF!,Z$2)</f>
        <v>#REF!</v>
      </c>
      <c r="AA103" t="e">
        <f>_xll.BDP(#REF!,AA$2)</f>
        <v>#REF!</v>
      </c>
      <c r="AD103">
        <f ca="1">IF(LEFT(_xll.BDP($T103,AD$2),4)="#N/A",-1,_xll.BDP($T103,AD$2))</f>
        <v>-1</v>
      </c>
    </row>
    <row r="104" spans="1:30">
      <c r="A104">
        <f ca="1"/>
        <v>192</v>
      </c>
      <c r="B104" t="str">
        <f ca="1"/>
        <v>iW - NS</v>
      </c>
      <c r="C104" t="str">
        <f ca="1"/>
        <v>iW - NS</v>
      </c>
      <c r="D104">
        <f ca="1"/>
        <v>110311</v>
      </c>
      <c r="E104" t="str">
        <f ca="1"/>
        <v>iW - BALANCED</v>
      </c>
      <c r="F104" t="str">
        <f ca="1"/>
        <v>BALANCED</v>
      </c>
      <c r="G104">
        <f ca="1"/>
        <v>147</v>
      </c>
      <c r="H104" t="str">
        <f ca="1"/>
        <v>Pictet Fund Accounting</v>
      </c>
      <c r="I104" t="str">
        <f ca="1"/>
        <v>17202939-0</v>
      </c>
      <c r="J104" s="50">
        <f ca="1"/>
        <v>44742</v>
      </c>
      <c r="K104">
        <f ca="1"/>
        <v>340162.99</v>
      </c>
      <c r="L104" t="str">
        <f ca="1"/>
        <v>60578-0</v>
      </c>
      <c r="M104" t="str">
        <f ca="1"/>
        <v>Current account Pictet &amp; Cie (Europe) S.A. @@@</v>
      </c>
      <c r="N104" t="str">
        <f ca="1"/>
        <v>USD</v>
      </c>
      <c r="O104" t="str">
        <f ca="1"/>
        <v>Cash</v>
      </c>
      <c r="P104" t="str">
        <f ca="1"/>
        <v/>
      </c>
      <c r="Q104" t="str">
        <f ca="1"/>
        <v/>
      </c>
      <c r="R104" t="str">
        <f ca="1"/>
        <v/>
      </c>
      <c r="S104" t="str">
        <f ca="1"/>
        <v/>
      </c>
      <c r="T104" t="str">
        <f ca="1"/>
        <v/>
      </c>
      <c r="U104">
        <f ca="1">IF(LEFT(_xll.BDP($T104,U$2),4)="#N/A",0,_xll.BDP($T104,U$2))</f>
        <v>0</v>
      </c>
      <c r="V104" t="e">
        <f>_xll.BDP(#REF!,V$2)</f>
        <v>#REF!</v>
      </c>
      <c r="W104" t="e">
        <f>_xll.BDP(#REF!,W$2)</f>
        <v>#REF!</v>
      </c>
      <c r="X104" t="e">
        <f>_xll.BDP(#REF!,X$2)</f>
        <v>#REF!</v>
      </c>
      <c r="Y104" t="e">
        <f>_xll.BDP(#REF!,Y$2)</f>
        <v>#REF!</v>
      </c>
      <c r="Z104" t="e">
        <f>_xll.BDP(#REF!,Z$2)</f>
        <v>#REF!</v>
      </c>
      <c r="AA104" t="e">
        <f>_xll.BDP(#REF!,AA$2)</f>
        <v>#REF!</v>
      </c>
      <c r="AD104">
        <f ca="1">IF(LEFT(_xll.BDP($T104,AD$2),4)="#N/A",-1,_xll.BDP($T104,AD$2))</f>
        <v>-1</v>
      </c>
    </row>
    <row r="105" spans="1:30">
      <c r="A105">
        <f ca="1"/>
        <v>192</v>
      </c>
      <c r="B105" t="str">
        <f ca="1"/>
        <v>iW - NS</v>
      </c>
      <c r="C105" t="str">
        <f ca="1"/>
        <v>iW - NS</v>
      </c>
      <c r="D105">
        <f ca="1"/>
        <v>110311</v>
      </c>
      <c r="E105" t="str">
        <f ca="1"/>
        <v>iW - BALANCED</v>
      </c>
      <c r="F105" t="str">
        <f ca="1"/>
        <v>BALANCED</v>
      </c>
      <c r="G105">
        <f ca="1"/>
        <v>147</v>
      </c>
      <c r="H105" t="str">
        <f ca="1"/>
        <v>Pictet Fund Accounting</v>
      </c>
      <c r="I105" t="str">
        <f ca="1"/>
        <v>17202984-0</v>
      </c>
      <c r="J105" s="50">
        <f ca="1"/>
        <v>44742</v>
      </c>
      <c r="K105">
        <f ca="1"/>
        <v>20300</v>
      </c>
      <c r="L105" t="str">
        <f ca="1"/>
        <v>111976-0</v>
      </c>
      <c r="M105" t="str">
        <f ca="1"/>
        <v>GLOBAL FASHION GROUP</v>
      </c>
      <c r="N105" t="str">
        <f ca="1"/>
        <v>EUR</v>
      </c>
      <c r="O105" t="str">
        <f ca="1"/>
        <v>Equity</v>
      </c>
      <c r="P105" t="str">
        <f ca="1"/>
        <v/>
      </c>
      <c r="Q105" t="str">
        <f ca="1"/>
        <v/>
      </c>
      <c r="R105" t="str">
        <f ca="1"/>
        <v>LU2010095458</v>
      </c>
      <c r="S105" t="str">
        <f ca="1"/>
        <v/>
      </c>
      <c r="T105" t="str">
        <f ca="1"/>
        <v>GFG GY Equity</v>
      </c>
      <c r="U105">
        <f ca="1">IF(LEFT(_xll.BDP($T105,U$2),4)="#N/A",0,_xll.BDP($T105,U$2))</f>
        <v>0</v>
      </c>
      <c r="V105" t="e">
        <f>_xll.BDP(#REF!,V$2)</f>
        <v>#REF!</v>
      </c>
      <c r="W105" t="e">
        <f>_xll.BDP(#REF!,W$2)</f>
        <v>#REF!</v>
      </c>
      <c r="X105" t="e">
        <f>_xll.BDP(#REF!,X$2)</f>
        <v>#REF!</v>
      </c>
      <c r="Y105" t="e">
        <f>_xll.BDP(#REF!,Y$2)</f>
        <v>#REF!</v>
      </c>
      <c r="Z105" t="e">
        <f>_xll.BDP(#REF!,Z$2)</f>
        <v>#REF!</v>
      </c>
      <c r="AA105" t="e">
        <f>_xll.BDP(#REF!,AA$2)</f>
        <v>#REF!</v>
      </c>
      <c r="AD105">
        <f ca="1">IF(LEFT(_xll.BDP($T105,AD$2),4)="#N/A",-1,_xll.BDP($T105,AD$2))</f>
        <v>381377.2</v>
      </c>
    </row>
    <row r="106" spans="1:30">
      <c r="A106">
        <f ca="1"/>
        <v>192</v>
      </c>
      <c r="B106" t="str">
        <f ca="1"/>
        <v>iW - NS</v>
      </c>
      <c r="C106" t="str">
        <f ca="1"/>
        <v>iW - NS</v>
      </c>
      <c r="D106">
        <f ca="1"/>
        <v>110311</v>
      </c>
      <c r="E106" t="str">
        <f ca="1"/>
        <v>iW - BALANCED</v>
      </c>
      <c r="F106" t="str">
        <f ca="1"/>
        <v>BALANCED</v>
      </c>
      <c r="G106">
        <f ca="1"/>
        <v>147</v>
      </c>
      <c r="H106" t="str">
        <f ca="1"/>
        <v>Pictet Fund Accounting</v>
      </c>
      <c r="I106" t="str">
        <f ca="1"/>
        <v>17202941-0</v>
      </c>
      <c r="J106" s="50">
        <f ca="1"/>
        <v>44742</v>
      </c>
      <c r="K106">
        <f ca="1"/>
        <v>3200</v>
      </c>
      <c r="L106" t="str">
        <f ca="1"/>
        <v>111957-0</v>
      </c>
      <c r="M106" t="str">
        <f ca="1"/>
        <v>ZALANDO</v>
      </c>
      <c r="N106" t="str">
        <f ca="1"/>
        <v>EUR</v>
      </c>
      <c r="O106" t="str">
        <f ca="1"/>
        <v>Equity</v>
      </c>
      <c r="P106" t="str">
        <f ca="1"/>
        <v/>
      </c>
      <c r="Q106" t="str">
        <f ca="1"/>
        <v/>
      </c>
      <c r="R106" t="str">
        <f ca="1"/>
        <v>DE000ZAL1111</v>
      </c>
      <c r="S106" t="str">
        <f ca="1"/>
        <v/>
      </c>
      <c r="T106" t="str">
        <f ca="1"/>
        <v>ZAL GY Equity</v>
      </c>
      <c r="U106">
        <f ca="1">IF(LEFT(_xll.BDP($T106,U$2),4)="#N/A",0,_xll.BDP($T106,U$2))</f>
        <v>0</v>
      </c>
      <c r="V106" t="e">
        <f>_xll.BDP(#REF!,V$2)</f>
        <v>#REF!</v>
      </c>
      <c r="W106" t="e">
        <f>_xll.BDP(#REF!,W$2)</f>
        <v>#REF!</v>
      </c>
      <c r="X106" t="e">
        <f>_xll.BDP(#REF!,X$2)</f>
        <v>#REF!</v>
      </c>
      <c r="Y106" t="e">
        <f>_xll.BDP(#REF!,Y$2)</f>
        <v>#REF!</v>
      </c>
      <c r="Z106" t="e">
        <f>_xll.BDP(#REF!,Z$2)</f>
        <v>#REF!</v>
      </c>
      <c r="AA106" t="e">
        <f>_xll.BDP(#REF!,AA$2)</f>
        <v>#REF!</v>
      </c>
      <c r="AD106">
        <f ca="1">IF(LEFT(_xll.BDP($T106,AD$2),4)="#N/A",-1,_xll.BDP($T106,AD$2))</f>
        <v>1308830</v>
      </c>
    </row>
    <row r="107" spans="1:30">
      <c r="A107">
        <f ca="1"/>
        <v>192</v>
      </c>
      <c r="B107" t="str">
        <f ca="1"/>
        <v>iW - NS</v>
      </c>
      <c r="C107" t="str">
        <f ca="1"/>
        <v>iW - NS</v>
      </c>
      <c r="D107">
        <f ca="1"/>
        <v>110311</v>
      </c>
      <c r="E107" t="str">
        <f ca="1"/>
        <v>iW - BALANCED</v>
      </c>
      <c r="F107" t="str">
        <f ca="1"/>
        <v>BALANCED</v>
      </c>
      <c r="G107">
        <f ca="1"/>
        <v>147</v>
      </c>
      <c r="H107" t="str">
        <f ca="1"/>
        <v>Pictet Fund Accounting</v>
      </c>
      <c r="I107" t="str">
        <f ca="1"/>
        <v>17202959-0</v>
      </c>
      <c r="J107" s="50">
        <f ca="1"/>
        <v>44742</v>
      </c>
      <c r="K107">
        <f ca="1"/>
        <v>12700</v>
      </c>
      <c r="L107" t="str">
        <f ca="1"/>
        <v>131751-0</v>
      </c>
      <c r="M107" t="str">
        <f ca="1"/>
        <v>ISHARES GLOBAL TECH ETF</v>
      </c>
      <c r="N107" t="str">
        <f ca="1"/>
        <v>USD</v>
      </c>
      <c r="O107" t="str">
        <f ca="1"/>
        <v>Exchange-traded Fund</v>
      </c>
      <c r="P107" t="str">
        <f ca="1"/>
        <v/>
      </c>
      <c r="Q107" t="str">
        <f ca="1"/>
        <v/>
      </c>
      <c r="R107" t="str">
        <f ca="1"/>
        <v>US4642872919</v>
      </c>
      <c r="S107" t="str">
        <f ca="1"/>
        <v/>
      </c>
      <c r="T107" t="str">
        <f ca="1"/>
        <v>IXN UP Equity</v>
      </c>
      <c r="U107">
        <f ca="1">IF(LEFT(_xll.BDP($T107,U$2),4)="#N/A",0,_xll.BDP($T107,U$2))</f>
        <v>0</v>
      </c>
      <c r="V107" t="e">
        <f>_xll.BDP(#REF!,V$2)</f>
        <v>#REF!</v>
      </c>
      <c r="W107" t="e">
        <f>_xll.BDP(#REF!,W$2)</f>
        <v>#REF!</v>
      </c>
      <c r="X107" t="e">
        <f>_xll.BDP(#REF!,X$2)</f>
        <v>#REF!</v>
      </c>
      <c r="Y107" t="e">
        <f>_xll.BDP(#REF!,Y$2)</f>
        <v>#REF!</v>
      </c>
      <c r="Z107" t="e">
        <f>_xll.BDP(#REF!,Z$2)</f>
        <v>#REF!</v>
      </c>
      <c r="AA107" t="e">
        <f>_xll.BDP(#REF!,AA$2)</f>
        <v>#REF!</v>
      </c>
      <c r="AD107">
        <f ca="1">IF(LEFT(_xll.BDP($T107,AD$2),4)="#N/A",-1,_xll.BDP($T107,AD$2))</f>
        <v>74557.5</v>
      </c>
    </row>
    <row r="108" spans="1:30">
      <c r="A108">
        <f ca="1"/>
        <v>192</v>
      </c>
      <c r="B108" t="str">
        <f ca="1"/>
        <v>iW - NS</v>
      </c>
      <c r="C108" t="str">
        <f ca="1"/>
        <v>iW - NS</v>
      </c>
      <c r="D108">
        <f ca="1"/>
        <v>110311</v>
      </c>
      <c r="E108" t="str">
        <f ca="1"/>
        <v>iW - BALANCED</v>
      </c>
      <c r="F108" t="str">
        <f ca="1"/>
        <v>BALANCED</v>
      </c>
      <c r="G108">
        <f ca="1"/>
        <v>147</v>
      </c>
      <c r="H108" t="str">
        <f ca="1"/>
        <v>Pictet Fund Accounting</v>
      </c>
      <c r="I108" t="str">
        <f ca="1"/>
        <v>17202946-0</v>
      </c>
      <c r="J108" s="50">
        <f ca="1"/>
        <v>44742</v>
      </c>
      <c r="K108">
        <f ca="1"/>
        <v>17200</v>
      </c>
      <c r="L108" t="str">
        <f ca="1"/>
        <v>111961-0</v>
      </c>
      <c r="M108" t="str">
        <f ca="1"/>
        <v>ISHARES MBS ETF USD</v>
      </c>
      <c r="N108" t="str">
        <f ca="1"/>
        <v>USD</v>
      </c>
      <c r="O108" t="str">
        <f ca="1"/>
        <v>Exchange-traded Fund</v>
      </c>
      <c r="P108" t="str">
        <f ca="1"/>
        <v/>
      </c>
      <c r="Q108" t="str">
        <f ca="1"/>
        <v/>
      </c>
      <c r="R108" t="str">
        <f ca="1"/>
        <v>US4642885887</v>
      </c>
      <c r="S108" t="str">
        <f ca="1"/>
        <v/>
      </c>
      <c r="T108" t="str">
        <f ca="1"/>
        <v>MBB UQ Equity</v>
      </c>
      <c r="U108">
        <f ca="1">IF(LEFT(_xll.BDP($T108,U$2),4)="#N/A",0,_xll.BDP($T108,U$2))</f>
        <v>0</v>
      </c>
      <c r="V108" t="e">
        <f>_xll.BDP(#REF!,V$2)</f>
        <v>#REF!</v>
      </c>
      <c r="W108" t="e">
        <f>_xll.BDP(#REF!,W$2)</f>
        <v>#REF!</v>
      </c>
      <c r="X108" t="e">
        <f>_xll.BDP(#REF!,X$2)</f>
        <v>#REF!</v>
      </c>
      <c r="Y108" t="e">
        <f>_xll.BDP(#REF!,Y$2)</f>
        <v>#REF!</v>
      </c>
      <c r="Z108" t="e">
        <f>_xll.BDP(#REF!,Z$2)</f>
        <v>#REF!</v>
      </c>
      <c r="AA108" t="e">
        <f>_xll.BDP(#REF!,AA$2)</f>
        <v>#REF!</v>
      </c>
      <c r="AD108">
        <f ca="1">IF(LEFT(_xll.BDP($T108,AD$2),4)="#N/A",-1,_xll.BDP($T108,AD$2))</f>
        <v>209612.703125</v>
      </c>
    </row>
    <row r="109" spans="1:30">
      <c r="A109">
        <f ca="1"/>
        <v>192</v>
      </c>
      <c r="B109" t="str">
        <f ca="1"/>
        <v>iW - NS</v>
      </c>
      <c r="C109" t="str">
        <f ca="1"/>
        <v>iW - NS</v>
      </c>
      <c r="D109">
        <f ca="1"/>
        <v>110311</v>
      </c>
      <c r="E109" t="str">
        <f ca="1"/>
        <v>iW - BALANCED</v>
      </c>
      <c r="F109" t="str">
        <f ca="1"/>
        <v>BALANCED</v>
      </c>
      <c r="G109">
        <f ca="1"/>
        <v>147</v>
      </c>
      <c r="H109" t="str">
        <f ca="1"/>
        <v>Pictet Fund Accounting</v>
      </c>
      <c r="I109" t="str">
        <f ca="1"/>
        <v>17202942-0</v>
      </c>
      <c r="J109" s="50">
        <f ca="1"/>
        <v>44742</v>
      </c>
      <c r="K109">
        <f ca="1"/>
        <v>27600</v>
      </c>
      <c r="L109" t="str">
        <f ca="1"/>
        <v>111958-0</v>
      </c>
      <c r="M109" t="str">
        <f ca="1"/>
        <v>ISHARES MSCI ACWI ETF</v>
      </c>
      <c r="N109" t="str">
        <f ca="1"/>
        <v>USD</v>
      </c>
      <c r="O109" t="str">
        <f ca="1"/>
        <v>Exchange-traded Fund</v>
      </c>
      <c r="P109" t="str">
        <f ca="1"/>
        <v/>
      </c>
      <c r="Q109" t="str">
        <f ca="1"/>
        <v/>
      </c>
      <c r="R109" t="str">
        <f ca="1"/>
        <v>US4642882579</v>
      </c>
      <c r="S109" t="str">
        <f ca="1"/>
        <v/>
      </c>
      <c r="T109" t="str">
        <f ca="1"/>
        <v>ACWI UQ Equity</v>
      </c>
      <c r="U109">
        <f ca="1">IF(LEFT(_xll.BDP($T109,U$2),4)="#N/A",0,_xll.BDP($T109,U$2))</f>
        <v>0</v>
      </c>
      <c r="V109" t="e">
        <f>_xll.BDP(#REF!,V$2)</f>
        <v>#REF!</v>
      </c>
      <c r="W109" t="e">
        <f>_xll.BDP(#REF!,W$2)</f>
        <v>#REF!</v>
      </c>
      <c r="X109" t="e">
        <f>_xll.BDP(#REF!,X$2)</f>
        <v>#REF!</v>
      </c>
      <c r="Y109" t="e">
        <f>_xll.BDP(#REF!,Y$2)</f>
        <v>#REF!</v>
      </c>
      <c r="Z109" t="e">
        <f>_xll.BDP(#REF!,Z$2)</f>
        <v>#REF!</v>
      </c>
      <c r="AA109" t="e">
        <f>_xll.BDP(#REF!,AA$2)</f>
        <v>#REF!</v>
      </c>
      <c r="AD109">
        <f ca="1">IF(LEFT(_xll.BDP($T109,AD$2),4)="#N/A",-1,_xll.BDP($T109,AD$2))</f>
        <v>688319.4375</v>
      </c>
    </row>
    <row r="110" spans="1:30">
      <c r="A110">
        <f ca="1"/>
        <v>192</v>
      </c>
      <c r="B110" t="str">
        <f ca="1"/>
        <v>iW - NS</v>
      </c>
      <c r="C110" t="str">
        <f ca="1"/>
        <v>iW - NS</v>
      </c>
      <c r="D110">
        <f ca="1"/>
        <v>110311</v>
      </c>
      <c r="E110" t="str">
        <f ca="1"/>
        <v>iW - BALANCED</v>
      </c>
      <c r="F110" t="str">
        <f ca="1"/>
        <v>BALANCED</v>
      </c>
      <c r="G110">
        <f ca="1"/>
        <v>147</v>
      </c>
      <c r="H110" t="str">
        <f ca="1"/>
        <v>Pictet Fund Accounting</v>
      </c>
      <c r="I110" t="str">
        <f ca="1"/>
        <v>17202967-0</v>
      </c>
      <c r="J110" s="50">
        <f ca="1"/>
        <v>44742</v>
      </c>
      <c r="K110">
        <f ca="1"/>
        <v>2600</v>
      </c>
      <c r="L110" t="str">
        <f ca="1"/>
        <v>130373-0</v>
      </c>
      <c r="M110" t="str">
        <f ca="1"/>
        <v>KRANESHARES GLB CARBON STRA.ETF USD</v>
      </c>
      <c r="N110" t="str">
        <f ca="1"/>
        <v>USD</v>
      </c>
      <c r="O110" t="str">
        <f ca="1"/>
        <v>Exchange-traded Fund</v>
      </c>
      <c r="P110" t="str">
        <f ca="1"/>
        <v/>
      </c>
      <c r="Q110" t="str">
        <f ca="1"/>
        <v/>
      </c>
      <c r="R110" t="str">
        <f ca="1"/>
        <v>US5007676787</v>
      </c>
      <c r="S110" t="str">
        <f ca="1"/>
        <v/>
      </c>
      <c r="T110" t="str">
        <f ca="1"/>
        <v>KRBN UP Equity</v>
      </c>
      <c r="U110">
        <f ca="1">IF(LEFT(_xll.BDP($T110,U$2),4)="#N/A",0,_xll.BDP($T110,U$2))</f>
        <v>0</v>
      </c>
      <c r="V110" t="e">
        <f>_xll.BDP(#REF!,V$2)</f>
        <v>#REF!</v>
      </c>
      <c r="W110" t="e">
        <f>_xll.BDP(#REF!,W$2)</f>
        <v>#REF!</v>
      </c>
      <c r="X110" t="e">
        <f>_xll.BDP(#REF!,X$2)</f>
        <v>#REF!</v>
      </c>
      <c r="Y110" t="e">
        <f>_xll.BDP(#REF!,Y$2)</f>
        <v>#REF!</v>
      </c>
      <c r="Z110" t="e">
        <f>_xll.BDP(#REF!,Z$2)</f>
        <v>#REF!</v>
      </c>
      <c r="AA110" t="e">
        <f>_xll.BDP(#REF!,AA$2)</f>
        <v>#REF!</v>
      </c>
      <c r="AD110">
        <f ca="1">IF(LEFT(_xll.BDP($T110,AD$2),4)="#N/A",-1,_xll.BDP($T110,AD$2))</f>
        <v>63003</v>
      </c>
    </row>
    <row r="111" spans="1:30">
      <c r="A111">
        <f ca="1"/>
        <v>192</v>
      </c>
      <c r="B111" t="str">
        <f ca="1"/>
        <v>iW - NS</v>
      </c>
      <c r="C111" t="str">
        <f ca="1"/>
        <v>iW - NS</v>
      </c>
      <c r="D111">
        <f ca="1"/>
        <v>110311</v>
      </c>
      <c r="E111" t="str">
        <f ca="1"/>
        <v>iW - BALANCED</v>
      </c>
      <c r="F111" t="str">
        <f ca="1"/>
        <v>BALANCED</v>
      </c>
      <c r="G111">
        <f ca="1"/>
        <v>147</v>
      </c>
      <c r="H111" t="str">
        <f ca="1"/>
        <v>Pictet Fund Accounting</v>
      </c>
      <c r="I111" t="str">
        <f ca="1"/>
        <v>17202974-0</v>
      </c>
      <c r="J111" s="50">
        <f ca="1"/>
        <v>44742</v>
      </c>
      <c r="K111">
        <f ca="1"/>
        <v>8586.9889999999996</v>
      </c>
      <c r="L111" t="str">
        <f ca="1"/>
        <v>141436-0</v>
      </c>
      <c r="M111" t="str">
        <f ca="1"/>
        <v>ALMA PLAT.IV-DLD CONV.ARB.I1C-U USD</v>
      </c>
      <c r="N111" t="str">
        <f ca="1"/>
        <v>USD</v>
      </c>
      <c r="O111" t="str">
        <f ca="1"/>
        <v>Investment Fund</v>
      </c>
      <c r="P111" t="str">
        <f ca="1"/>
        <v/>
      </c>
      <c r="Q111" t="str">
        <f ca="1"/>
        <v/>
      </c>
      <c r="R111" t="str">
        <f ca="1"/>
        <v>LU2334539355</v>
      </c>
      <c r="S111" t="str">
        <f ca="1"/>
        <v/>
      </c>
      <c r="T111" t="str">
        <f ca="1"/>
        <v>ALDCAIU LX Equity</v>
      </c>
      <c r="U111">
        <f ca="1">IF(LEFT(_xll.BDP($T111,U$2),4)="#N/A",0,_xll.BDP($T111,U$2))</f>
        <v>0</v>
      </c>
      <c r="V111" t="e">
        <f>_xll.BDP(#REF!,V$2)</f>
        <v>#REF!</v>
      </c>
      <c r="W111" t="e">
        <f>_xll.BDP(#REF!,W$2)</f>
        <v>#REF!</v>
      </c>
      <c r="X111" t="e">
        <f>_xll.BDP(#REF!,X$2)</f>
        <v>#REF!</v>
      </c>
      <c r="Y111" t="e">
        <f>_xll.BDP(#REF!,Y$2)</f>
        <v>#REF!</v>
      </c>
      <c r="Z111" t="e">
        <f>_xll.BDP(#REF!,Z$2)</f>
        <v>#REF!</v>
      </c>
      <c r="AA111" t="e">
        <f>_xll.BDP(#REF!,AA$2)</f>
        <v>#REF!</v>
      </c>
      <c r="AD111">
        <f ca="1">IF(LEFT(_xll.BDP($T111,AD$2),4)="#N/A",-1,_xll.BDP($T111,AD$2))</f>
        <v>-1</v>
      </c>
    </row>
    <row r="112" spans="1:30">
      <c r="A112">
        <f ca="1"/>
        <v>192</v>
      </c>
      <c r="B112" t="str">
        <f ca="1"/>
        <v>iW - NS</v>
      </c>
      <c r="C112" t="str">
        <f ca="1"/>
        <v>iW - NS</v>
      </c>
      <c r="D112">
        <f ca="1"/>
        <v>110311</v>
      </c>
      <c r="E112" t="str">
        <f ca="1"/>
        <v>iW - BALANCED</v>
      </c>
      <c r="F112" t="str">
        <f ca="1"/>
        <v>BALANCED</v>
      </c>
      <c r="G112">
        <f ca="1"/>
        <v>147</v>
      </c>
      <c r="H112" t="str">
        <f ca="1"/>
        <v>Pictet Fund Accounting</v>
      </c>
      <c r="I112" t="str">
        <f ca="1"/>
        <v>17202938-0</v>
      </c>
      <c r="J112" s="50">
        <f ca="1"/>
        <v>44742</v>
      </c>
      <c r="K112">
        <f ca="1"/>
        <v>13810.72</v>
      </c>
      <c r="L112" t="str">
        <f ca="1"/>
        <v>123775-0</v>
      </c>
      <c r="M112" t="str">
        <f ca="1"/>
        <v>BLACKROCK SF-GL.EVENT DRIVEN D2 USD</v>
      </c>
      <c r="N112" t="str">
        <f ca="1"/>
        <v>USD</v>
      </c>
      <c r="O112" t="str">
        <f ca="1"/>
        <v>Investment Fund</v>
      </c>
      <c r="P112" t="str">
        <f ca="1"/>
        <v/>
      </c>
      <c r="Q112" t="str">
        <f ca="1"/>
        <v/>
      </c>
      <c r="R112" t="str">
        <f ca="1"/>
        <v>LU1251621188</v>
      </c>
      <c r="S112" t="str">
        <f ca="1"/>
        <v/>
      </c>
      <c r="T112" t="str">
        <f ca="1"/>
        <v>BSGEDD2 LX Equity</v>
      </c>
      <c r="U112">
        <f ca="1">IF(LEFT(_xll.BDP($T112,U$2),4)="#N/A",0,_xll.BDP($T112,U$2))</f>
        <v>0</v>
      </c>
      <c r="V112" t="e">
        <f>_xll.BDP(#REF!,V$2)</f>
        <v>#REF!</v>
      </c>
      <c r="W112" t="e">
        <f>_xll.BDP(#REF!,W$2)</f>
        <v>#REF!</v>
      </c>
      <c r="X112" t="e">
        <f>_xll.BDP(#REF!,X$2)</f>
        <v>#REF!</v>
      </c>
      <c r="Y112" t="e">
        <f>_xll.BDP(#REF!,Y$2)</f>
        <v>#REF!</v>
      </c>
      <c r="Z112" t="e">
        <f>_xll.BDP(#REF!,Z$2)</f>
        <v>#REF!</v>
      </c>
      <c r="AA112" t="e">
        <f>_xll.BDP(#REF!,AA$2)</f>
        <v>#REF!</v>
      </c>
      <c r="AD112">
        <f ca="1">IF(LEFT(_xll.BDP($T112,AD$2),4)="#N/A",-1,_xll.BDP($T112,AD$2))</f>
        <v>-1</v>
      </c>
    </row>
    <row r="113" spans="1:30">
      <c r="A113">
        <f ca="1"/>
        <v>192</v>
      </c>
      <c r="B113" t="str">
        <f ca="1"/>
        <v>iW - NS</v>
      </c>
      <c r="C113" t="str">
        <f ca="1"/>
        <v>iW - NS</v>
      </c>
      <c r="D113">
        <f ca="1"/>
        <v>110311</v>
      </c>
      <c r="E113" t="str">
        <f ca="1"/>
        <v>iW - BALANCED</v>
      </c>
      <c r="F113" t="str">
        <f ca="1"/>
        <v>BALANCED</v>
      </c>
      <c r="G113">
        <f ca="1"/>
        <v>147</v>
      </c>
      <c r="H113" t="str">
        <f ca="1"/>
        <v>Pictet Fund Accounting</v>
      </c>
      <c r="I113" t="str">
        <f ca="1"/>
        <v>17202949-0</v>
      </c>
      <c r="J113" s="50">
        <f ca="1"/>
        <v>44742</v>
      </c>
      <c r="K113">
        <f ca="1"/>
        <v>224.06253000000001</v>
      </c>
      <c r="L113" t="str">
        <f ca="1"/>
        <v>111963-0</v>
      </c>
      <c r="M113" t="str">
        <f ca="1"/>
        <v>BLUE MOUN.CREDIT ALT.S S06/17 ELIG</v>
      </c>
      <c r="N113" t="str">
        <f ca="1"/>
        <v>USD</v>
      </c>
      <c r="O113" t="str">
        <f ca="1"/>
        <v>Investment Fund</v>
      </c>
      <c r="P113" t="str">
        <f ca="1"/>
        <v/>
      </c>
      <c r="Q113" t="str">
        <f ca="1"/>
        <v/>
      </c>
      <c r="R113" t="str">
        <f ca="1"/>
        <v>ZZ00AAD7CS 0</v>
      </c>
      <c r="S113" t="str">
        <f ca="1"/>
        <v/>
      </c>
      <c r="T113" t="str">
        <f ca="1"/>
        <v/>
      </c>
      <c r="U113">
        <f ca="1">IF(LEFT(_xll.BDP($T113,U$2),4)="#N/A",0,_xll.BDP($T113,U$2))</f>
        <v>0</v>
      </c>
      <c r="V113" t="e">
        <f>_xll.BDP(#REF!,V$2)</f>
        <v>#REF!</v>
      </c>
      <c r="W113" t="e">
        <f>_xll.BDP(#REF!,W$2)</f>
        <v>#REF!</v>
      </c>
      <c r="X113" t="e">
        <f>_xll.BDP(#REF!,X$2)</f>
        <v>#REF!</v>
      </c>
      <c r="Y113" t="e">
        <f>_xll.BDP(#REF!,Y$2)</f>
        <v>#REF!</v>
      </c>
      <c r="Z113" t="e">
        <f>_xll.BDP(#REF!,Z$2)</f>
        <v>#REF!</v>
      </c>
      <c r="AA113" t="e">
        <f>_xll.BDP(#REF!,AA$2)</f>
        <v>#REF!</v>
      </c>
      <c r="AD113">
        <f ca="1">IF(LEFT(_xll.BDP($T113,AD$2),4)="#N/A",-1,_xll.BDP($T113,AD$2))</f>
        <v>-1</v>
      </c>
    </row>
    <row r="114" spans="1:30">
      <c r="A114">
        <f ca="1"/>
        <v>192</v>
      </c>
      <c r="B114" t="str">
        <f ca="1"/>
        <v>iW - NS</v>
      </c>
      <c r="C114" t="str">
        <f ca="1"/>
        <v>iW - NS</v>
      </c>
      <c r="D114">
        <f ca="1"/>
        <v>110311</v>
      </c>
      <c r="E114" t="str">
        <f ca="1"/>
        <v>iW - BALANCED</v>
      </c>
      <c r="F114" t="str">
        <f ca="1"/>
        <v>BALANCED</v>
      </c>
      <c r="G114">
        <f ca="1"/>
        <v>147</v>
      </c>
      <c r="H114" t="str">
        <f ca="1"/>
        <v>Pictet Fund Accounting</v>
      </c>
      <c r="I114" t="str">
        <f ca="1"/>
        <v>17202956-0</v>
      </c>
      <c r="J114" s="50">
        <f ca="1"/>
        <v>44742</v>
      </c>
      <c r="K114">
        <f ca="1"/>
        <v>11018.977999999999</v>
      </c>
      <c r="L114" t="str">
        <f ca="1"/>
        <v>111966-0</v>
      </c>
      <c r="M114" t="str">
        <f ca="1"/>
        <v>CARMIGNAC PTF-L/S EU.EQ.F USD H-ACC</v>
      </c>
      <c r="N114" t="str">
        <f ca="1"/>
        <v>USD</v>
      </c>
      <c r="O114" t="str">
        <f ca="1"/>
        <v>Investment Fund</v>
      </c>
      <c r="P114" t="str">
        <f ca="1"/>
        <v/>
      </c>
      <c r="Q114" t="str">
        <f ca="1"/>
        <v/>
      </c>
      <c r="R114" t="str">
        <f ca="1"/>
        <v>LU0992627538</v>
      </c>
      <c r="S114" t="str">
        <f ca="1"/>
        <v/>
      </c>
      <c r="T114" t="str">
        <f ca="1"/>
        <v>CARPPFU LX Equity</v>
      </c>
      <c r="U114">
        <f ca="1">IF(LEFT(_xll.BDP($T114,U$2),4)="#N/A",0,_xll.BDP($T114,U$2))</f>
        <v>0</v>
      </c>
      <c r="V114" t="e">
        <f>_xll.BDP(#REF!,V$2)</f>
        <v>#REF!</v>
      </c>
      <c r="W114" t="e">
        <f>_xll.BDP(#REF!,W$2)</f>
        <v>#REF!</v>
      </c>
      <c r="X114" t="e">
        <f>_xll.BDP(#REF!,X$2)</f>
        <v>#REF!</v>
      </c>
      <c r="Y114" t="e">
        <f>_xll.BDP(#REF!,Y$2)</f>
        <v>#REF!</v>
      </c>
      <c r="Z114" t="e">
        <f>_xll.BDP(#REF!,Z$2)</f>
        <v>#REF!</v>
      </c>
      <c r="AA114" t="e">
        <f>_xll.BDP(#REF!,AA$2)</f>
        <v>#REF!</v>
      </c>
      <c r="AD114">
        <f ca="1">IF(LEFT(_xll.BDP($T114,AD$2),4)="#N/A",-1,_xll.BDP($T114,AD$2))</f>
        <v>-1</v>
      </c>
    </row>
    <row r="115" spans="1:30">
      <c r="A115">
        <f ca="1"/>
        <v>192</v>
      </c>
      <c r="B115" t="str">
        <f ca="1"/>
        <v>iW - NS</v>
      </c>
      <c r="C115" t="str">
        <f ca="1"/>
        <v>iW - NS</v>
      </c>
      <c r="D115">
        <f ca="1"/>
        <v>110311</v>
      </c>
      <c r="E115" t="str">
        <f ca="1"/>
        <v>iW - BALANCED</v>
      </c>
      <c r="F115" t="str">
        <f ca="1"/>
        <v>BALANCED</v>
      </c>
      <c r="G115">
        <f ca="1"/>
        <v>147</v>
      </c>
      <c r="H115" t="str">
        <f ca="1"/>
        <v>Pictet Fund Accounting</v>
      </c>
      <c r="I115" t="str">
        <f ca="1"/>
        <v>17202971-0</v>
      </c>
      <c r="J115" s="50">
        <f ca="1"/>
        <v>44742</v>
      </c>
      <c r="K115">
        <f ca="1"/>
        <v>10085.802</v>
      </c>
      <c r="L115" t="str">
        <f ca="1"/>
        <v>111971-0</v>
      </c>
      <c r="M115" t="str">
        <f ca="1"/>
        <v>DCM SYSTEMATIC-DIVERS.ALPHA S USD</v>
      </c>
      <c r="N115" t="str">
        <f ca="1"/>
        <v>USD</v>
      </c>
      <c r="O115" t="str">
        <f ca="1"/>
        <v>Investment Fund</v>
      </c>
      <c r="P115" t="str">
        <f ca="1"/>
        <v/>
      </c>
      <c r="Q115" t="str">
        <f ca="1"/>
        <v/>
      </c>
      <c r="R115" t="str">
        <f ca="1"/>
        <v>LU1212744699</v>
      </c>
      <c r="S115" t="str">
        <f ca="1"/>
        <v/>
      </c>
      <c r="T115" t="str">
        <f ca="1"/>
        <v>DCMSYSU LX Equity</v>
      </c>
      <c r="U115">
        <f ca="1">IF(LEFT(_xll.BDP($T115,U$2),4)="#N/A",0,_xll.BDP($T115,U$2))</f>
        <v>0</v>
      </c>
      <c r="V115" t="e">
        <f>_xll.BDP(#REF!,V$2)</f>
        <v>#REF!</v>
      </c>
      <c r="W115" t="e">
        <f>_xll.BDP(#REF!,W$2)</f>
        <v>#REF!</v>
      </c>
      <c r="X115" t="e">
        <f>_xll.BDP(#REF!,X$2)</f>
        <v>#REF!</v>
      </c>
      <c r="Y115" t="e">
        <f>_xll.BDP(#REF!,Y$2)</f>
        <v>#REF!</v>
      </c>
      <c r="Z115" t="e">
        <f>_xll.BDP(#REF!,Z$2)</f>
        <v>#REF!</v>
      </c>
      <c r="AA115" t="e">
        <f>_xll.BDP(#REF!,AA$2)</f>
        <v>#REF!</v>
      </c>
      <c r="AD115">
        <f ca="1">IF(LEFT(_xll.BDP($T115,AD$2),4)="#N/A",-1,_xll.BDP($T115,AD$2))</f>
        <v>-1</v>
      </c>
    </row>
    <row r="116" spans="1:30">
      <c r="A116">
        <f ca="1"/>
        <v>192</v>
      </c>
      <c r="B116" t="str">
        <f ca="1"/>
        <v>iW - NS</v>
      </c>
      <c r="C116" t="str">
        <f ca="1"/>
        <v>iW - NS</v>
      </c>
      <c r="D116">
        <f ca="1"/>
        <v>110311</v>
      </c>
      <c r="E116" t="str">
        <f ca="1"/>
        <v>iW - BALANCED</v>
      </c>
      <c r="F116" t="str">
        <f ca="1"/>
        <v>BALANCED</v>
      </c>
      <c r="G116">
        <f ca="1"/>
        <v>147</v>
      </c>
      <c r="H116" t="str">
        <f ca="1"/>
        <v>Pictet Fund Accounting</v>
      </c>
      <c r="I116" t="str">
        <f ca="1"/>
        <v>17202983-0</v>
      </c>
      <c r="J116" s="50">
        <f ca="1"/>
        <v>44742</v>
      </c>
      <c r="K116">
        <f ca="1"/>
        <v>15217.848</v>
      </c>
      <c r="L116" t="str">
        <f ca="1"/>
        <v>119893-0</v>
      </c>
      <c r="M116" t="str">
        <f ca="1"/>
        <v>DMS PLATFORM-VELOX I2 USD-ACC</v>
      </c>
      <c r="N116" t="str">
        <f ca="1"/>
        <v>USD</v>
      </c>
      <c r="O116" t="str">
        <f ca="1"/>
        <v>Investment Fund</v>
      </c>
      <c r="P116" t="str">
        <f ca="1"/>
        <v/>
      </c>
      <c r="Q116" t="str">
        <f ca="1"/>
        <v/>
      </c>
      <c r="R116" t="str">
        <f ca="1"/>
        <v>LU1358059639</v>
      </c>
      <c r="S116" t="str">
        <f ca="1"/>
        <v/>
      </c>
      <c r="T116" t="str">
        <f ca="1"/>
        <v>VELOI2U LX Equity</v>
      </c>
      <c r="U116">
        <f ca="1">IF(LEFT(_xll.BDP($T116,U$2),4)="#N/A",0,_xll.BDP($T116,U$2))</f>
        <v>0</v>
      </c>
      <c r="V116" t="e">
        <f>_xll.BDP(#REF!,V$2)</f>
        <v>#REF!</v>
      </c>
      <c r="W116" t="e">
        <f>_xll.BDP(#REF!,W$2)</f>
        <v>#REF!</v>
      </c>
      <c r="X116" t="e">
        <f>_xll.BDP(#REF!,X$2)</f>
        <v>#REF!</v>
      </c>
      <c r="Y116" t="e">
        <f>_xll.BDP(#REF!,Y$2)</f>
        <v>#REF!</v>
      </c>
      <c r="Z116" t="e">
        <f>_xll.BDP(#REF!,Z$2)</f>
        <v>#REF!</v>
      </c>
      <c r="AA116" t="e">
        <f>_xll.BDP(#REF!,AA$2)</f>
        <v>#REF!</v>
      </c>
      <c r="AD116">
        <f ca="1">IF(LEFT(_xll.BDP($T116,AD$2),4)="#N/A",-1,_xll.BDP($T116,AD$2))</f>
        <v>-1</v>
      </c>
    </row>
    <row r="117" spans="1:30">
      <c r="A117">
        <f ca="1"/>
        <v>192</v>
      </c>
      <c r="B117" t="str">
        <f ca="1"/>
        <v>iW - NS</v>
      </c>
      <c r="C117" t="str">
        <f ca="1"/>
        <v>iW - NS</v>
      </c>
      <c r="D117">
        <f ca="1"/>
        <v>110311</v>
      </c>
      <c r="E117" t="str">
        <f ca="1"/>
        <v>iW - BALANCED</v>
      </c>
      <c r="F117" t="str">
        <f ca="1"/>
        <v>BALANCED</v>
      </c>
      <c r="G117">
        <f ca="1"/>
        <v>147</v>
      </c>
      <c r="H117" t="str">
        <f ca="1"/>
        <v>Pictet Fund Accounting</v>
      </c>
      <c r="I117" t="str">
        <f ca="1"/>
        <v>17202982-0</v>
      </c>
      <c r="J117" s="50">
        <f ca="1"/>
        <v>44742</v>
      </c>
      <c r="K117">
        <f ca="1"/>
        <v>706731.67</v>
      </c>
      <c r="L117" t="str">
        <f ca="1"/>
        <v>111975-0</v>
      </c>
      <c r="M117" t="str">
        <f ca="1"/>
        <v>FT OFFSH.I LP VIVA.MS008 SUB A USD</v>
      </c>
      <c r="N117" t="str">
        <f ca="1"/>
        <v>USD</v>
      </c>
      <c r="O117" t="str">
        <f ca="1"/>
        <v>Investment Fund</v>
      </c>
      <c r="P117" t="str">
        <f ca="1"/>
        <v/>
      </c>
      <c r="Q117" t="str">
        <f ca="1"/>
        <v/>
      </c>
      <c r="R117" t="str">
        <f ca="1"/>
        <v>XD0511581437</v>
      </c>
      <c r="S117" t="str">
        <f ca="1"/>
        <v/>
      </c>
      <c r="T117" t="str">
        <f ca="1"/>
        <v/>
      </c>
      <c r="U117">
        <f ca="1">IF(LEFT(_xll.BDP($T117,U$2),4)="#N/A",0,_xll.BDP($T117,U$2))</f>
        <v>0</v>
      </c>
      <c r="V117" t="e">
        <f>_xll.BDP(#REF!,V$2)</f>
        <v>#REF!</v>
      </c>
      <c r="W117" t="e">
        <f>_xll.BDP(#REF!,W$2)</f>
        <v>#REF!</v>
      </c>
      <c r="X117" t="e">
        <f>_xll.BDP(#REF!,X$2)</f>
        <v>#REF!</v>
      </c>
      <c r="Y117" t="e">
        <f>_xll.BDP(#REF!,Y$2)</f>
        <v>#REF!</v>
      </c>
      <c r="Z117" t="e">
        <f>_xll.BDP(#REF!,Z$2)</f>
        <v>#REF!</v>
      </c>
      <c r="AA117" t="e">
        <f>_xll.BDP(#REF!,AA$2)</f>
        <v>#REF!</v>
      </c>
      <c r="AD117">
        <f ca="1">IF(LEFT(_xll.BDP($T117,AD$2),4)="#N/A",-1,_xll.BDP($T117,AD$2))</f>
        <v>-1</v>
      </c>
    </row>
    <row r="118" spans="1:30">
      <c r="A118">
        <f ca="1"/>
        <v>192</v>
      </c>
      <c r="B118" t="str">
        <f ca="1"/>
        <v>iW - NS</v>
      </c>
      <c r="C118" t="str">
        <f ca="1"/>
        <v>iW - NS</v>
      </c>
      <c r="D118">
        <f ca="1"/>
        <v>110311</v>
      </c>
      <c r="E118" t="str">
        <f ca="1"/>
        <v>iW - BALANCED</v>
      </c>
      <c r="F118" t="str">
        <f ca="1"/>
        <v>BALANCED</v>
      </c>
      <c r="G118">
        <f ca="1"/>
        <v>147</v>
      </c>
      <c r="H118" t="str">
        <f ca="1"/>
        <v>Pictet Fund Accounting</v>
      </c>
      <c r="I118" t="str">
        <f ca="1"/>
        <v>17202966-0</v>
      </c>
      <c r="J118" s="50">
        <f ca="1"/>
        <v>44742</v>
      </c>
      <c r="K118">
        <f ca="1"/>
        <v>5467.2420000000002</v>
      </c>
      <c r="L118" t="str">
        <f ca="1"/>
        <v>130372-0</v>
      </c>
      <c r="M118" t="str">
        <f ca="1"/>
        <v>H2O GLOBAL STRAT-MULTI AGG.I USD</v>
      </c>
      <c r="N118" t="str">
        <f ca="1"/>
        <v>USD</v>
      </c>
      <c r="O118" t="str">
        <f ca="1"/>
        <v>Investment Fund</v>
      </c>
      <c r="P118" t="str">
        <f ca="1"/>
        <v/>
      </c>
      <c r="Q118" t="str">
        <f ca="1"/>
        <v/>
      </c>
      <c r="R118" t="str">
        <f ca="1"/>
        <v>IE00BD8RGM75</v>
      </c>
      <c r="S118" t="str">
        <f ca="1"/>
        <v/>
      </c>
      <c r="T118" t="str">
        <f ca="1"/>
        <v>H2OMARI ID Equity</v>
      </c>
      <c r="U118">
        <f ca="1">IF(LEFT(_xll.BDP($T118,U$2),4)="#N/A",0,_xll.BDP($T118,U$2))</f>
        <v>0</v>
      </c>
      <c r="V118" t="e">
        <f>_xll.BDP(#REF!,V$2)</f>
        <v>#REF!</v>
      </c>
      <c r="W118" t="e">
        <f>_xll.BDP(#REF!,W$2)</f>
        <v>#REF!</v>
      </c>
      <c r="X118" t="e">
        <f>_xll.BDP(#REF!,X$2)</f>
        <v>#REF!</v>
      </c>
      <c r="Y118" t="e">
        <f>_xll.BDP(#REF!,Y$2)</f>
        <v>#REF!</v>
      </c>
      <c r="Z118" t="e">
        <f>_xll.BDP(#REF!,Z$2)</f>
        <v>#REF!</v>
      </c>
      <c r="AA118" t="e">
        <f>_xll.BDP(#REF!,AA$2)</f>
        <v>#REF!</v>
      </c>
      <c r="AD118">
        <f ca="1">IF(LEFT(_xll.BDP($T118,AD$2),4)="#N/A",-1,_xll.BDP($T118,AD$2))</f>
        <v>-1</v>
      </c>
    </row>
    <row r="119" spans="1:30">
      <c r="A119">
        <f ca="1"/>
        <v>192</v>
      </c>
      <c r="B119" t="str">
        <f ca="1"/>
        <v>iW - NS</v>
      </c>
      <c r="C119" t="str">
        <f ca="1"/>
        <v>iW - NS</v>
      </c>
      <c r="D119">
        <f ca="1"/>
        <v>110311</v>
      </c>
      <c r="E119" t="str">
        <f ca="1"/>
        <v>iW - BALANCED</v>
      </c>
      <c r="F119" t="str">
        <f ca="1"/>
        <v>BALANCED</v>
      </c>
      <c r="G119">
        <f ca="1"/>
        <v>147</v>
      </c>
      <c r="H119" t="str">
        <f ca="1"/>
        <v>Pictet Fund Accounting</v>
      </c>
      <c r="I119" t="str">
        <f ca="1"/>
        <v>17202975-0</v>
      </c>
      <c r="J119" s="50">
        <f ca="1"/>
        <v>44742</v>
      </c>
      <c r="K119">
        <f ca="1"/>
        <v>9791.1200000000008</v>
      </c>
      <c r="L119" t="str">
        <f ca="1"/>
        <v>146738-0</v>
      </c>
      <c r="M119" t="str">
        <f ca="1"/>
        <v>INSTITUT.CASH-BLAC.ICS USD LIQ.CORE</v>
      </c>
      <c r="N119" t="str">
        <f ca="1"/>
        <v>USD</v>
      </c>
      <c r="O119" t="str">
        <f ca="1"/>
        <v>Investment Fund</v>
      </c>
      <c r="P119" t="str">
        <f ca="1"/>
        <v/>
      </c>
      <c r="Q119" t="str">
        <f ca="1"/>
        <v/>
      </c>
      <c r="R119" t="str">
        <f ca="1"/>
        <v>IE0004810143</v>
      </c>
      <c r="S119" t="str">
        <f ca="1"/>
        <v/>
      </c>
      <c r="T119" t="str">
        <f ca="1"/>
        <v>MLMIUSA ID Equity</v>
      </c>
      <c r="U119">
        <f ca="1">IF(LEFT(_xll.BDP($T119,U$2),4)="#N/A",0,_xll.BDP($T119,U$2))</f>
        <v>0</v>
      </c>
      <c r="V119" t="e">
        <f>_xll.BDP(#REF!,V$2)</f>
        <v>#REF!</v>
      </c>
      <c r="W119" t="e">
        <f>_xll.BDP(#REF!,W$2)</f>
        <v>#REF!</v>
      </c>
      <c r="X119" t="e">
        <f>_xll.BDP(#REF!,X$2)</f>
        <v>#REF!</v>
      </c>
      <c r="Y119" t="e">
        <f>_xll.BDP(#REF!,Y$2)</f>
        <v>#REF!</v>
      </c>
      <c r="Z119" t="e">
        <f>_xll.BDP(#REF!,Z$2)</f>
        <v>#REF!</v>
      </c>
      <c r="AA119" t="e">
        <f>_xll.BDP(#REF!,AA$2)</f>
        <v>#REF!</v>
      </c>
      <c r="AD119">
        <f ca="1">IF(LEFT(_xll.BDP($T119,AD$2),4)="#N/A",-1,_xll.BDP($T119,AD$2))</f>
        <v>-1</v>
      </c>
    </row>
    <row r="120" spans="1:30">
      <c r="A120">
        <f ca="1"/>
        <v>192</v>
      </c>
      <c r="B120" t="str">
        <f ca="1"/>
        <v>iW - NS</v>
      </c>
      <c r="C120" t="str">
        <f ca="1"/>
        <v>iW - NS</v>
      </c>
      <c r="D120">
        <f ca="1"/>
        <v>110311</v>
      </c>
      <c r="E120" t="str">
        <f ca="1"/>
        <v>iW - BALANCED</v>
      </c>
      <c r="F120" t="str">
        <f ca="1"/>
        <v>BALANCED</v>
      </c>
      <c r="G120">
        <f ca="1"/>
        <v>147</v>
      </c>
      <c r="H120" t="str">
        <f ca="1"/>
        <v>Pictet Fund Accounting</v>
      </c>
      <c r="I120" t="str">
        <f ca="1"/>
        <v>17202977-0</v>
      </c>
      <c r="J120" s="50">
        <f ca="1"/>
        <v>44742</v>
      </c>
      <c r="K120">
        <f ca="1"/>
        <v>227.86</v>
      </c>
      <c r="L120" t="str">
        <f ca="1"/>
        <v>153661-0</v>
      </c>
      <c r="M120" t="str">
        <f ca="1"/>
        <v>JANUS H.MU-ST.A USD NV-ACC-EQ 04/22</v>
      </c>
      <c r="N120" t="str">
        <f ca="1"/>
        <v>USD</v>
      </c>
      <c r="O120" t="str">
        <f ca="1"/>
        <v>Investment Fund</v>
      </c>
      <c r="P120" t="str">
        <f ca="1"/>
        <v/>
      </c>
      <c r="Q120" t="str">
        <f ca="1"/>
        <v/>
      </c>
      <c r="R120" t="str">
        <f ca="1"/>
        <v>ZZ00AB4HPU 0</v>
      </c>
      <c r="S120" t="str">
        <f ca="1"/>
        <v/>
      </c>
      <c r="T120" t="str">
        <f ca="1"/>
        <v/>
      </c>
      <c r="U120">
        <f ca="1">IF(LEFT(_xll.BDP($T120,U$2),4)="#N/A",0,_xll.BDP($T120,U$2))</f>
        <v>0</v>
      </c>
      <c r="V120" t="e">
        <f>_xll.BDP(#REF!,V$2)</f>
        <v>#REF!</v>
      </c>
      <c r="W120" t="e">
        <f>_xll.BDP(#REF!,W$2)</f>
        <v>#REF!</v>
      </c>
      <c r="X120" t="e">
        <f>_xll.BDP(#REF!,X$2)</f>
        <v>#REF!</v>
      </c>
      <c r="Y120" t="e">
        <f>_xll.BDP(#REF!,Y$2)</f>
        <v>#REF!</v>
      </c>
      <c r="Z120" t="e">
        <f>_xll.BDP(#REF!,Z$2)</f>
        <v>#REF!</v>
      </c>
      <c r="AA120" t="e">
        <f>_xll.BDP(#REF!,AA$2)</f>
        <v>#REF!</v>
      </c>
      <c r="AD120">
        <f ca="1">IF(LEFT(_xll.BDP($T120,AD$2),4)="#N/A",-1,_xll.BDP($T120,AD$2))</f>
        <v>-1</v>
      </c>
    </row>
    <row r="121" spans="1:30">
      <c r="A121">
        <f ca="1"/>
        <v>192</v>
      </c>
      <c r="B121" t="str">
        <f ca="1"/>
        <v>iW - NS</v>
      </c>
      <c r="C121" t="str">
        <f ca="1"/>
        <v>iW - NS</v>
      </c>
      <c r="D121">
        <f ca="1"/>
        <v>110311</v>
      </c>
      <c r="E121" t="str">
        <f ca="1"/>
        <v>iW - BALANCED</v>
      </c>
      <c r="F121" t="str">
        <f ca="1"/>
        <v>BALANCED</v>
      </c>
      <c r="G121">
        <f ca="1"/>
        <v>147</v>
      </c>
      <c r="H121" t="str">
        <f ca="1"/>
        <v>Pictet Fund Accounting</v>
      </c>
      <c r="I121" t="str">
        <f ca="1"/>
        <v>17202958-0</v>
      </c>
      <c r="J121" s="50">
        <f ca="1"/>
        <v>44742</v>
      </c>
      <c r="K121">
        <f ca="1"/>
        <v>-77.06</v>
      </c>
      <c r="L121" t="str">
        <f ca="1"/>
        <v>153659-0</v>
      </c>
      <c r="M121" t="str">
        <f ca="1"/>
        <v>JANUS HEND.MU.-ST.A USD CONT 04/22</v>
      </c>
      <c r="N121" t="str">
        <f ca="1"/>
        <v>USD</v>
      </c>
      <c r="O121" t="str">
        <f ca="1"/>
        <v>Investment Fund</v>
      </c>
      <c r="P121" t="str">
        <f ca="1"/>
        <v/>
      </c>
      <c r="Q121" t="str">
        <f ca="1"/>
        <v/>
      </c>
      <c r="R121" t="str">
        <f ca="1"/>
        <v>ZZ00AB4I37 0</v>
      </c>
      <c r="S121" t="str">
        <f ca="1"/>
        <v/>
      </c>
      <c r="T121" t="str">
        <f ca="1"/>
        <v/>
      </c>
      <c r="U121">
        <f ca="1">IF(LEFT(_xll.BDP($T121,U$2),4)="#N/A",0,_xll.BDP($T121,U$2))</f>
        <v>0</v>
      </c>
      <c r="V121" t="e">
        <f>_xll.BDP(#REF!,V$2)</f>
        <v>#REF!</v>
      </c>
      <c r="W121" t="e">
        <f>_xll.BDP(#REF!,W$2)</f>
        <v>#REF!</v>
      </c>
      <c r="X121" t="e">
        <f>_xll.BDP(#REF!,X$2)</f>
        <v>#REF!</v>
      </c>
      <c r="Y121" t="e">
        <f>_xll.BDP(#REF!,Y$2)</f>
        <v>#REF!</v>
      </c>
      <c r="Z121" t="e">
        <f>_xll.BDP(#REF!,Z$2)</f>
        <v>#REF!</v>
      </c>
      <c r="AA121" t="e">
        <f>_xll.BDP(#REF!,AA$2)</f>
        <v>#REF!</v>
      </c>
      <c r="AD121">
        <f ca="1">IF(LEFT(_xll.BDP($T121,AD$2),4)="#N/A",-1,_xll.BDP($T121,AD$2))</f>
        <v>-1</v>
      </c>
    </row>
    <row r="122" spans="1:30">
      <c r="A122">
        <f ca="1"/>
        <v>192</v>
      </c>
      <c r="B122" t="str">
        <f ca="1"/>
        <v>iW - NS</v>
      </c>
      <c r="C122" t="str">
        <f ca="1"/>
        <v>iW - NS</v>
      </c>
      <c r="D122">
        <f ca="1"/>
        <v>110311</v>
      </c>
      <c r="E122" t="str">
        <f ca="1"/>
        <v>iW - BALANCED</v>
      </c>
      <c r="F122" t="str">
        <f ca="1"/>
        <v>BALANCED</v>
      </c>
      <c r="G122">
        <f ca="1"/>
        <v>147</v>
      </c>
      <c r="H122" t="str">
        <f ca="1"/>
        <v>Pictet Fund Accounting</v>
      </c>
      <c r="I122" t="str">
        <f ca="1"/>
        <v>17202980-0</v>
      </c>
      <c r="J122" s="50">
        <f ca="1"/>
        <v>44742</v>
      </c>
      <c r="K122">
        <f ca="1"/>
        <v>15301.45</v>
      </c>
      <c r="L122" t="str">
        <f ca="1"/>
        <v>146739-0</v>
      </c>
      <c r="M122" t="str">
        <f ca="1"/>
        <v>JANUS HEND.MULTI-STRAT.A USD NV-ACC</v>
      </c>
      <c r="N122" t="str">
        <f ca="1"/>
        <v>USD</v>
      </c>
      <c r="O122" t="str">
        <f ca="1"/>
        <v>Investment Fund</v>
      </c>
      <c r="P122" t="str">
        <f ca="1"/>
        <v/>
      </c>
      <c r="Q122" t="str">
        <f ca="1"/>
        <v/>
      </c>
      <c r="R122" t="str">
        <f ca="1"/>
        <v>KYG1147T1500</v>
      </c>
      <c r="S122" t="str">
        <f ca="1"/>
        <v/>
      </c>
      <c r="T122" t="str">
        <f ca="1"/>
        <v>JHMSANU KY Equity</v>
      </c>
      <c r="U122">
        <f ca="1">IF(LEFT(_xll.BDP($T122,U$2),4)="#N/A",0,_xll.BDP($T122,U$2))</f>
        <v>0</v>
      </c>
      <c r="V122" t="e">
        <f>_xll.BDP(#REF!,V$2)</f>
        <v>#REF!</v>
      </c>
      <c r="W122" t="e">
        <f>_xll.BDP(#REF!,W$2)</f>
        <v>#REF!</v>
      </c>
      <c r="X122" t="e">
        <f>_xll.BDP(#REF!,X$2)</f>
        <v>#REF!</v>
      </c>
      <c r="Y122" t="e">
        <f>_xll.BDP(#REF!,Y$2)</f>
        <v>#REF!</v>
      </c>
      <c r="Z122" t="e">
        <f>_xll.BDP(#REF!,Z$2)</f>
        <v>#REF!</v>
      </c>
      <c r="AA122" t="e">
        <f>_xll.BDP(#REF!,AA$2)</f>
        <v>#REF!</v>
      </c>
      <c r="AD122">
        <f ca="1">IF(LEFT(_xll.BDP($T122,AD$2),4)="#N/A",-1,_xll.BDP($T122,AD$2))</f>
        <v>-1</v>
      </c>
    </row>
    <row r="123" spans="1:30">
      <c r="A123">
        <f ca="1"/>
        <v>192</v>
      </c>
      <c r="B123" t="str">
        <f ca="1"/>
        <v>iW - NS</v>
      </c>
      <c r="C123" t="str">
        <f ca="1"/>
        <v>iW - NS</v>
      </c>
      <c r="D123">
        <f ca="1"/>
        <v>110311</v>
      </c>
      <c r="E123" t="str">
        <f ca="1"/>
        <v>iW - BALANCED</v>
      </c>
      <c r="F123" t="str">
        <f ca="1"/>
        <v>BALANCED</v>
      </c>
      <c r="G123">
        <f ca="1"/>
        <v>147</v>
      </c>
      <c r="H123" t="str">
        <f ca="1"/>
        <v>Pictet Fund Accounting</v>
      </c>
      <c r="I123" t="str">
        <f ca="1"/>
        <v>17202950-0</v>
      </c>
      <c r="J123" s="50">
        <f ca="1"/>
        <v>44742</v>
      </c>
      <c r="K123">
        <f ca="1"/>
        <v>11131.570900000001</v>
      </c>
      <c r="L123" t="str">
        <f ca="1"/>
        <v>137119-0</v>
      </c>
      <c r="M123" t="str">
        <f ca="1"/>
        <v>LUMYNA-MW-SYSTEMATIC ALPHA A USD</v>
      </c>
      <c r="N123" t="str">
        <f ca="1"/>
        <v>USD</v>
      </c>
      <c r="O123" t="str">
        <f ca="1"/>
        <v>Investment Fund</v>
      </c>
      <c r="P123" t="str">
        <f ca="1"/>
        <v/>
      </c>
      <c r="Q123" t="str">
        <f ca="1"/>
        <v/>
      </c>
      <c r="R123" t="str">
        <f ca="1"/>
        <v>LU2367653776</v>
      </c>
      <c r="S123" t="str">
        <f ca="1"/>
        <v/>
      </c>
      <c r="T123" t="str">
        <f ca="1"/>
        <v>LUSAUAU LX Equity</v>
      </c>
      <c r="U123">
        <f ca="1">IF(LEFT(_xll.BDP($T123,U$2),4)="#N/A",0,_xll.BDP($T123,U$2))</f>
        <v>0</v>
      </c>
      <c r="V123" t="e">
        <f>_xll.BDP(#REF!,V$2)</f>
        <v>#REF!</v>
      </c>
      <c r="W123" t="e">
        <f>_xll.BDP(#REF!,W$2)</f>
        <v>#REF!</v>
      </c>
      <c r="X123" t="e">
        <f>_xll.BDP(#REF!,X$2)</f>
        <v>#REF!</v>
      </c>
      <c r="Y123" t="e">
        <f>_xll.BDP(#REF!,Y$2)</f>
        <v>#REF!</v>
      </c>
      <c r="Z123" t="e">
        <f>_xll.BDP(#REF!,Z$2)</f>
        <v>#REF!</v>
      </c>
      <c r="AA123" t="e">
        <f>_xll.BDP(#REF!,AA$2)</f>
        <v>#REF!</v>
      </c>
      <c r="AD123">
        <f ca="1">IF(LEFT(_xll.BDP($T123,AD$2),4)="#N/A",-1,_xll.BDP($T123,AD$2))</f>
        <v>-1</v>
      </c>
    </row>
    <row r="124" spans="1:30">
      <c r="A124">
        <f ca="1"/>
        <v>192</v>
      </c>
      <c r="B124" t="str">
        <f ca="1"/>
        <v>iW - NS</v>
      </c>
      <c r="C124" t="str">
        <f ca="1"/>
        <v>iW - NS</v>
      </c>
      <c r="D124">
        <f ca="1"/>
        <v>110311</v>
      </c>
      <c r="E124" t="str">
        <f ca="1"/>
        <v>iW - BALANCED</v>
      </c>
      <c r="F124" t="str">
        <f ca="1"/>
        <v>BALANCED</v>
      </c>
      <c r="G124">
        <f ca="1"/>
        <v>147</v>
      </c>
      <c r="H124" t="str">
        <f ca="1"/>
        <v>Pictet Fund Accounting</v>
      </c>
      <c r="I124" t="str">
        <f ca="1"/>
        <v>17202940-0</v>
      </c>
      <c r="J124" s="50">
        <f ca="1"/>
        <v>44742</v>
      </c>
      <c r="K124">
        <f ca="1"/>
        <v>11778.191999999999</v>
      </c>
      <c r="L124" t="str">
        <f ca="1"/>
        <v>111956-0</v>
      </c>
      <c r="M124" t="str">
        <f ca="1"/>
        <v>LUXEMBOURG LIF.II-ABS.RE.III D1 USD</v>
      </c>
      <c r="N124" t="str">
        <f ca="1"/>
        <v>USD</v>
      </c>
      <c r="O124" t="str">
        <f ca="1"/>
        <v>Investment Fund</v>
      </c>
      <c r="P124" t="str">
        <f ca="1"/>
        <v/>
      </c>
      <c r="Q124" t="str">
        <f ca="1"/>
        <v/>
      </c>
      <c r="R124" t="str">
        <f ca="1"/>
        <v>LU2193728255</v>
      </c>
      <c r="S124" t="str">
        <f ca="1"/>
        <v/>
      </c>
      <c r="T124" t="str">
        <f ca="1"/>
        <v>LARFIDU LX Equity</v>
      </c>
      <c r="U124">
        <f ca="1">IF(LEFT(_xll.BDP($T124,U$2),4)="#N/A",0,_xll.BDP($T124,U$2))</f>
        <v>0</v>
      </c>
      <c r="V124" t="e">
        <f>_xll.BDP(#REF!,V$2)</f>
        <v>#REF!</v>
      </c>
      <c r="W124" t="e">
        <f>_xll.BDP(#REF!,W$2)</f>
        <v>#REF!</v>
      </c>
      <c r="X124" t="e">
        <f>_xll.BDP(#REF!,X$2)</f>
        <v>#REF!</v>
      </c>
      <c r="Y124" t="e">
        <f>_xll.BDP(#REF!,Y$2)</f>
        <v>#REF!</v>
      </c>
      <c r="Z124" t="e">
        <f>_xll.BDP(#REF!,Z$2)</f>
        <v>#REF!</v>
      </c>
      <c r="AA124" t="e">
        <f>_xll.BDP(#REF!,AA$2)</f>
        <v>#REF!</v>
      </c>
      <c r="AD124">
        <f ca="1">IF(LEFT(_xll.BDP($T124,AD$2),4)="#N/A",-1,_xll.BDP($T124,AD$2))</f>
        <v>-1</v>
      </c>
    </row>
    <row r="125" spans="1:30">
      <c r="A125">
        <f ca="1"/>
        <v>192</v>
      </c>
      <c r="B125" t="str">
        <f ca="1"/>
        <v>iW - NS</v>
      </c>
      <c r="C125" t="str">
        <f ca="1"/>
        <v>iW - NS</v>
      </c>
      <c r="D125">
        <f ca="1"/>
        <v>110311</v>
      </c>
      <c r="E125" t="str">
        <f ca="1"/>
        <v>iW - BALANCED</v>
      </c>
      <c r="F125" t="str">
        <f ca="1"/>
        <v>BALANCED</v>
      </c>
      <c r="G125">
        <f ca="1"/>
        <v>147</v>
      </c>
      <c r="H125" t="str">
        <f ca="1"/>
        <v>Pictet Fund Accounting</v>
      </c>
      <c r="I125" t="str">
        <f ca="1"/>
        <v>17202979-0</v>
      </c>
      <c r="J125" s="50">
        <f ca="1"/>
        <v>44742</v>
      </c>
      <c r="K125">
        <f ca="1"/>
        <v>4622</v>
      </c>
      <c r="L125" t="str">
        <f ca="1"/>
        <v>111973-0</v>
      </c>
      <c r="M125" t="str">
        <f ca="1"/>
        <v>MARSHALL WA.MW-GL.OP.A USD EQ 02/21</v>
      </c>
      <c r="N125" t="str">
        <f ca="1"/>
        <v>USD</v>
      </c>
      <c r="O125" t="str">
        <f ca="1"/>
        <v>Investment Fund</v>
      </c>
      <c r="P125" t="str">
        <f ca="1"/>
        <v/>
      </c>
      <c r="Q125" t="str">
        <f ca="1"/>
        <v/>
      </c>
      <c r="R125" t="str">
        <f ca="1"/>
        <v>ZZ00AB2QVE 0</v>
      </c>
      <c r="S125" t="str">
        <f ca="1"/>
        <v/>
      </c>
      <c r="T125" t="str">
        <f ca="1"/>
        <v/>
      </c>
      <c r="U125">
        <f ca="1">IF(LEFT(_xll.BDP($T125,U$2),4)="#N/A",0,_xll.BDP($T125,U$2))</f>
        <v>0</v>
      </c>
      <c r="V125" t="e">
        <f>_xll.BDP(#REF!,V$2)</f>
        <v>#REF!</v>
      </c>
      <c r="W125" t="e">
        <f>_xll.BDP(#REF!,W$2)</f>
        <v>#REF!</v>
      </c>
      <c r="X125" t="e">
        <f>_xll.BDP(#REF!,X$2)</f>
        <v>#REF!</v>
      </c>
      <c r="Y125" t="e">
        <f>_xll.BDP(#REF!,Y$2)</f>
        <v>#REF!</v>
      </c>
      <c r="Z125" t="e">
        <f>_xll.BDP(#REF!,Z$2)</f>
        <v>#REF!</v>
      </c>
      <c r="AA125" t="e">
        <f>_xll.BDP(#REF!,AA$2)</f>
        <v>#REF!</v>
      </c>
      <c r="AD125">
        <f ca="1">IF(LEFT(_xll.BDP($T125,AD$2),4)="#N/A",-1,_xll.BDP($T125,AD$2))</f>
        <v>-1</v>
      </c>
    </row>
    <row r="126" spans="1:30">
      <c r="A126">
        <f ca="1"/>
        <v>192</v>
      </c>
      <c r="B126" t="str">
        <f ca="1"/>
        <v>iW - NS</v>
      </c>
      <c r="C126" t="str">
        <f ca="1"/>
        <v>iW - NS</v>
      </c>
      <c r="D126">
        <f ca="1"/>
        <v>110311</v>
      </c>
      <c r="E126" t="str">
        <f ca="1"/>
        <v>iW - BALANCED</v>
      </c>
      <c r="F126" t="str">
        <f ca="1"/>
        <v>BALANCED</v>
      </c>
      <c r="G126">
        <f ca="1"/>
        <v>147</v>
      </c>
      <c r="H126" t="str">
        <f ca="1"/>
        <v>Pictet Fund Accounting</v>
      </c>
      <c r="I126" t="str">
        <f ca="1"/>
        <v>17202937-0</v>
      </c>
      <c r="J126" s="50">
        <f ca="1"/>
        <v>44742</v>
      </c>
      <c r="K126">
        <f ca="1"/>
        <v>5426.8985000000002</v>
      </c>
      <c r="L126" t="str">
        <f ca="1"/>
        <v>111955-0</v>
      </c>
      <c r="M126" t="str">
        <f ca="1"/>
        <v>MARSHALL WA.MW-GL.OP.A USD REST-CAP</v>
      </c>
      <c r="N126" t="str">
        <f ca="1"/>
        <v>USD</v>
      </c>
      <c r="O126" t="str">
        <f ca="1"/>
        <v>Investment Fund</v>
      </c>
      <c r="P126" t="str">
        <f ca="1"/>
        <v/>
      </c>
      <c r="Q126" t="str">
        <f ca="1"/>
        <v/>
      </c>
      <c r="R126" t="str">
        <f ca="1"/>
        <v>IE00B64P1S75</v>
      </c>
      <c r="S126" t="str">
        <f ca="1"/>
        <v/>
      </c>
      <c r="T126" t="str">
        <f ca="1"/>
        <v>MWMOPPU ID Equity</v>
      </c>
      <c r="U126">
        <f ca="1">IF(LEFT(_xll.BDP($T126,U$2),4)="#N/A",0,_xll.BDP($T126,U$2))</f>
        <v>0</v>
      </c>
      <c r="V126" t="e">
        <f>_xll.BDP(#REF!,V$2)</f>
        <v>#REF!</v>
      </c>
      <c r="W126" t="e">
        <f>_xll.BDP(#REF!,W$2)</f>
        <v>#REF!</v>
      </c>
      <c r="X126" t="e">
        <f>_xll.BDP(#REF!,X$2)</f>
        <v>#REF!</v>
      </c>
      <c r="Y126" t="e">
        <f>_xll.BDP(#REF!,Y$2)</f>
        <v>#REF!</v>
      </c>
      <c r="Z126" t="e">
        <f>_xll.BDP(#REF!,Z$2)</f>
        <v>#REF!</v>
      </c>
      <c r="AA126" t="e">
        <f>_xll.BDP(#REF!,AA$2)</f>
        <v>#REF!</v>
      </c>
      <c r="AD126">
        <f ca="1">IF(LEFT(_xll.BDP($T126,AD$2),4)="#N/A",-1,_xll.BDP($T126,AD$2))</f>
        <v>-1</v>
      </c>
    </row>
    <row r="127" spans="1:30">
      <c r="A127">
        <f ca="1"/>
        <v>192</v>
      </c>
      <c r="B127" t="str">
        <f ca="1"/>
        <v>iW - NS</v>
      </c>
      <c r="C127" t="str">
        <f ca="1"/>
        <v>iW - NS</v>
      </c>
      <c r="D127">
        <f ca="1"/>
        <v>110311</v>
      </c>
      <c r="E127" t="str">
        <f ca="1"/>
        <v>iW - BALANCED</v>
      </c>
      <c r="F127" t="str">
        <f ca="1"/>
        <v>BALANCED</v>
      </c>
      <c r="G127">
        <f ca="1"/>
        <v>147</v>
      </c>
      <c r="H127" t="str">
        <f ca="1"/>
        <v>Pictet Fund Accounting</v>
      </c>
      <c r="I127" t="str">
        <f ca="1"/>
        <v>17202964-0</v>
      </c>
      <c r="J127" s="50">
        <f ca="1"/>
        <v>44742</v>
      </c>
      <c r="K127">
        <f ca="1"/>
        <v>13496.836300000001</v>
      </c>
      <c r="L127" t="str">
        <f ca="1"/>
        <v>153660-0</v>
      </c>
      <c r="M127" t="str">
        <f ca="1"/>
        <v>MONTLAKE-CRABEL GEMINI INSTIT.USD</v>
      </c>
      <c r="N127" t="str">
        <f ca="1"/>
        <v>USD</v>
      </c>
      <c r="O127" t="str">
        <f ca="1"/>
        <v>Investment Fund</v>
      </c>
      <c r="P127" t="str">
        <f ca="1"/>
        <v/>
      </c>
      <c r="Q127" t="str">
        <f ca="1"/>
        <v/>
      </c>
      <c r="R127" t="str">
        <f ca="1"/>
        <v>IE00BF2X9C65</v>
      </c>
      <c r="S127" t="str">
        <f ca="1"/>
        <v/>
      </c>
      <c r="T127" t="str">
        <f ca="1"/>
        <v>MLCGUUR ID Equity</v>
      </c>
      <c r="U127">
        <f ca="1">IF(LEFT(_xll.BDP($T127,U$2),4)="#N/A",0,_xll.BDP($T127,U$2))</f>
        <v>0</v>
      </c>
      <c r="V127" t="e">
        <f>_xll.BDP(#REF!,V$2)</f>
        <v>#REF!</v>
      </c>
      <c r="W127" t="e">
        <f>_xll.BDP(#REF!,W$2)</f>
        <v>#REF!</v>
      </c>
      <c r="X127" t="e">
        <f>_xll.BDP(#REF!,X$2)</f>
        <v>#REF!</v>
      </c>
      <c r="Y127" t="e">
        <f>_xll.BDP(#REF!,Y$2)</f>
        <v>#REF!</v>
      </c>
      <c r="Z127" t="e">
        <f>_xll.BDP(#REF!,Z$2)</f>
        <v>#REF!</v>
      </c>
      <c r="AA127" t="e">
        <f>_xll.BDP(#REF!,AA$2)</f>
        <v>#REF!</v>
      </c>
      <c r="AD127">
        <f ca="1">IF(LEFT(_xll.BDP($T127,AD$2),4)="#N/A",-1,_xll.BDP($T127,AD$2))</f>
        <v>-1</v>
      </c>
    </row>
    <row r="128" spans="1:30">
      <c r="A128">
        <f ca="1"/>
        <v>192</v>
      </c>
      <c r="B128" t="str">
        <f ca="1"/>
        <v>iW - NS</v>
      </c>
      <c r="C128" t="str">
        <f ca="1"/>
        <v>iW - NS</v>
      </c>
      <c r="D128">
        <f ca="1"/>
        <v>110311</v>
      </c>
      <c r="E128" t="str">
        <f ca="1"/>
        <v>iW - BALANCED</v>
      </c>
      <c r="F128" t="str">
        <f ca="1"/>
        <v>BALANCED</v>
      </c>
      <c r="G128">
        <f ca="1"/>
        <v>147</v>
      </c>
      <c r="H128" t="str">
        <f ca="1"/>
        <v>Pictet Fund Accounting</v>
      </c>
      <c r="I128" t="str">
        <f ca="1"/>
        <v>17202963-0</v>
      </c>
      <c r="J128" s="50">
        <f ca="1"/>
        <v>44742</v>
      </c>
      <c r="K128">
        <f ca="1"/>
        <v>5158.0569999999998</v>
      </c>
      <c r="L128" t="str">
        <f ca="1"/>
        <v>122915-0</v>
      </c>
      <c r="M128" t="str">
        <f ca="1"/>
        <v>MOONSTONE LENDING 1 I USD -ACC.-</v>
      </c>
      <c r="N128" t="str">
        <f ca="1"/>
        <v>USD</v>
      </c>
      <c r="O128" t="str">
        <f ca="1"/>
        <v>Investment Fund</v>
      </c>
      <c r="P128" t="str">
        <f ca="1"/>
        <v/>
      </c>
      <c r="Q128" t="str">
        <f ca="1"/>
        <v/>
      </c>
      <c r="R128" t="str">
        <f ca="1"/>
        <v>LU1437625301</v>
      </c>
      <c r="S128" t="str">
        <f ca="1"/>
        <v/>
      </c>
      <c r="T128" t="str">
        <f ca="1"/>
        <v>MLSSIFU LX Equity</v>
      </c>
      <c r="U128">
        <f ca="1">IF(LEFT(_xll.BDP($T128,U$2),4)="#N/A",0,_xll.BDP($T128,U$2))</f>
        <v>0</v>
      </c>
      <c r="V128" t="e">
        <f>_xll.BDP(#REF!,V$2)</f>
        <v>#REF!</v>
      </c>
      <c r="W128" t="e">
        <f>_xll.BDP(#REF!,W$2)</f>
        <v>#REF!</v>
      </c>
      <c r="X128" t="e">
        <f>_xll.BDP(#REF!,X$2)</f>
        <v>#REF!</v>
      </c>
      <c r="Y128" t="e">
        <f>_xll.BDP(#REF!,Y$2)</f>
        <v>#REF!</v>
      </c>
      <c r="Z128" t="e">
        <f>_xll.BDP(#REF!,Z$2)</f>
        <v>#REF!</v>
      </c>
      <c r="AA128" t="e">
        <f>_xll.BDP(#REF!,AA$2)</f>
        <v>#REF!</v>
      </c>
      <c r="AD128">
        <f ca="1">IF(LEFT(_xll.BDP($T128,AD$2),4)="#N/A",-1,_xll.BDP($T128,AD$2))</f>
        <v>-1</v>
      </c>
    </row>
    <row r="129" spans="1:30">
      <c r="A129">
        <f ca="1"/>
        <v>192</v>
      </c>
      <c r="B129" t="str">
        <f ca="1"/>
        <v>iW - NS</v>
      </c>
      <c r="C129" t="str">
        <f ca="1"/>
        <v>iW - NS</v>
      </c>
      <c r="D129">
        <f ca="1"/>
        <v>110311</v>
      </c>
      <c r="E129" t="str">
        <f ca="1"/>
        <v>iW - BALANCED</v>
      </c>
      <c r="F129" t="str">
        <f ca="1"/>
        <v>BALANCED</v>
      </c>
      <c r="G129">
        <f ca="1"/>
        <v>147</v>
      </c>
      <c r="H129" t="str">
        <f ca="1"/>
        <v>Pictet Fund Accounting</v>
      </c>
      <c r="I129" t="str">
        <f ca="1"/>
        <v>17202965-0</v>
      </c>
      <c r="J129" s="50">
        <f ca="1"/>
        <v>44742</v>
      </c>
      <c r="K129">
        <f ca="1"/>
        <v>75156</v>
      </c>
      <c r="L129" t="str">
        <f ca="1"/>
        <v>111969-0</v>
      </c>
      <c r="M129" t="str">
        <f ca="1"/>
        <v>PICTET-ST MONEY MARKET USD-I</v>
      </c>
      <c r="N129" t="str">
        <f ca="1"/>
        <v>USD</v>
      </c>
      <c r="O129" t="str">
        <f ca="1"/>
        <v>Investment Fund</v>
      </c>
      <c r="P129" t="str">
        <f ca="1"/>
        <v/>
      </c>
      <c r="Q129" t="str">
        <f ca="1"/>
        <v/>
      </c>
      <c r="R129" t="str">
        <f ca="1"/>
        <v>LU0128497707</v>
      </c>
      <c r="S129" t="str">
        <f ca="1"/>
        <v/>
      </c>
      <c r="T129" t="str">
        <f ca="1"/>
        <v>PIPUSDI LX Equity</v>
      </c>
      <c r="U129">
        <f ca="1">IF(LEFT(_xll.BDP($T129,U$2),4)="#N/A",0,_xll.BDP($T129,U$2))</f>
        <v>0</v>
      </c>
      <c r="V129" t="e">
        <f>_xll.BDP(#REF!,V$2)</f>
        <v>#REF!</v>
      </c>
      <c r="W129" t="e">
        <f>_xll.BDP(#REF!,W$2)</f>
        <v>#REF!</v>
      </c>
      <c r="X129" t="e">
        <f>_xll.BDP(#REF!,X$2)</f>
        <v>#REF!</v>
      </c>
      <c r="Y129" t="e">
        <f>_xll.BDP(#REF!,Y$2)</f>
        <v>#REF!</v>
      </c>
      <c r="Z129" t="e">
        <f>_xll.BDP(#REF!,Z$2)</f>
        <v>#REF!</v>
      </c>
      <c r="AA129" t="e">
        <f>_xll.BDP(#REF!,AA$2)</f>
        <v>#REF!</v>
      </c>
      <c r="AD129">
        <f ca="1">IF(LEFT(_xll.BDP($T129,AD$2),4)="#N/A",-1,_xll.BDP($T129,AD$2))</f>
        <v>-1</v>
      </c>
    </row>
    <row r="130" spans="1:30">
      <c r="A130">
        <f ca="1"/>
        <v>192</v>
      </c>
      <c r="B130" t="str">
        <f ca="1"/>
        <v>iW - NS</v>
      </c>
      <c r="C130" t="str">
        <f ca="1"/>
        <v>iW - NS</v>
      </c>
      <c r="D130">
        <f ca="1"/>
        <v>110311</v>
      </c>
      <c r="E130" t="str">
        <f ca="1"/>
        <v>iW - BALANCED</v>
      </c>
      <c r="F130" t="str">
        <f ca="1"/>
        <v>BALANCED</v>
      </c>
      <c r="G130">
        <f ca="1"/>
        <v>147</v>
      </c>
      <c r="H130" t="str">
        <f ca="1"/>
        <v>Pictet Fund Accounting</v>
      </c>
      <c r="I130" t="str">
        <f ca="1"/>
        <v>17202969-0</v>
      </c>
      <c r="J130" s="50">
        <f ca="1"/>
        <v>44742</v>
      </c>
      <c r="K130">
        <f ca="1"/>
        <v>131599.96</v>
      </c>
      <c r="L130" t="str">
        <f ca="1"/>
        <v>111970-0</v>
      </c>
      <c r="M130" t="str">
        <f ca="1"/>
        <v>PIMCO GIS-DYNAMIC BD USD INST.-ACC-</v>
      </c>
      <c r="N130" t="str">
        <f ca="1"/>
        <v>USD</v>
      </c>
      <c r="O130" t="str">
        <f ca="1"/>
        <v>Investment Fund</v>
      </c>
      <c r="P130" t="str">
        <f ca="1"/>
        <v/>
      </c>
      <c r="Q130" t="str">
        <f ca="1"/>
        <v/>
      </c>
      <c r="R130" t="str">
        <f ca="1"/>
        <v>IE00B3FNF987</v>
      </c>
      <c r="S130" t="str">
        <f ca="1"/>
        <v/>
      </c>
      <c r="T130" t="str">
        <f ca="1"/>
        <v>PUNBIAU ID Equity</v>
      </c>
      <c r="U130">
        <f ca="1">IF(LEFT(_xll.BDP($T130,U$2),4)="#N/A",0,_xll.BDP($T130,U$2))</f>
        <v>0</v>
      </c>
      <c r="V130" t="e">
        <f>_xll.BDP(#REF!,V$2)</f>
        <v>#REF!</v>
      </c>
      <c r="W130" t="e">
        <f>_xll.BDP(#REF!,W$2)</f>
        <v>#REF!</v>
      </c>
      <c r="X130" t="e">
        <f>_xll.BDP(#REF!,X$2)</f>
        <v>#REF!</v>
      </c>
      <c r="Y130" t="e">
        <f>_xll.BDP(#REF!,Y$2)</f>
        <v>#REF!</v>
      </c>
      <c r="Z130" t="e">
        <f>_xll.BDP(#REF!,Z$2)</f>
        <v>#REF!</v>
      </c>
      <c r="AA130" t="e">
        <f>_xll.BDP(#REF!,AA$2)</f>
        <v>#REF!</v>
      </c>
      <c r="AD130">
        <f ca="1">IF(LEFT(_xll.BDP($T130,AD$2),4)="#N/A",-1,_xll.BDP($T130,AD$2))</f>
        <v>-1</v>
      </c>
    </row>
    <row r="131" spans="1:30">
      <c r="A131">
        <f ca="1"/>
        <v>192</v>
      </c>
      <c r="B131" t="str">
        <f ca="1"/>
        <v>iW - NS</v>
      </c>
      <c r="C131" t="str">
        <f ca="1"/>
        <v>iW - NS</v>
      </c>
      <c r="D131">
        <f ca="1"/>
        <v>110311</v>
      </c>
      <c r="E131" t="str">
        <f ca="1"/>
        <v>iW - BALANCED</v>
      </c>
      <c r="F131" t="str">
        <f ca="1"/>
        <v>BALANCED</v>
      </c>
      <c r="G131">
        <f ca="1"/>
        <v>147</v>
      </c>
      <c r="H131" t="str">
        <f ca="1"/>
        <v>Pictet Fund Accounting</v>
      </c>
      <c r="I131" t="str">
        <f ca="1"/>
        <v>17202952-0</v>
      </c>
      <c r="J131" s="50">
        <f ca="1"/>
        <v>44742</v>
      </c>
      <c r="K131">
        <f ca="1"/>
        <v>638.61641999999995</v>
      </c>
      <c r="L131" t="str">
        <f ca="1"/>
        <v>137120-0</v>
      </c>
      <c r="M131" t="str">
        <f ca="1"/>
        <v>POLAR STAR FUND A USD S.01/22</v>
      </c>
      <c r="N131" t="str">
        <f ca="1"/>
        <v>USD</v>
      </c>
      <c r="O131" t="str">
        <f ca="1"/>
        <v>Investment Fund</v>
      </c>
      <c r="P131" t="str">
        <f ca="1"/>
        <v/>
      </c>
      <c r="Q131" t="str">
        <f ca="1"/>
        <v/>
      </c>
      <c r="R131" t="str">
        <f ca="1"/>
        <v>ZZ00AB3YV1 0</v>
      </c>
      <c r="S131" t="str">
        <f ca="1"/>
        <v/>
      </c>
      <c r="T131" t="str">
        <f ca="1"/>
        <v/>
      </c>
      <c r="U131">
        <f ca="1">IF(LEFT(_xll.BDP($T131,U$2),4)="#N/A",0,_xll.BDP($T131,U$2))</f>
        <v>0</v>
      </c>
      <c r="V131" t="e">
        <f>_xll.BDP(#REF!,V$2)</f>
        <v>#REF!</v>
      </c>
      <c r="W131" t="e">
        <f>_xll.BDP(#REF!,W$2)</f>
        <v>#REF!</v>
      </c>
      <c r="X131" t="e">
        <f>_xll.BDP(#REF!,X$2)</f>
        <v>#REF!</v>
      </c>
      <c r="Y131" t="e">
        <f>_xll.BDP(#REF!,Y$2)</f>
        <v>#REF!</v>
      </c>
      <c r="Z131" t="e">
        <f>_xll.BDP(#REF!,Z$2)</f>
        <v>#REF!</v>
      </c>
      <c r="AA131" t="e">
        <f>_xll.BDP(#REF!,AA$2)</f>
        <v>#REF!</v>
      </c>
      <c r="AD131">
        <f ca="1">IF(LEFT(_xll.BDP($T131,AD$2),4)="#N/A",-1,_xll.BDP($T131,AD$2))</f>
        <v>-1</v>
      </c>
    </row>
    <row r="132" spans="1:30">
      <c r="A132">
        <f ca="1"/>
        <v>192</v>
      </c>
      <c r="B132" t="str">
        <f ca="1"/>
        <v>iW - NS</v>
      </c>
      <c r="C132" t="str">
        <f ca="1"/>
        <v>iW - NS</v>
      </c>
      <c r="D132">
        <f ca="1"/>
        <v>110311</v>
      </c>
      <c r="E132" t="str">
        <f ca="1"/>
        <v>iW - BALANCED</v>
      </c>
      <c r="F132" t="str">
        <f ca="1"/>
        <v>BALANCED</v>
      </c>
      <c r="G132">
        <f ca="1"/>
        <v>147</v>
      </c>
      <c r="H132" t="str">
        <f ca="1"/>
        <v>Pictet Fund Accounting</v>
      </c>
      <c r="I132" t="str">
        <f ca="1"/>
        <v>17202957-0</v>
      </c>
      <c r="J132" s="50">
        <f ca="1"/>
        <v>44742</v>
      </c>
      <c r="K132">
        <f ca="1"/>
        <v>564.24419999999998</v>
      </c>
      <c r="L132" t="str">
        <f ca="1"/>
        <v>138868-0</v>
      </c>
      <c r="M132" t="str">
        <f ca="1"/>
        <v>POLAR STAR FUND A USD S.02/22</v>
      </c>
      <c r="N132" t="str">
        <f ca="1"/>
        <v>USD</v>
      </c>
      <c r="O132" t="str">
        <f ca="1"/>
        <v>Investment Fund</v>
      </c>
      <c r="P132" t="str">
        <f ca="1"/>
        <v/>
      </c>
      <c r="Q132" t="str">
        <f ca="1"/>
        <v/>
      </c>
      <c r="R132" t="str">
        <f ca="1"/>
        <v>ZZ00AB44OY 0</v>
      </c>
      <c r="S132" t="str">
        <f ca="1"/>
        <v/>
      </c>
      <c r="T132" t="str">
        <f ca="1"/>
        <v/>
      </c>
      <c r="U132">
        <f ca="1">IF(LEFT(_xll.BDP($T132,U$2),4)="#N/A",0,_xll.BDP($T132,U$2))</f>
        <v>0</v>
      </c>
      <c r="V132" t="e">
        <f>_xll.BDP(#REF!,V$2)</f>
        <v>#REF!</v>
      </c>
      <c r="W132" t="e">
        <f>_xll.BDP(#REF!,W$2)</f>
        <v>#REF!</v>
      </c>
      <c r="X132" t="e">
        <f>_xll.BDP(#REF!,X$2)</f>
        <v>#REF!</v>
      </c>
      <c r="Y132" t="e">
        <f>_xll.BDP(#REF!,Y$2)</f>
        <v>#REF!</v>
      </c>
      <c r="Z132" t="e">
        <f>_xll.BDP(#REF!,Z$2)</f>
        <v>#REF!</v>
      </c>
      <c r="AA132" t="e">
        <f>_xll.BDP(#REF!,AA$2)</f>
        <v>#REF!</v>
      </c>
      <c r="AD132">
        <f ca="1">IF(LEFT(_xll.BDP($T132,AD$2),4)="#N/A",-1,_xll.BDP($T132,AD$2))</f>
        <v>-1</v>
      </c>
    </row>
    <row r="133" spans="1:30">
      <c r="A133">
        <f ca="1"/>
        <v>192</v>
      </c>
      <c r="B133" t="str">
        <f ca="1"/>
        <v>iW - NS</v>
      </c>
      <c r="C133" t="str">
        <f ca="1"/>
        <v>iW - NS</v>
      </c>
      <c r="D133">
        <f ca="1"/>
        <v>110311</v>
      </c>
      <c r="E133" t="str">
        <f ca="1"/>
        <v>iW - BALANCED</v>
      </c>
      <c r="F133" t="str">
        <f ca="1"/>
        <v>BALANCED</v>
      </c>
      <c r="G133">
        <f ca="1"/>
        <v>147</v>
      </c>
      <c r="H133" t="str">
        <f ca="1"/>
        <v>Pictet Fund Accounting</v>
      </c>
      <c r="I133" t="str">
        <f ca="1"/>
        <v>17202951-0</v>
      </c>
      <c r="J133" s="50">
        <f ca="1"/>
        <v>44742</v>
      </c>
      <c r="K133">
        <f ca="1"/>
        <v>13450.05</v>
      </c>
      <c r="L133" t="str">
        <f ca="1"/>
        <v>111965-0</v>
      </c>
      <c r="M133" t="str">
        <f ca="1"/>
        <v>SCHRODER GAIA-CONT.TECH EQUIT.C USD</v>
      </c>
      <c r="N133" t="str">
        <f ca="1"/>
        <v>USD</v>
      </c>
      <c r="O133" t="str">
        <f ca="1"/>
        <v>Investment Fund</v>
      </c>
      <c r="P133" t="str">
        <f ca="1"/>
        <v/>
      </c>
      <c r="Q133" t="str">
        <f ca="1"/>
        <v/>
      </c>
      <c r="R133" t="str">
        <f ca="1"/>
        <v>LU1725199621</v>
      </c>
      <c r="S133" t="str">
        <f ca="1"/>
        <v/>
      </c>
      <c r="T133" t="str">
        <f ca="1"/>
        <v>SCHCTCU LX Equity</v>
      </c>
      <c r="U133">
        <f ca="1">IF(LEFT(_xll.BDP($T133,U$2),4)="#N/A",0,_xll.BDP($T133,U$2))</f>
        <v>0</v>
      </c>
      <c r="V133" t="e">
        <f>_xll.BDP(#REF!,V$2)</f>
        <v>#REF!</v>
      </c>
      <c r="W133" t="e">
        <f>_xll.BDP(#REF!,W$2)</f>
        <v>#REF!</v>
      </c>
      <c r="X133" t="e">
        <f>_xll.BDP(#REF!,X$2)</f>
        <v>#REF!</v>
      </c>
      <c r="Y133" t="e">
        <f>_xll.BDP(#REF!,Y$2)</f>
        <v>#REF!</v>
      </c>
      <c r="Z133" t="e">
        <f>_xll.BDP(#REF!,Z$2)</f>
        <v>#REF!</v>
      </c>
      <c r="AA133" t="e">
        <f>_xll.BDP(#REF!,AA$2)</f>
        <v>#REF!</v>
      </c>
      <c r="AD133">
        <f ca="1">IF(LEFT(_xll.BDP($T133,AD$2),4)="#N/A",-1,_xll.BDP($T133,AD$2))</f>
        <v>-1</v>
      </c>
    </row>
    <row r="134" spans="1:30">
      <c r="A134">
        <f ca="1"/>
        <v>192</v>
      </c>
      <c r="B134" t="str">
        <f ca="1"/>
        <v>iW - NS</v>
      </c>
      <c r="C134" t="str">
        <f ca="1"/>
        <v>iW - NS</v>
      </c>
      <c r="D134">
        <f ca="1"/>
        <v>110311</v>
      </c>
      <c r="E134" t="str">
        <f ca="1"/>
        <v>iW - BALANCED</v>
      </c>
      <c r="F134" t="str">
        <f ca="1"/>
        <v>BALANCED</v>
      </c>
      <c r="G134">
        <f ca="1"/>
        <v>147</v>
      </c>
      <c r="H134" t="str">
        <f ca="1"/>
        <v>Pictet Fund Accounting</v>
      </c>
      <c r="I134" t="str">
        <f ca="1"/>
        <v>17202945-0</v>
      </c>
      <c r="J134" s="50">
        <f ca="1"/>
        <v>44742</v>
      </c>
      <c r="K134">
        <f ca="1"/>
        <v>15305.45</v>
      </c>
      <c r="L134" t="str">
        <f ca="1"/>
        <v>111960-0</v>
      </c>
      <c r="M134" t="str">
        <f ca="1"/>
        <v>SCHRODER GAIA-TWO SIGMA DIV.C USD</v>
      </c>
      <c r="N134" t="str">
        <f ca="1"/>
        <v>USD</v>
      </c>
      <c r="O134" t="str">
        <f ca="1"/>
        <v>Investment Fund</v>
      </c>
      <c r="P134" t="str">
        <f ca="1"/>
        <v/>
      </c>
      <c r="Q134" t="str">
        <f ca="1"/>
        <v/>
      </c>
      <c r="R134" t="str">
        <f ca="1"/>
        <v>LU1429039115</v>
      </c>
      <c r="S134" t="str">
        <f ca="1"/>
        <v/>
      </c>
      <c r="T134" t="str">
        <f ca="1"/>
        <v>SCHTSIC LX Equity</v>
      </c>
      <c r="U134">
        <f ca="1">IF(LEFT(_xll.BDP($T134,U$2),4)="#N/A",0,_xll.BDP($T134,U$2))</f>
        <v>0</v>
      </c>
      <c r="V134" t="e">
        <f>_xll.BDP(#REF!,V$2)</f>
        <v>#REF!</v>
      </c>
      <c r="W134" t="e">
        <f>_xll.BDP(#REF!,W$2)</f>
        <v>#REF!</v>
      </c>
      <c r="X134" t="e">
        <f>_xll.BDP(#REF!,X$2)</f>
        <v>#REF!</v>
      </c>
      <c r="Y134" t="e">
        <f>_xll.BDP(#REF!,Y$2)</f>
        <v>#REF!</v>
      </c>
      <c r="Z134" t="e">
        <f>_xll.BDP(#REF!,Z$2)</f>
        <v>#REF!</v>
      </c>
      <c r="AA134" t="e">
        <f>_xll.BDP(#REF!,AA$2)</f>
        <v>#REF!</v>
      </c>
      <c r="AD134">
        <f ca="1">IF(LEFT(_xll.BDP($T134,AD$2),4)="#N/A",-1,_xll.BDP($T134,AD$2))</f>
        <v>-1</v>
      </c>
    </row>
    <row r="135" spans="1:30">
      <c r="A135">
        <f ca="1"/>
        <v>192</v>
      </c>
      <c r="B135" t="str">
        <f ca="1"/>
        <v>iW - NS</v>
      </c>
      <c r="C135" t="str">
        <f ca="1"/>
        <v>iW - NS</v>
      </c>
      <c r="D135">
        <f ca="1"/>
        <v>110311</v>
      </c>
      <c r="E135" t="str">
        <f ca="1"/>
        <v>iW - BALANCED</v>
      </c>
      <c r="F135" t="str">
        <f ca="1"/>
        <v>BALANCED</v>
      </c>
      <c r="G135">
        <f ca="1"/>
        <v>147</v>
      </c>
      <c r="H135" t="str">
        <f ca="1"/>
        <v>Pictet Fund Accounting</v>
      </c>
      <c r="I135" t="str">
        <f ca="1"/>
        <v>17202970-0</v>
      </c>
      <c r="J135" s="50">
        <f ca="1"/>
        <v>44742</v>
      </c>
      <c r="K135">
        <f ca="1"/>
        <v>22014.977999999999</v>
      </c>
      <c r="L135" t="str">
        <f ca="1"/>
        <v>131752-0</v>
      </c>
      <c r="M135" t="str">
        <f ca="1"/>
        <v>WINTON-TREND FUND I USD-ACC-</v>
      </c>
      <c r="N135" t="str">
        <f ca="1"/>
        <v>USD</v>
      </c>
      <c r="O135" t="str">
        <f ca="1"/>
        <v>Investment Fund</v>
      </c>
      <c r="P135" t="str">
        <f ca="1"/>
        <v/>
      </c>
      <c r="Q135" t="str">
        <f ca="1"/>
        <v/>
      </c>
      <c r="R135" t="str">
        <f ca="1"/>
        <v>IE00BG382P13</v>
      </c>
      <c r="S135" t="str">
        <f ca="1"/>
        <v/>
      </c>
      <c r="T135" t="str">
        <f ca="1"/>
        <v>WINTFUI ID Equity</v>
      </c>
      <c r="U135">
        <f ca="1">IF(LEFT(_xll.BDP($T135,U$2),4)="#N/A",0,_xll.BDP($T135,U$2))</f>
        <v>0</v>
      </c>
      <c r="V135" t="e">
        <f>_xll.BDP(#REF!,V$2)</f>
        <v>#REF!</v>
      </c>
      <c r="W135" t="e">
        <f>_xll.BDP(#REF!,W$2)</f>
        <v>#REF!</v>
      </c>
      <c r="X135" t="e">
        <f>_xll.BDP(#REF!,X$2)</f>
        <v>#REF!</v>
      </c>
      <c r="Y135" t="e">
        <f>_xll.BDP(#REF!,Y$2)</f>
        <v>#REF!</v>
      </c>
      <c r="Z135" t="e">
        <f>_xll.BDP(#REF!,Z$2)</f>
        <v>#REF!</v>
      </c>
      <c r="AA135" t="e">
        <f>_xll.BDP(#REF!,AA$2)</f>
        <v>#REF!</v>
      </c>
      <c r="AD135">
        <f ca="1">IF(LEFT(_xll.BDP($T135,AD$2),4)="#N/A",-1,_xll.BDP($T135,AD$2))</f>
        <v>-1</v>
      </c>
    </row>
    <row r="136" spans="1:30">
      <c r="A136">
        <f ca="1"/>
        <v>192</v>
      </c>
      <c r="B136" t="str">
        <f ca="1"/>
        <v>iW - NS</v>
      </c>
      <c r="C136" t="str">
        <f ca="1"/>
        <v>iW - NS</v>
      </c>
      <c r="D136">
        <f ca="1"/>
        <v>110311</v>
      </c>
      <c r="E136" t="str">
        <f ca="1"/>
        <v>iW - BALANCED</v>
      </c>
      <c r="F136" t="str">
        <f ca="1"/>
        <v>BALANCED</v>
      </c>
      <c r="G136">
        <f ca="1"/>
        <v>147</v>
      </c>
      <c r="H136" t="str">
        <f ca="1"/>
        <v>Pictet Fund Accounting</v>
      </c>
      <c r="I136" t="str">
        <f ca="1"/>
        <v>17202976-0</v>
      </c>
      <c r="J136" s="50">
        <f ca="1"/>
        <v>44742</v>
      </c>
      <c r="K136">
        <f ca="1"/>
        <v>52373.99</v>
      </c>
      <c r="L136" t="str">
        <f ca="1"/>
        <v>111972-0</v>
      </c>
      <c r="M136" t="str">
        <f ca="1"/>
        <v>WORKING CAP.RECOVERY-A USD-ACC</v>
      </c>
      <c r="N136" t="str">
        <f ca="1"/>
        <v>USD</v>
      </c>
      <c r="O136" t="str">
        <f ca="1"/>
        <v>Investment Fund</v>
      </c>
      <c r="P136" t="str">
        <f ca="1"/>
        <v/>
      </c>
      <c r="Q136" t="str">
        <f ca="1"/>
        <v/>
      </c>
      <c r="R136" t="str">
        <f ca="1"/>
        <v>IE00BD3WP315</v>
      </c>
      <c r="S136" t="str">
        <f ca="1"/>
        <v/>
      </c>
      <c r="T136" t="str">
        <f ca="1"/>
        <v>01PAUSD ID Equity</v>
      </c>
      <c r="U136">
        <f ca="1">IF(LEFT(_xll.BDP($T136,U$2),4)="#N/A",0,_xll.BDP($T136,U$2))</f>
        <v>0</v>
      </c>
      <c r="V136" t="e">
        <f>_xll.BDP(#REF!,V$2)</f>
        <v>#REF!</v>
      </c>
      <c r="W136" t="e">
        <f>_xll.BDP(#REF!,W$2)</f>
        <v>#REF!</v>
      </c>
      <c r="X136" t="e">
        <f>_xll.BDP(#REF!,X$2)</f>
        <v>#REF!</v>
      </c>
      <c r="Y136" t="e">
        <f>_xll.BDP(#REF!,Y$2)</f>
        <v>#REF!</v>
      </c>
      <c r="Z136" t="e">
        <f>_xll.BDP(#REF!,Z$2)</f>
        <v>#REF!</v>
      </c>
      <c r="AA136" t="e">
        <f>_xll.BDP(#REF!,AA$2)</f>
        <v>#REF!</v>
      </c>
      <c r="AD136">
        <f ca="1">IF(LEFT(_xll.BDP($T136,AD$2),4)="#N/A",-1,_xll.BDP($T136,AD$2))</f>
        <v>-1</v>
      </c>
    </row>
    <row r="137" spans="1:30">
      <c r="A137">
        <f ca="1"/>
        <v>192</v>
      </c>
      <c r="B137" t="str">
        <f ca="1"/>
        <v>iW - NS</v>
      </c>
      <c r="C137" t="str">
        <f ca="1"/>
        <v>iW - NS</v>
      </c>
      <c r="D137">
        <f ca="1"/>
        <v>110311</v>
      </c>
      <c r="E137" t="str">
        <f ca="1"/>
        <v>iW - BALANCED</v>
      </c>
      <c r="F137" t="str">
        <f ca="1"/>
        <v>BALANCED</v>
      </c>
      <c r="G137">
        <f ca="1"/>
        <v>147</v>
      </c>
      <c r="H137" t="str">
        <f ca="1"/>
        <v>Pictet Fund Accounting</v>
      </c>
      <c r="I137" t="str">
        <f ca="1"/>
        <v>17202972-0</v>
      </c>
      <c r="J137" s="50">
        <f ca="1"/>
        <v>44742</v>
      </c>
      <c r="K137">
        <f ca="1"/>
        <v>12</v>
      </c>
      <c r="L137" t="str">
        <f ca="1"/>
        <v>156022-0</v>
      </c>
      <c r="M137" t="str">
        <f ca="1"/>
        <v>PUT S &amp; P 500-STOCK (OS) SPX</v>
      </c>
      <c r="N137" t="str">
        <f ca="1"/>
        <v>USD</v>
      </c>
      <c r="O137" t="str">
        <f ca="1"/>
        <v>Stock Market Index Option</v>
      </c>
      <c r="P137" t="str">
        <f ca="1"/>
        <v/>
      </c>
      <c r="Q137" t="str">
        <f ca="1"/>
        <v/>
      </c>
      <c r="R137" t="str">
        <f ca="1"/>
        <v>ZZ00AB4IWA 0</v>
      </c>
      <c r="S137" t="str">
        <f ca="1"/>
        <v/>
      </c>
      <c r="T137" t="str">
        <f ca="1"/>
        <v>SPX US 09/16/22 P3800 Index</v>
      </c>
      <c r="U137">
        <f ca="1">IF(LEFT(_xll.BDP($T137,U$2),4)="#N/A",0,_xll.BDP($T137,U$2))</f>
        <v>0</v>
      </c>
      <c r="V137" t="e">
        <f>_xll.BDP(#REF!,V$2)</f>
        <v>#REF!</v>
      </c>
      <c r="W137" t="e">
        <f>_xll.BDP(#REF!,W$2)</f>
        <v>#REF!</v>
      </c>
      <c r="X137" t="e">
        <f>_xll.BDP(#REF!,X$2)</f>
        <v>#REF!</v>
      </c>
      <c r="Y137" t="e">
        <f>_xll.BDP(#REF!,Y$2)</f>
        <v>#REF!</v>
      </c>
      <c r="Z137" t="e">
        <f>_xll.BDP(#REF!,Z$2)</f>
        <v>#REF!</v>
      </c>
      <c r="AA137" t="e">
        <f>_xll.BDP(#REF!,AA$2)</f>
        <v>#REF!</v>
      </c>
      <c r="AD137">
        <f ca="1">IF(LEFT(_xll.BDP($T137,AD$2),4)="#N/A",-1,_xll.BDP($T137,AD$2))</f>
        <v>-1</v>
      </c>
    </row>
    <row r="138" spans="1:30">
      <c r="A138">
        <f ca="1"/>
        <v>192</v>
      </c>
      <c r="B138" t="str">
        <f ca="1"/>
        <v>iW - NS</v>
      </c>
      <c r="C138" t="str">
        <f ca="1"/>
        <v>iW - NS</v>
      </c>
      <c r="D138">
        <f ca="1"/>
        <v>110311</v>
      </c>
      <c r="E138" t="str">
        <f ca="1"/>
        <v>iW - BALANCED</v>
      </c>
      <c r="F138" t="str">
        <f ca="1"/>
        <v>BALANCED</v>
      </c>
      <c r="G138">
        <f ca="1"/>
        <v>147</v>
      </c>
      <c r="H138" t="str">
        <f ca="1"/>
        <v>Pictet Fund Accounting</v>
      </c>
      <c r="I138" t="str">
        <f ca="1"/>
        <v>17202968-0</v>
      </c>
      <c r="J138" s="50">
        <f ca="1"/>
        <v>44742</v>
      </c>
      <c r="K138">
        <f ca="1"/>
        <v>-373.98</v>
      </c>
      <c r="L138" t="str">
        <f ca="1"/>
        <v>60606-0</v>
      </c>
      <c r="M138" t="str">
        <f ca="1"/>
        <v>Prov Audit Annual report</v>
      </c>
      <c r="N138" t="str">
        <f ca="1"/>
        <v>USD</v>
      </c>
      <c r="O138" t="str">
        <f ca="1"/>
        <v>Uncategorized (Treasury)</v>
      </c>
      <c r="P138" t="str">
        <f ca="1"/>
        <v/>
      </c>
      <c r="Q138" t="str">
        <f ca="1"/>
        <v/>
      </c>
      <c r="R138" t="str">
        <f ca="1"/>
        <v/>
      </c>
      <c r="S138" t="str">
        <f ca="1"/>
        <v/>
      </c>
      <c r="T138" t="str">
        <f ca="1"/>
        <v/>
      </c>
      <c r="U138">
        <f ca="1">IF(LEFT(_xll.BDP($T138,U$2),4)="#N/A",0,_xll.BDP($T138,U$2))</f>
        <v>0</v>
      </c>
      <c r="V138" t="e">
        <f>_xll.BDP(#REF!,V$2)</f>
        <v>#REF!</v>
      </c>
      <c r="W138" t="e">
        <f>_xll.BDP(#REF!,W$2)</f>
        <v>#REF!</v>
      </c>
      <c r="X138" t="e">
        <f>_xll.BDP(#REF!,X$2)</f>
        <v>#REF!</v>
      </c>
      <c r="Y138" t="e">
        <f>_xll.BDP(#REF!,Y$2)</f>
        <v>#REF!</v>
      </c>
      <c r="Z138" t="e">
        <f>_xll.BDP(#REF!,Z$2)</f>
        <v>#REF!</v>
      </c>
      <c r="AA138" t="e">
        <f>_xll.BDP(#REF!,AA$2)</f>
        <v>#REF!</v>
      </c>
      <c r="AD138">
        <f ca="1">IF(LEFT(_xll.BDP($T138,AD$2),4)="#N/A",-1,_xll.BDP($T138,AD$2))</f>
        <v>-1</v>
      </c>
    </row>
    <row r="139" spans="1:30">
      <c r="A139">
        <f ca="1"/>
        <v>192</v>
      </c>
      <c r="B139" t="str">
        <f ca="1"/>
        <v>iW - NS</v>
      </c>
      <c r="C139" t="str">
        <f ca="1"/>
        <v>iW - NS</v>
      </c>
      <c r="D139">
        <f ca="1"/>
        <v>110311</v>
      </c>
      <c r="E139" t="str">
        <f ca="1"/>
        <v>iW - BALANCED</v>
      </c>
      <c r="F139" t="str">
        <f ca="1"/>
        <v>BALANCED</v>
      </c>
      <c r="G139">
        <f ca="1"/>
        <v>147</v>
      </c>
      <c r="H139" t="str">
        <f ca="1"/>
        <v>Pictet Fund Accounting</v>
      </c>
      <c r="I139" t="str">
        <f ca="1"/>
        <v>17202962-0</v>
      </c>
      <c r="J139" s="50">
        <f ca="1"/>
        <v>44742</v>
      </c>
      <c r="K139">
        <f ca="1"/>
        <v>-1202.98</v>
      </c>
      <c r="L139" t="str">
        <f ca="1"/>
        <v>60603-0</v>
      </c>
      <c r="M139" t="str">
        <f ca="1"/>
        <v>Provis. taxe d'abonnemt 0.01 %</v>
      </c>
      <c r="N139" t="str">
        <f ca="1"/>
        <v>USD</v>
      </c>
      <c r="O139" t="str">
        <f ca="1"/>
        <v>Uncategorized (Treasury)</v>
      </c>
      <c r="P139" t="str">
        <f ca="1"/>
        <v/>
      </c>
      <c r="Q139" t="str">
        <f ca="1"/>
        <v/>
      </c>
      <c r="R139" t="str">
        <f ca="1"/>
        <v/>
      </c>
      <c r="S139" t="str">
        <f ca="1"/>
        <v/>
      </c>
      <c r="T139" t="str">
        <f ca="1"/>
        <v/>
      </c>
      <c r="U139">
        <f ca="1">IF(LEFT(_xll.BDP($T139,U$2),4)="#N/A",0,_xll.BDP($T139,U$2))</f>
        <v>0</v>
      </c>
      <c r="V139" t="e">
        <f>_xll.BDP(#REF!,V$2)</f>
        <v>#REF!</v>
      </c>
      <c r="W139" t="e">
        <f>_xll.BDP(#REF!,W$2)</f>
        <v>#REF!</v>
      </c>
      <c r="X139" t="e">
        <f>_xll.BDP(#REF!,X$2)</f>
        <v>#REF!</v>
      </c>
      <c r="Y139" t="e">
        <f>_xll.BDP(#REF!,Y$2)</f>
        <v>#REF!</v>
      </c>
      <c r="Z139" t="e">
        <f>_xll.BDP(#REF!,Z$2)</f>
        <v>#REF!</v>
      </c>
      <c r="AA139" t="e">
        <f>_xll.BDP(#REF!,AA$2)</f>
        <v>#REF!</v>
      </c>
      <c r="AD139">
        <f ca="1">IF(LEFT(_xll.BDP($T139,AD$2),4)="#N/A",-1,_xll.BDP($T139,AD$2))</f>
        <v>-1</v>
      </c>
    </row>
    <row r="140" spans="1:30">
      <c r="A140">
        <f ca="1"/>
        <v>192</v>
      </c>
      <c r="B140" t="str">
        <f ca="1"/>
        <v>iW - NS</v>
      </c>
      <c r="C140" t="str">
        <f ca="1"/>
        <v>iW - NS</v>
      </c>
      <c r="D140">
        <f ca="1"/>
        <v>110311</v>
      </c>
      <c r="E140" t="str">
        <f ca="1"/>
        <v>iW - BALANCED</v>
      </c>
      <c r="F140" t="str">
        <f ca="1"/>
        <v>BALANCED</v>
      </c>
      <c r="G140">
        <f ca="1"/>
        <v>147</v>
      </c>
      <c r="H140" t="str">
        <f ca="1"/>
        <v>Pictet Fund Accounting</v>
      </c>
      <c r="I140" t="str">
        <f ca="1"/>
        <v>17202961-0</v>
      </c>
      <c r="J140" s="50">
        <f ca="1"/>
        <v>44742</v>
      </c>
      <c r="K140">
        <f ca="1"/>
        <v>-10634.53</v>
      </c>
      <c r="L140" t="str">
        <f ca="1"/>
        <v>73818-0</v>
      </c>
      <c r="M140" t="str">
        <f ca="1"/>
        <v>Provis/paiemt audit fees ant</v>
      </c>
      <c r="N140" t="str">
        <f ca="1"/>
        <v>USD</v>
      </c>
      <c r="O140" t="str">
        <f ca="1"/>
        <v>Uncategorized (Treasury)</v>
      </c>
      <c r="P140" t="str">
        <f ca="1"/>
        <v/>
      </c>
      <c r="Q140" t="str">
        <f ca="1"/>
        <v/>
      </c>
      <c r="R140" t="str">
        <f ca="1"/>
        <v/>
      </c>
      <c r="S140" t="str">
        <f ca="1"/>
        <v/>
      </c>
      <c r="T140" t="str">
        <f ca="1"/>
        <v/>
      </c>
      <c r="U140">
        <f ca="1">IF(LEFT(_xll.BDP($T140,U$2),4)="#N/A",0,_xll.BDP($T140,U$2))</f>
        <v>0</v>
      </c>
      <c r="V140" t="e">
        <f>_xll.BDP(#REF!,V$2)</f>
        <v>#REF!</v>
      </c>
      <c r="W140" t="e">
        <f>_xll.BDP(#REF!,W$2)</f>
        <v>#REF!</v>
      </c>
      <c r="X140" t="e">
        <f>_xll.BDP(#REF!,X$2)</f>
        <v>#REF!</v>
      </c>
      <c r="Y140" t="e">
        <f>_xll.BDP(#REF!,Y$2)</f>
        <v>#REF!</v>
      </c>
      <c r="Z140" t="e">
        <f>_xll.BDP(#REF!,Z$2)</f>
        <v>#REF!</v>
      </c>
      <c r="AA140" t="e">
        <f>_xll.BDP(#REF!,AA$2)</f>
        <v>#REF!</v>
      </c>
      <c r="AD140">
        <f ca="1">IF(LEFT(_xll.BDP($T140,AD$2),4)="#N/A",-1,_xll.BDP($T140,AD$2))</f>
        <v>-1</v>
      </c>
    </row>
    <row r="141" spans="1:30">
      <c r="A141">
        <f ca="1"/>
        <v>192</v>
      </c>
      <c r="B141" t="str">
        <f ca="1"/>
        <v>iW - NS</v>
      </c>
      <c r="C141" t="str">
        <f ca="1"/>
        <v>iW - NS</v>
      </c>
      <c r="D141">
        <f ca="1"/>
        <v>110311</v>
      </c>
      <c r="E141" t="str">
        <f ca="1"/>
        <v>iW - BALANCED</v>
      </c>
      <c r="F141" t="str">
        <f ca="1"/>
        <v>BALANCED</v>
      </c>
      <c r="G141">
        <f ca="1"/>
        <v>147</v>
      </c>
      <c r="H141" t="str">
        <f ca="1"/>
        <v>Pictet Fund Accounting</v>
      </c>
      <c r="I141" t="str">
        <f ca="1"/>
        <v>17202944-0</v>
      </c>
      <c r="J141" s="50">
        <f ca="1"/>
        <v>44742</v>
      </c>
      <c r="K141">
        <f ca="1"/>
        <v>-11629.04</v>
      </c>
      <c r="L141" t="str">
        <f ca="1"/>
        <v>60588-0</v>
      </c>
      <c r="M141" t="str">
        <f ca="1"/>
        <v>Provision administration fee</v>
      </c>
      <c r="N141" t="str">
        <f ca="1"/>
        <v>USD</v>
      </c>
      <c r="O141" t="str">
        <f ca="1"/>
        <v>Uncategorized (Treasury)</v>
      </c>
      <c r="P141" t="str">
        <f ca="1"/>
        <v/>
      </c>
      <c r="Q141" t="str">
        <f ca="1"/>
        <v/>
      </c>
      <c r="R141" t="str">
        <f ca="1"/>
        <v/>
      </c>
      <c r="S141" t="str">
        <f ca="1"/>
        <v/>
      </c>
      <c r="T141" t="str">
        <f ca="1"/>
        <v/>
      </c>
      <c r="U141">
        <f ca="1">IF(LEFT(_xll.BDP($T141,U$2),4)="#N/A",0,_xll.BDP($T141,U$2))</f>
        <v>0</v>
      </c>
      <c r="V141" t="e">
        <f>_xll.BDP(#REF!,V$2)</f>
        <v>#REF!</v>
      </c>
      <c r="W141" t="e">
        <f>_xll.BDP(#REF!,W$2)</f>
        <v>#REF!</v>
      </c>
      <c r="X141" t="e">
        <f>_xll.BDP(#REF!,X$2)</f>
        <v>#REF!</v>
      </c>
      <c r="Y141" t="e">
        <f>_xll.BDP(#REF!,Y$2)</f>
        <v>#REF!</v>
      </c>
      <c r="Z141" t="e">
        <f>_xll.BDP(#REF!,Z$2)</f>
        <v>#REF!</v>
      </c>
      <c r="AA141" t="e">
        <f>_xll.BDP(#REF!,AA$2)</f>
        <v>#REF!</v>
      </c>
      <c r="AD141">
        <f ca="1">IF(LEFT(_xll.BDP($T141,AD$2),4)="#N/A",-1,_xll.BDP($T141,AD$2))</f>
        <v>-1</v>
      </c>
    </row>
    <row r="142" spans="1:30">
      <c r="A142">
        <f ca="1"/>
        <v>192</v>
      </c>
      <c r="B142" t="str">
        <f ca="1"/>
        <v>iW - NS</v>
      </c>
      <c r="C142" t="str">
        <f ca="1"/>
        <v>iW - NS</v>
      </c>
      <c r="D142">
        <f ca="1"/>
        <v>110311</v>
      </c>
      <c r="E142" t="str">
        <f ca="1"/>
        <v>iW - BALANCED</v>
      </c>
      <c r="F142" t="str">
        <f ca="1"/>
        <v>BALANCED</v>
      </c>
      <c r="G142">
        <f ca="1"/>
        <v>147</v>
      </c>
      <c r="H142" t="str">
        <f ca="1"/>
        <v>Pictet Fund Accounting</v>
      </c>
      <c r="I142" t="str">
        <f ca="1"/>
        <v>17202947-0</v>
      </c>
      <c r="J142" s="50">
        <f ca="1"/>
        <v>44742</v>
      </c>
      <c r="K142">
        <f ca="1"/>
        <v>-91198.05</v>
      </c>
      <c r="L142" t="str">
        <f ca="1"/>
        <v>111962-0</v>
      </c>
      <c r="M142" t="str">
        <f ca="1"/>
        <v>Provision Advisory fees B</v>
      </c>
      <c r="N142" t="str">
        <f ca="1"/>
        <v>USD</v>
      </c>
      <c r="O142" t="str">
        <f ca="1"/>
        <v>Uncategorized (Treasury)</v>
      </c>
      <c r="P142" t="str">
        <f ca="1"/>
        <v/>
      </c>
      <c r="Q142" t="str">
        <f ca="1"/>
        <v/>
      </c>
      <c r="R142" t="str">
        <f ca="1"/>
        <v/>
      </c>
      <c r="S142" t="str">
        <f ca="1"/>
        <v/>
      </c>
      <c r="T142" t="str">
        <f ca="1"/>
        <v/>
      </c>
      <c r="U142">
        <f ca="1">IF(LEFT(_xll.BDP($T142,U$2),4)="#N/A",0,_xll.BDP($T142,U$2))</f>
        <v>0</v>
      </c>
      <c r="V142" t="e">
        <f>_xll.BDP(#REF!,V$2)</f>
        <v>#REF!</v>
      </c>
      <c r="W142" t="e">
        <f>_xll.BDP(#REF!,W$2)</f>
        <v>#REF!</v>
      </c>
      <c r="X142" t="e">
        <f>_xll.BDP(#REF!,X$2)</f>
        <v>#REF!</v>
      </c>
      <c r="Y142" t="e">
        <f>_xll.BDP(#REF!,Y$2)</f>
        <v>#REF!</v>
      </c>
      <c r="Z142" t="e">
        <f>_xll.BDP(#REF!,Z$2)</f>
        <v>#REF!</v>
      </c>
      <c r="AA142" t="e">
        <f>_xll.BDP(#REF!,AA$2)</f>
        <v>#REF!</v>
      </c>
      <c r="AD142">
        <f ca="1">IF(LEFT(_xll.BDP($T142,AD$2),4)="#N/A",-1,_xll.BDP($T142,AD$2))</f>
        <v>-1</v>
      </c>
    </row>
    <row r="143" spans="1:30">
      <c r="A143">
        <f ca="1"/>
        <v>192</v>
      </c>
      <c r="B143" t="str">
        <f ca="1"/>
        <v>iW - NS</v>
      </c>
      <c r="C143" t="str">
        <f ca="1"/>
        <v>iW - NS</v>
      </c>
      <c r="D143">
        <f ca="1"/>
        <v>110311</v>
      </c>
      <c r="E143" t="str">
        <f ca="1"/>
        <v>iW - BALANCED</v>
      </c>
      <c r="F143" t="str">
        <f ca="1"/>
        <v>BALANCED</v>
      </c>
      <c r="G143">
        <f ca="1"/>
        <v>147</v>
      </c>
      <c r="H143" t="str">
        <f ca="1"/>
        <v>Pictet Fund Accounting</v>
      </c>
      <c r="I143" t="str">
        <f ca="1"/>
        <v>17202981-0</v>
      </c>
      <c r="J143" s="50">
        <f ca="1"/>
        <v>44742</v>
      </c>
      <c r="K143">
        <f ca="1"/>
        <v>-10337.69</v>
      </c>
      <c r="L143" t="str">
        <f ca="1"/>
        <v>70421-0</v>
      </c>
      <c r="M143" t="str">
        <f ca="1"/>
        <v>Provision AIFM Fees</v>
      </c>
      <c r="N143" t="str">
        <f ca="1"/>
        <v>USD</v>
      </c>
      <c r="O143" t="str">
        <f ca="1"/>
        <v>Uncategorized (Treasury)</v>
      </c>
      <c r="P143" t="str">
        <f ca="1"/>
        <v/>
      </c>
      <c r="Q143" t="str">
        <f ca="1"/>
        <v/>
      </c>
      <c r="R143" t="str">
        <f ca="1"/>
        <v/>
      </c>
      <c r="S143" t="str">
        <f ca="1"/>
        <v/>
      </c>
      <c r="T143" t="str">
        <f ca="1"/>
        <v/>
      </c>
      <c r="U143">
        <f ca="1">IF(LEFT(_xll.BDP($T143,U$2),4)="#N/A",0,_xll.BDP($T143,U$2))</f>
        <v>0</v>
      </c>
      <c r="V143" t="e">
        <f>_xll.BDP(#REF!,V$2)</f>
        <v>#REF!</v>
      </c>
      <c r="W143" t="e">
        <f>_xll.BDP(#REF!,W$2)</f>
        <v>#REF!</v>
      </c>
      <c r="X143" t="e">
        <f>_xll.BDP(#REF!,X$2)</f>
        <v>#REF!</v>
      </c>
      <c r="Y143" t="e">
        <f>_xll.BDP(#REF!,Y$2)</f>
        <v>#REF!</v>
      </c>
      <c r="Z143" t="e">
        <f>_xll.BDP(#REF!,Z$2)</f>
        <v>#REF!</v>
      </c>
      <c r="AA143" t="e">
        <f>_xll.BDP(#REF!,AA$2)</f>
        <v>#REF!</v>
      </c>
      <c r="AD143">
        <f ca="1">IF(LEFT(_xll.BDP($T143,AD$2),4)="#N/A",-1,_xll.BDP($T143,AD$2))</f>
        <v>-1</v>
      </c>
    </row>
    <row r="144" spans="1:30">
      <c r="A144">
        <f ca="1"/>
        <v>192</v>
      </c>
      <c r="B144" t="str">
        <f ca="1"/>
        <v>iW - NS</v>
      </c>
      <c r="C144" t="str">
        <f ca="1"/>
        <v>iW - NS</v>
      </c>
      <c r="D144">
        <f ca="1"/>
        <v>110311</v>
      </c>
      <c r="E144" t="str">
        <f ca="1"/>
        <v>iW - BALANCED</v>
      </c>
      <c r="F144" t="str">
        <f ca="1"/>
        <v>BALANCED</v>
      </c>
      <c r="G144">
        <f ca="1"/>
        <v>147</v>
      </c>
      <c r="H144" t="str">
        <f ca="1"/>
        <v>Pictet Fund Accounting</v>
      </c>
      <c r="I144" t="str">
        <f ca="1"/>
        <v>17202953-0</v>
      </c>
      <c r="J144" s="50">
        <f ca="1"/>
        <v>44742</v>
      </c>
      <c r="K144">
        <f ca="1"/>
        <v>-8240.4</v>
      </c>
      <c r="L144" t="str">
        <f ca="1"/>
        <v>60591-0</v>
      </c>
      <c r="M144" t="str">
        <f ca="1"/>
        <v>Provision audit fees</v>
      </c>
      <c r="N144" t="str">
        <f ca="1"/>
        <v>USD</v>
      </c>
      <c r="O144" t="str">
        <f ca="1"/>
        <v>Uncategorized (Treasury)</v>
      </c>
      <c r="P144" t="str">
        <f ca="1"/>
        <v/>
      </c>
      <c r="Q144" t="str">
        <f ca="1"/>
        <v/>
      </c>
      <c r="R144" t="str">
        <f ca="1"/>
        <v/>
      </c>
      <c r="S144" t="str">
        <f ca="1"/>
        <v/>
      </c>
      <c r="T144" t="str">
        <f ca="1"/>
        <v/>
      </c>
      <c r="U144">
        <f ca="1">IF(LEFT(_xll.BDP($T144,U$2),4)="#N/A",0,_xll.BDP($T144,U$2))</f>
        <v>0</v>
      </c>
      <c r="V144" t="e">
        <f>_xll.BDP(#REF!,V$2)</f>
        <v>#REF!</v>
      </c>
      <c r="W144" t="e">
        <f>_xll.BDP(#REF!,W$2)</f>
        <v>#REF!</v>
      </c>
      <c r="X144" t="e">
        <f>_xll.BDP(#REF!,X$2)</f>
        <v>#REF!</v>
      </c>
      <c r="Y144" t="e">
        <f>_xll.BDP(#REF!,Y$2)</f>
        <v>#REF!</v>
      </c>
      <c r="Z144" t="e">
        <f>_xll.BDP(#REF!,Z$2)</f>
        <v>#REF!</v>
      </c>
      <c r="AA144" t="e">
        <f>_xll.BDP(#REF!,AA$2)</f>
        <v>#REF!</v>
      </c>
      <c r="AD144">
        <f ca="1">IF(LEFT(_xll.BDP($T144,AD$2),4)="#N/A",-1,_xll.BDP($T144,AD$2))</f>
        <v>-1</v>
      </c>
    </row>
    <row r="145" spans="1:30">
      <c r="A145">
        <f ca="1"/>
        <v>192</v>
      </c>
      <c r="B145" t="str">
        <f ca="1"/>
        <v>iW - NS</v>
      </c>
      <c r="C145" t="str">
        <f ca="1"/>
        <v>iW - NS</v>
      </c>
      <c r="D145">
        <f ca="1"/>
        <v>110311</v>
      </c>
      <c r="E145" t="str">
        <f ca="1"/>
        <v>iW - BALANCED</v>
      </c>
      <c r="F145" t="str">
        <f ca="1"/>
        <v>BALANCED</v>
      </c>
      <c r="G145">
        <f ca="1"/>
        <v>147</v>
      </c>
      <c r="H145" t="str">
        <f ca="1"/>
        <v>Pictet Fund Accounting</v>
      </c>
      <c r="I145" t="str">
        <f ca="1"/>
        <v>17202973-0</v>
      </c>
      <c r="J145" s="50">
        <f ca="1"/>
        <v>44742</v>
      </c>
      <c r="K145">
        <f ca="1"/>
        <v>-249.31</v>
      </c>
      <c r="L145" t="str">
        <f ca="1"/>
        <v>123776-0</v>
      </c>
      <c r="M145" t="str">
        <f ca="1"/>
        <v>Provision CRS fees</v>
      </c>
      <c r="N145" t="str">
        <f ca="1"/>
        <v>USD</v>
      </c>
      <c r="O145" t="str">
        <f ca="1"/>
        <v>Uncategorized (Treasury)</v>
      </c>
      <c r="P145" t="str">
        <f ca="1"/>
        <v/>
      </c>
      <c r="Q145" t="str">
        <f ca="1"/>
        <v/>
      </c>
      <c r="R145" t="str">
        <f ca="1"/>
        <v/>
      </c>
      <c r="S145" t="str">
        <f ca="1"/>
        <v/>
      </c>
      <c r="T145" t="str">
        <f ca="1"/>
        <v/>
      </c>
      <c r="U145">
        <f ca="1">IF(LEFT(_xll.BDP($T145,U$2),4)="#N/A",0,_xll.BDP($T145,U$2))</f>
        <v>0</v>
      </c>
      <c r="V145" t="e">
        <f>_xll.BDP(#REF!,V$2)</f>
        <v>#REF!</v>
      </c>
      <c r="W145" t="e">
        <f>_xll.BDP(#REF!,W$2)</f>
        <v>#REF!</v>
      </c>
      <c r="X145" t="e">
        <f>_xll.BDP(#REF!,X$2)</f>
        <v>#REF!</v>
      </c>
      <c r="Y145" t="e">
        <f>_xll.BDP(#REF!,Y$2)</f>
        <v>#REF!</v>
      </c>
      <c r="Z145" t="e">
        <f>_xll.BDP(#REF!,Z$2)</f>
        <v>#REF!</v>
      </c>
      <c r="AA145" t="e">
        <f>_xll.BDP(#REF!,AA$2)</f>
        <v>#REF!</v>
      </c>
      <c r="AD145">
        <f ca="1">IF(LEFT(_xll.BDP($T145,AD$2),4)="#N/A",-1,_xll.BDP($T145,AD$2))</f>
        <v>-1</v>
      </c>
    </row>
    <row r="146" spans="1:30">
      <c r="A146">
        <f ca="1"/>
        <v>192</v>
      </c>
      <c r="B146" t="str">
        <f ca="1"/>
        <v>iW - NS</v>
      </c>
      <c r="C146" t="str">
        <f ca="1"/>
        <v>iW - NS</v>
      </c>
      <c r="D146">
        <f ca="1"/>
        <v>110311</v>
      </c>
      <c r="E146" t="str">
        <f ca="1"/>
        <v>iW - BALANCED</v>
      </c>
      <c r="F146" t="str">
        <f ca="1"/>
        <v>BALANCED</v>
      </c>
      <c r="G146">
        <f ca="1"/>
        <v>147</v>
      </c>
      <c r="H146" t="str">
        <f ca="1"/>
        <v>Pictet Fund Accounting</v>
      </c>
      <c r="I146" t="str">
        <f ca="1"/>
        <v>17202943-0</v>
      </c>
      <c r="J146" s="50">
        <f ca="1"/>
        <v>44742</v>
      </c>
      <c r="K146">
        <f ca="1"/>
        <v>-9819.85</v>
      </c>
      <c r="L146" t="str">
        <f ca="1"/>
        <v>60584-0</v>
      </c>
      <c r="M146" t="str">
        <f ca="1"/>
        <v>Provision custody fee</v>
      </c>
      <c r="N146" t="str">
        <f ca="1"/>
        <v>USD</v>
      </c>
      <c r="O146" t="str">
        <f ca="1"/>
        <v>Uncategorized (Treasury)</v>
      </c>
      <c r="P146" t="str">
        <f ca="1"/>
        <v/>
      </c>
      <c r="Q146" t="str">
        <f ca="1"/>
        <v/>
      </c>
      <c r="R146" t="str">
        <f ca="1"/>
        <v/>
      </c>
      <c r="S146" t="str">
        <f ca="1"/>
        <v/>
      </c>
      <c r="T146" t="str">
        <f ca="1"/>
        <v/>
      </c>
      <c r="U146">
        <f ca="1">IF(LEFT(_xll.BDP($T146,U$2),4)="#N/A",0,_xll.BDP($T146,U$2))</f>
        <v>0</v>
      </c>
      <c r="V146" t="e">
        <f>_xll.BDP(#REF!,V$2)</f>
        <v>#REF!</v>
      </c>
      <c r="W146" t="e">
        <f>_xll.BDP(#REF!,W$2)</f>
        <v>#REF!</v>
      </c>
      <c r="X146" t="e">
        <f>_xll.BDP(#REF!,X$2)</f>
        <v>#REF!</v>
      </c>
      <c r="Y146" t="e">
        <f>_xll.BDP(#REF!,Y$2)</f>
        <v>#REF!</v>
      </c>
      <c r="Z146" t="e">
        <f>_xll.BDP(#REF!,Z$2)</f>
        <v>#REF!</v>
      </c>
      <c r="AA146" t="e">
        <f>_xll.BDP(#REF!,AA$2)</f>
        <v>#REF!</v>
      </c>
      <c r="AD146">
        <f ca="1">IF(LEFT(_xll.BDP($T146,AD$2),4)="#N/A",-1,_xll.BDP($T146,AD$2))</f>
        <v>-1</v>
      </c>
    </row>
    <row r="147" spans="1:30">
      <c r="A147">
        <f ca="1"/>
        <v>192</v>
      </c>
      <c r="B147" t="str">
        <f ca="1"/>
        <v>iW - NS</v>
      </c>
      <c r="C147" t="str">
        <f ca="1"/>
        <v>iW - NS</v>
      </c>
      <c r="D147">
        <f ca="1"/>
        <v>110311</v>
      </c>
      <c r="E147" t="str">
        <f ca="1"/>
        <v>iW - BALANCED</v>
      </c>
      <c r="F147" t="str">
        <f ca="1"/>
        <v>BALANCED</v>
      </c>
      <c r="G147">
        <f ca="1"/>
        <v>147</v>
      </c>
      <c r="H147" t="str">
        <f ca="1"/>
        <v>Pictet Fund Accounting</v>
      </c>
      <c r="I147" t="str">
        <f ca="1"/>
        <v>17202948-0</v>
      </c>
      <c r="J147" s="50">
        <f ca="1"/>
        <v>44742</v>
      </c>
      <c r="K147">
        <f ca="1"/>
        <v>2809.58</v>
      </c>
      <c r="L147" t="str">
        <f ca="1"/>
        <v>60590-0</v>
      </c>
      <c r="M147" t="str">
        <f ca="1"/>
        <v>Provision directors fees</v>
      </c>
      <c r="N147" t="str">
        <f ca="1"/>
        <v>USD</v>
      </c>
      <c r="O147" t="str">
        <f ca="1"/>
        <v>Uncategorized (Treasury)</v>
      </c>
      <c r="P147" t="str">
        <f ca="1"/>
        <v/>
      </c>
      <c r="Q147" t="str">
        <f ca="1"/>
        <v/>
      </c>
      <c r="R147" t="str">
        <f ca="1"/>
        <v/>
      </c>
      <c r="S147" t="str">
        <f ca="1"/>
        <v/>
      </c>
      <c r="T147" t="str">
        <f ca="1"/>
        <v/>
      </c>
      <c r="U147">
        <f ca="1">IF(LEFT(_xll.BDP($T147,U$2),4)="#N/A",0,_xll.BDP($T147,U$2))</f>
        <v>0</v>
      </c>
      <c r="V147" t="e">
        <f>_xll.BDP(#REF!,V$2)</f>
        <v>#REF!</v>
      </c>
      <c r="W147" t="e">
        <f>_xll.BDP(#REF!,W$2)</f>
        <v>#REF!</v>
      </c>
      <c r="X147" t="e">
        <f>_xll.BDP(#REF!,X$2)</f>
        <v>#REF!</v>
      </c>
      <c r="Y147" t="e">
        <f>_xll.BDP(#REF!,Y$2)</f>
        <v>#REF!</v>
      </c>
      <c r="Z147" t="e">
        <f>_xll.BDP(#REF!,Z$2)</f>
        <v>#REF!</v>
      </c>
      <c r="AA147" t="e">
        <f>_xll.BDP(#REF!,AA$2)</f>
        <v>#REF!</v>
      </c>
      <c r="AD147">
        <f ca="1">IF(LEFT(_xll.BDP($T147,AD$2),4)="#N/A",-1,_xll.BDP($T147,AD$2))</f>
        <v>-1</v>
      </c>
    </row>
    <row r="148" spans="1:30">
      <c r="A148">
        <f ca="1"/>
        <v>192</v>
      </c>
      <c r="B148" t="str">
        <f ca="1"/>
        <v>iW - NS</v>
      </c>
      <c r="C148" t="str">
        <f ca="1"/>
        <v>iW - NS</v>
      </c>
      <c r="D148">
        <f ca="1"/>
        <v>110311</v>
      </c>
      <c r="E148" t="str">
        <f ca="1"/>
        <v>iW - BALANCED</v>
      </c>
      <c r="F148" t="str">
        <f ca="1"/>
        <v>BALANCED</v>
      </c>
      <c r="G148">
        <f ca="1"/>
        <v>147</v>
      </c>
      <c r="H148" t="str">
        <f ca="1"/>
        <v>Pictet Fund Accounting</v>
      </c>
      <c r="I148" t="str">
        <f ca="1"/>
        <v>17202960-0</v>
      </c>
      <c r="J148" s="50">
        <f ca="1"/>
        <v>44742</v>
      </c>
      <c r="K148">
        <f ca="1"/>
        <v>-452.27</v>
      </c>
      <c r="L148" t="str">
        <f ca="1"/>
        <v>60600-0</v>
      </c>
      <c r="M148" t="str">
        <f ca="1"/>
        <v>Provision Domiciliation fees</v>
      </c>
      <c r="N148" t="str">
        <f ca="1"/>
        <v>USD</v>
      </c>
      <c r="O148" t="str">
        <f ca="1"/>
        <v>Uncategorized (Treasury)</v>
      </c>
      <c r="P148" t="str">
        <f ca="1"/>
        <v/>
      </c>
      <c r="Q148" t="str">
        <f ca="1"/>
        <v/>
      </c>
      <c r="R148" t="str">
        <f ca="1"/>
        <v/>
      </c>
      <c r="S148" t="str">
        <f ca="1"/>
        <v/>
      </c>
      <c r="T148" t="str">
        <f ca="1"/>
        <v/>
      </c>
      <c r="U148">
        <f ca="1">IF(LEFT(_xll.BDP($T148,U$2),4)="#N/A",0,_xll.BDP($T148,U$2))</f>
        <v>0</v>
      </c>
      <c r="V148" t="e">
        <f>_xll.BDP(#REF!,V$2)</f>
        <v>#REF!</v>
      </c>
      <c r="W148" t="e">
        <f>_xll.BDP(#REF!,W$2)</f>
        <v>#REF!</v>
      </c>
      <c r="X148" t="e">
        <f>_xll.BDP(#REF!,X$2)</f>
        <v>#REF!</v>
      </c>
      <c r="Y148" t="e">
        <f>_xll.BDP(#REF!,Y$2)</f>
        <v>#REF!</v>
      </c>
      <c r="Z148" t="e">
        <f>_xll.BDP(#REF!,Z$2)</f>
        <v>#REF!</v>
      </c>
      <c r="AA148" t="e">
        <f>_xll.BDP(#REF!,AA$2)</f>
        <v>#REF!</v>
      </c>
      <c r="AD148">
        <f ca="1">IF(LEFT(_xll.BDP($T148,AD$2),4)="#N/A",-1,_xll.BDP($T148,AD$2))</f>
        <v>-1</v>
      </c>
    </row>
    <row r="149" spans="1:30">
      <c r="A149">
        <f ca="1"/>
        <v>192</v>
      </c>
      <c r="B149" t="str">
        <f ca="1"/>
        <v>iW - NS</v>
      </c>
      <c r="C149" t="str">
        <f ca="1"/>
        <v>iW - NS</v>
      </c>
      <c r="D149">
        <f ca="1"/>
        <v>110311</v>
      </c>
      <c r="E149" t="str">
        <f ca="1"/>
        <v>iW - BALANCED</v>
      </c>
      <c r="F149" t="str">
        <f ca="1"/>
        <v>BALANCED</v>
      </c>
      <c r="G149">
        <f ca="1"/>
        <v>147</v>
      </c>
      <c r="H149" t="str">
        <f ca="1"/>
        <v>Pictet Fund Accounting</v>
      </c>
      <c r="I149" t="str">
        <f ca="1"/>
        <v>17202978-0</v>
      </c>
      <c r="J149" s="50">
        <f ca="1"/>
        <v>44742</v>
      </c>
      <c r="K149">
        <f ca="1"/>
        <v>-249.31</v>
      </c>
      <c r="L149" t="str">
        <f ca="1"/>
        <v>123777-0</v>
      </c>
      <c r="M149" t="str">
        <f ca="1"/>
        <v>Provision FATCA fees</v>
      </c>
      <c r="N149" t="str">
        <f ca="1"/>
        <v>USD</v>
      </c>
      <c r="O149" t="str">
        <f ca="1"/>
        <v>Uncategorized (Treasury)</v>
      </c>
      <c r="P149" t="str">
        <f ca="1"/>
        <v/>
      </c>
      <c r="Q149" t="str">
        <f ca="1"/>
        <v/>
      </c>
      <c r="R149" t="str">
        <f ca="1"/>
        <v/>
      </c>
      <c r="S149" t="str">
        <f ca="1"/>
        <v/>
      </c>
      <c r="T149" t="str">
        <f ca="1"/>
        <v/>
      </c>
      <c r="U149">
        <f ca="1">IF(LEFT(_xll.BDP($T149,U$2),4)="#N/A",0,_xll.BDP($T149,U$2))</f>
        <v>0</v>
      </c>
      <c r="V149" t="e">
        <f>_xll.BDP(#REF!,V$2)</f>
        <v>#REF!</v>
      </c>
      <c r="W149" t="e">
        <f>_xll.BDP(#REF!,W$2)</f>
        <v>#REF!</v>
      </c>
      <c r="X149" t="e">
        <f>_xll.BDP(#REF!,X$2)</f>
        <v>#REF!</v>
      </c>
      <c r="Y149" t="e">
        <f>_xll.BDP(#REF!,Y$2)</f>
        <v>#REF!</v>
      </c>
      <c r="Z149" t="e">
        <f>_xll.BDP(#REF!,Z$2)</f>
        <v>#REF!</v>
      </c>
      <c r="AA149" t="e">
        <f>_xll.BDP(#REF!,AA$2)</f>
        <v>#REF!</v>
      </c>
      <c r="AD149">
        <f ca="1">IF(LEFT(_xll.BDP($T149,AD$2),4)="#N/A",-1,_xll.BDP($T149,AD$2))</f>
        <v>-1</v>
      </c>
    </row>
    <row r="150" spans="1:30">
      <c r="A150">
        <f ca="1"/>
        <v>192</v>
      </c>
      <c r="B150" t="str">
        <f ca="1"/>
        <v>iW - NS</v>
      </c>
      <c r="C150" t="str">
        <f ca="1"/>
        <v>iW - NS</v>
      </c>
      <c r="D150">
        <f ca="1"/>
        <v>110311</v>
      </c>
      <c r="E150" t="str">
        <f ca="1"/>
        <v>iW - BALANCED</v>
      </c>
      <c r="F150" t="str">
        <f ca="1"/>
        <v>BALANCED</v>
      </c>
      <c r="G150">
        <f ca="1"/>
        <v>147</v>
      </c>
      <c r="H150" t="str">
        <f ca="1"/>
        <v>Pictet Fund Accounting</v>
      </c>
      <c r="I150" t="str">
        <f ca="1"/>
        <v>17202954-0</v>
      </c>
      <c r="J150" s="50">
        <f ca="1"/>
        <v>44742</v>
      </c>
      <c r="K150">
        <f ca="1"/>
        <v>-623.29</v>
      </c>
      <c r="L150" t="str">
        <f ca="1"/>
        <v>60592-0</v>
      </c>
      <c r="M150" t="str">
        <f ca="1"/>
        <v>Provision professional fees</v>
      </c>
      <c r="N150" t="str">
        <f ca="1"/>
        <v>USD</v>
      </c>
      <c r="O150" t="str">
        <f ca="1"/>
        <v>Uncategorized (Treasury)</v>
      </c>
      <c r="P150" t="str">
        <f ca="1"/>
        <v/>
      </c>
      <c r="Q150" t="str">
        <f ca="1"/>
        <v/>
      </c>
      <c r="R150" t="str">
        <f ca="1"/>
        <v/>
      </c>
      <c r="S150" t="str">
        <f ca="1"/>
        <v/>
      </c>
      <c r="T150" t="str">
        <f ca="1"/>
        <v/>
      </c>
      <c r="U150">
        <f ca="1">IF(LEFT(_xll.BDP($T150,U$2),4)="#N/A",0,_xll.BDP($T150,U$2))</f>
        <v>0</v>
      </c>
      <c r="V150" t="e">
        <f>_xll.BDP(#REF!,V$2)</f>
        <v>#REF!</v>
      </c>
      <c r="W150" t="e">
        <f>_xll.BDP(#REF!,W$2)</f>
        <v>#REF!</v>
      </c>
      <c r="X150" t="e">
        <f>_xll.BDP(#REF!,X$2)</f>
        <v>#REF!</v>
      </c>
      <c r="Y150" t="e">
        <f>_xll.BDP(#REF!,Y$2)</f>
        <v>#REF!</v>
      </c>
      <c r="Z150" t="e">
        <f>_xll.BDP(#REF!,Z$2)</f>
        <v>#REF!</v>
      </c>
      <c r="AA150" t="e">
        <f>_xll.BDP(#REF!,AA$2)</f>
        <v>#REF!</v>
      </c>
      <c r="AD150">
        <f ca="1">IF(LEFT(_xll.BDP($T150,AD$2),4)="#N/A",-1,_xll.BDP($T150,AD$2))</f>
        <v>-1</v>
      </c>
    </row>
    <row r="151" spans="1:30">
      <c r="A151">
        <f ca="1"/>
        <v>192</v>
      </c>
      <c r="B151" t="str">
        <f ca="1"/>
        <v>iW - NS</v>
      </c>
      <c r="C151" t="str">
        <f ca="1"/>
        <v>iW - NS</v>
      </c>
      <c r="D151">
        <f ca="1"/>
        <v>110311</v>
      </c>
      <c r="E151" t="str">
        <f ca="1"/>
        <v>iW - BALANCED</v>
      </c>
      <c r="F151" t="str">
        <f ca="1"/>
        <v>BALANCED</v>
      </c>
      <c r="G151">
        <f ca="1"/>
        <v>147</v>
      </c>
      <c r="H151" t="str">
        <f ca="1"/>
        <v>Pictet Fund Accounting</v>
      </c>
      <c r="I151" t="str">
        <f ca="1"/>
        <v>17202955-0</v>
      </c>
      <c r="J151" s="50">
        <f ca="1"/>
        <v>44742</v>
      </c>
      <c r="K151">
        <f ca="1"/>
        <v>-249.31</v>
      </c>
      <c r="L151" t="str">
        <f ca="1"/>
        <v>121515-0</v>
      </c>
      <c r="M151" t="str">
        <f ca="1"/>
        <v>Provision Transfer Agency</v>
      </c>
      <c r="N151" t="str">
        <f ca="1"/>
        <v>USD</v>
      </c>
      <c r="O151" t="str">
        <f ca="1"/>
        <v>Uncategorized (Treasury)</v>
      </c>
      <c r="P151" t="str">
        <f ca="1"/>
        <v/>
      </c>
      <c r="Q151" t="str">
        <f ca="1"/>
        <v/>
      </c>
      <c r="R151" t="str">
        <f ca="1"/>
        <v/>
      </c>
      <c r="S151" t="str">
        <f ca="1"/>
        <v/>
      </c>
      <c r="T151" t="str">
        <f ca="1"/>
        <v/>
      </c>
      <c r="U151">
        <f ca="1">IF(LEFT(_xll.BDP($T151,U$2),4)="#N/A",0,_xll.BDP($T151,U$2))</f>
        <v>0</v>
      </c>
      <c r="V151" t="e">
        <f>_xll.BDP(#REF!,V$2)</f>
        <v>#REF!</v>
      </c>
      <c r="W151" t="e">
        <f>_xll.BDP(#REF!,W$2)</f>
        <v>#REF!</v>
      </c>
      <c r="X151" t="e">
        <f>_xll.BDP(#REF!,X$2)</f>
        <v>#REF!</v>
      </c>
      <c r="Y151" t="e">
        <f>_xll.BDP(#REF!,Y$2)</f>
        <v>#REF!</v>
      </c>
      <c r="Z151" t="e">
        <f>_xll.BDP(#REF!,Z$2)</f>
        <v>#REF!</v>
      </c>
      <c r="AA151" t="e">
        <f>_xll.BDP(#REF!,AA$2)</f>
        <v>#REF!</v>
      </c>
      <c r="AD151">
        <f ca="1">IF(LEFT(_xll.BDP($T151,AD$2),4)="#N/A",-1,_xll.BDP($T151,AD$2))</f>
        <v>-1</v>
      </c>
    </row>
    <row r="152" spans="1:30">
      <c r="A152">
        <f ca="1"/>
        <v>192</v>
      </c>
      <c r="B152" t="str">
        <f ca="1"/>
        <v>iW - NS</v>
      </c>
      <c r="C152" t="str">
        <f ca="1"/>
        <v>iW - NS</v>
      </c>
      <c r="D152">
        <f ca="1"/>
        <v>114681</v>
      </c>
      <c r="E152" t="str">
        <f ca="1"/>
        <v>iW - DUAL CORE</v>
      </c>
      <c r="F152" t="str">
        <f ca="1"/>
        <v>DUAL CORE</v>
      </c>
      <c r="G152">
        <f ca="1"/>
        <v>147</v>
      </c>
      <c r="H152" t="str">
        <f ca="1"/>
        <v>Pictet Fund Accounting</v>
      </c>
      <c r="I152" t="str">
        <f ca="1"/>
        <v>14667890-0</v>
      </c>
      <c r="J152" s="50">
        <f ca="1"/>
        <v>44530</v>
      </c>
      <c r="K152">
        <f ca="1"/>
        <v>7363466.6100000003</v>
      </c>
      <c r="L152" t="str">
        <f ca="1"/>
        <v>60578-0</v>
      </c>
      <c r="M152" t="str">
        <f ca="1"/>
        <v>Current account Pictet &amp; Cie (Europe) S.A. @@@</v>
      </c>
      <c r="N152" t="str">
        <f ca="1"/>
        <v>USD</v>
      </c>
      <c r="O152" t="str">
        <f ca="1"/>
        <v>Cash</v>
      </c>
      <c r="P152" t="str">
        <f ca="1"/>
        <v/>
      </c>
      <c r="Q152" t="str">
        <f ca="1"/>
        <v/>
      </c>
      <c r="R152" t="str">
        <f ca="1"/>
        <v/>
      </c>
      <c r="S152" t="str">
        <f ca="1"/>
        <v/>
      </c>
      <c r="T152" t="str">
        <f ca="1"/>
        <v/>
      </c>
      <c r="U152">
        <f ca="1">IF(LEFT(_xll.BDP($T152,U$2),4)="#N/A",0,_xll.BDP($T152,U$2))</f>
        <v>0</v>
      </c>
      <c r="V152" t="e">
        <f>_xll.BDP(#REF!,V$2)</f>
        <v>#REF!</v>
      </c>
      <c r="W152" t="e">
        <f>_xll.BDP(#REF!,W$2)</f>
        <v>#REF!</v>
      </c>
      <c r="X152" t="e">
        <f>_xll.BDP(#REF!,X$2)</f>
        <v>#REF!</v>
      </c>
      <c r="Y152" t="e">
        <f>_xll.BDP(#REF!,Y$2)</f>
        <v>#REF!</v>
      </c>
      <c r="Z152" t="e">
        <f>_xll.BDP(#REF!,Z$2)</f>
        <v>#REF!</v>
      </c>
      <c r="AA152" t="e">
        <f>_xll.BDP(#REF!,AA$2)</f>
        <v>#REF!</v>
      </c>
      <c r="AD152">
        <f ca="1">IF(LEFT(_xll.BDP($T152,AD$2),4)="#N/A",-1,_xll.BDP($T152,AD$2))</f>
        <v>-1</v>
      </c>
    </row>
    <row r="153" spans="1:30">
      <c r="A153">
        <f ca="1"/>
        <v>192</v>
      </c>
      <c r="B153" t="str">
        <f ca="1"/>
        <v>iW - NS</v>
      </c>
      <c r="C153" t="str">
        <f ca="1"/>
        <v>iW - NS</v>
      </c>
      <c r="D153">
        <f ca="1"/>
        <v>114681</v>
      </c>
      <c r="E153" t="str">
        <f ca="1"/>
        <v>iW - DUAL CORE</v>
      </c>
      <c r="F153" t="str">
        <f ca="1"/>
        <v>DUAL CORE</v>
      </c>
      <c r="G153">
        <f ca="1"/>
        <v>147</v>
      </c>
      <c r="H153" t="str">
        <f ca="1"/>
        <v>Pictet Fund Accounting</v>
      </c>
      <c r="I153" t="str">
        <f ca="1"/>
        <v>14667892-0</v>
      </c>
      <c r="J153" s="50">
        <f ca="1"/>
        <v>44530</v>
      </c>
      <c r="K153">
        <f ca="1"/>
        <v>-9227.14</v>
      </c>
      <c r="L153" t="str">
        <f ca="1"/>
        <v>119891-0</v>
      </c>
      <c r="M153" t="str">
        <f ca="1"/>
        <v>Other payable</v>
      </c>
      <c r="N153" t="str">
        <f ca="1"/>
        <v>USD</v>
      </c>
      <c r="O153" t="str">
        <f ca="1"/>
        <v>Uncategorized (Treasury)</v>
      </c>
      <c r="P153" t="str">
        <f ca="1"/>
        <v/>
      </c>
      <c r="Q153" t="str">
        <f ca="1"/>
        <v/>
      </c>
      <c r="R153" t="str">
        <f ca="1"/>
        <v/>
      </c>
      <c r="S153" t="str">
        <f ca="1"/>
        <v/>
      </c>
      <c r="T153" t="str">
        <f ca="1"/>
        <v/>
      </c>
      <c r="U153">
        <f ca="1">IF(LEFT(_xll.BDP($T153,U$2),4)="#N/A",0,_xll.BDP($T153,U$2))</f>
        <v>0</v>
      </c>
      <c r="V153" t="e">
        <f>_xll.BDP(#REF!,V$2)</f>
        <v>#REF!</v>
      </c>
      <c r="W153" t="e">
        <f>_xll.BDP(#REF!,W$2)</f>
        <v>#REF!</v>
      </c>
      <c r="X153" t="e">
        <f>_xll.BDP(#REF!,X$2)</f>
        <v>#REF!</v>
      </c>
      <c r="Y153" t="e">
        <f>_xll.BDP(#REF!,Y$2)</f>
        <v>#REF!</v>
      </c>
      <c r="Z153" t="e">
        <f>_xll.BDP(#REF!,Z$2)</f>
        <v>#REF!</v>
      </c>
      <c r="AA153" t="e">
        <f>_xll.BDP(#REF!,AA$2)</f>
        <v>#REF!</v>
      </c>
      <c r="AD153">
        <f ca="1">IF(LEFT(_xll.BDP($T153,AD$2),4)="#N/A",-1,_xll.BDP($T153,AD$2))</f>
        <v>-1</v>
      </c>
    </row>
    <row r="154" spans="1:30">
      <c r="A154">
        <f ca="1"/>
        <v>192</v>
      </c>
      <c r="B154" t="str">
        <f ca="1"/>
        <v>iW - NS</v>
      </c>
      <c r="C154" t="str">
        <f ca="1"/>
        <v>iW - NS</v>
      </c>
      <c r="D154">
        <f ca="1"/>
        <v>114681</v>
      </c>
      <c r="E154" t="str">
        <f ca="1"/>
        <v>iW - DUAL CORE</v>
      </c>
      <c r="F154" t="str">
        <f ca="1"/>
        <v>DUAL CORE</v>
      </c>
      <c r="G154">
        <f ca="1"/>
        <v>147</v>
      </c>
      <c r="H154" t="str">
        <f ca="1"/>
        <v>Pictet Fund Accounting</v>
      </c>
      <c r="I154" t="str">
        <f ca="1"/>
        <v>14667894-0</v>
      </c>
      <c r="J154" s="50">
        <f ca="1"/>
        <v>44530</v>
      </c>
      <c r="K154">
        <f ca="1"/>
        <v>-250.69</v>
      </c>
      <c r="L154" t="str">
        <f ca="1"/>
        <v>60606-0</v>
      </c>
      <c r="M154" t="str">
        <f ca="1"/>
        <v>Prov Audit Annual report</v>
      </c>
      <c r="N154" t="str">
        <f ca="1"/>
        <v>USD</v>
      </c>
      <c r="O154" t="str">
        <f ca="1"/>
        <v>Uncategorized (Treasury)</v>
      </c>
      <c r="P154" t="str">
        <f ca="1"/>
        <v/>
      </c>
      <c r="Q154" t="str">
        <f ca="1"/>
        <v/>
      </c>
      <c r="R154" t="str">
        <f ca="1"/>
        <v/>
      </c>
      <c r="S154" t="str">
        <f ca="1"/>
        <v/>
      </c>
      <c r="T154" t="str">
        <f ca="1"/>
        <v/>
      </c>
      <c r="U154">
        <f ca="1">IF(LEFT(_xll.BDP($T154,U$2),4)="#N/A",0,_xll.BDP($T154,U$2))</f>
        <v>0</v>
      </c>
      <c r="V154" t="e">
        <f>_xll.BDP(#REF!,V$2)</f>
        <v>#REF!</v>
      </c>
      <c r="W154" t="e">
        <f>_xll.BDP(#REF!,W$2)</f>
        <v>#REF!</v>
      </c>
      <c r="X154" t="e">
        <f>_xll.BDP(#REF!,X$2)</f>
        <v>#REF!</v>
      </c>
      <c r="Y154" t="e">
        <f>_xll.BDP(#REF!,Y$2)</f>
        <v>#REF!</v>
      </c>
      <c r="Z154" t="e">
        <f>_xll.BDP(#REF!,Z$2)</f>
        <v>#REF!</v>
      </c>
      <c r="AA154" t="e">
        <f>_xll.BDP(#REF!,AA$2)</f>
        <v>#REF!</v>
      </c>
      <c r="AD154">
        <f ca="1">IF(LEFT(_xll.BDP($T154,AD$2),4)="#N/A",-1,_xll.BDP($T154,AD$2))</f>
        <v>-1</v>
      </c>
    </row>
    <row r="155" spans="1:30">
      <c r="A155">
        <f ca="1"/>
        <v>192</v>
      </c>
      <c r="B155" t="str">
        <f ca="1"/>
        <v>iW - NS</v>
      </c>
      <c r="C155" t="str">
        <f ca="1"/>
        <v>iW - NS</v>
      </c>
      <c r="D155">
        <f ca="1"/>
        <v>114681</v>
      </c>
      <c r="E155" t="str">
        <f ca="1"/>
        <v>iW - DUAL CORE</v>
      </c>
      <c r="F155" t="str">
        <f ca="1"/>
        <v>DUAL CORE</v>
      </c>
      <c r="G155">
        <f ca="1"/>
        <v>147</v>
      </c>
      <c r="H155" t="str">
        <f ca="1"/>
        <v>Pictet Fund Accounting</v>
      </c>
      <c r="I155" t="str">
        <f ca="1"/>
        <v>14667889-0</v>
      </c>
      <c r="J155" s="50">
        <f ca="1"/>
        <v>44530</v>
      </c>
      <c r="K155">
        <f ca="1"/>
        <v>-954.02</v>
      </c>
      <c r="L155" t="str">
        <f ca="1"/>
        <v>73908-0</v>
      </c>
      <c r="M155" t="str">
        <f ca="1"/>
        <v>Prov Fees for calcul. of perf.</v>
      </c>
      <c r="N155" t="str">
        <f ca="1"/>
        <v>USD</v>
      </c>
      <c r="O155" t="str">
        <f ca="1"/>
        <v>Uncategorized (Treasury)</v>
      </c>
      <c r="P155" t="str">
        <f ca="1"/>
        <v/>
      </c>
      <c r="Q155" t="str">
        <f ca="1"/>
        <v/>
      </c>
      <c r="R155" t="str">
        <f ca="1"/>
        <v/>
      </c>
      <c r="S155" t="str">
        <f ca="1"/>
        <v/>
      </c>
      <c r="T155" t="str">
        <f ca="1"/>
        <v/>
      </c>
      <c r="U155">
        <f ca="1">IF(LEFT(_xll.BDP($T155,U$2),4)="#N/A",0,_xll.BDP($T155,U$2))</f>
        <v>0</v>
      </c>
      <c r="V155" t="e">
        <f>_xll.BDP(#REF!,V$2)</f>
        <v>#REF!</v>
      </c>
      <c r="W155" t="e">
        <f>_xll.BDP(#REF!,W$2)</f>
        <v>#REF!</v>
      </c>
      <c r="X155" t="e">
        <f>_xll.BDP(#REF!,X$2)</f>
        <v>#REF!</v>
      </c>
      <c r="Y155" t="e">
        <f>_xll.BDP(#REF!,Y$2)</f>
        <v>#REF!</v>
      </c>
      <c r="Z155" t="e">
        <f>_xll.BDP(#REF!,Z$2)</f>
        <v>#REF!</v>
      </c>
      <c r="AA155" t="e">
        <f>_xll.BDP(#REF!,AA$2)</f>
        <v>#REF!</v>
      </c>
      <c r="AD155">
        <f ca="1">IF(LEFT(_xll.BDP($T155,AD$2),4)="#N/A",-1,_xll.BDP($T155,AD$2))</f>
        <v>-1</v>
      </c>
    </row>
    <row r="156" spans="1:30">
      <c r="A156">
        <f ca="1"/>
        <v>192</v>
      </c>
      <c r="B156" t="str">
        <f ca="1"/>
        <v>iW - NS</v>
      </c>
      <c r="C156" t="str">
        <f ca="1"/>
        <v>iW - NS</v>
      </c>
      <c r="D156">
        <f ca="1"/>
        <v>114681</v>
      </c>
      <c r="E156" t="str">
        <f ca="1"/>
        <v>iW - DUAL CORE</v>
      </c>
      <c r="F156" t="str">
        <f ca="1"/>
        <v>DUAL CORE</v>
      </c>
      <c r="G156">
        <f ca="1"/>
        <v>147</v>
      </c>
      <c r="H156" t="str">
        <f ca="1"/>
        <v>Pictet Fund Accounting</v>
      </c>
      <c r="I156" t="str">
        <f ca="1"/>
        <v>14667895-0</v>
      </c>
      <c r="J156" s="50">
        <f ca="1"/>
        <v>44530</v>
      </c>
      <c r="K156">
        <f ca="1"/>
        <v>-1169.23</v>
      </c>
      <c r="L156" t="str">
        <f ca="1"/>
        <v>60588-0</v>
      </c>
      <c r="M156" t="str">
        <f ca="1"/>
        <v>Provision administration fee</v>
      </c>
      <c r="N156" t="str">
        <f ca="1"/>
        <v>USD</v>
      </c>
      <c r="O156" t="str">
        <f ca="1"/>
        <v>Uncategorized (Treasury)</v>
      </c>
      <c r="P156" t="str">
        <f ca="1"/>
        <v/>
      </c>
      <c r="Q156" t="str">
        <f ca="1"/>
        <v/>
      </c>
      <c r="R156" t="str">
        <f ca="1"/>
        <v/>
      </c>
      <c r="S156" t="str">
        <f ca="1"/>
        <v/>
      </c>
      <c r="T156" t="str">
        <f ca="1"/>
        <v/>
      </c>
      <c r="U156">
        <f ca="1">IF(LEFT(_xll.BDP($T156,U$2),4)="#N/A",0,_xll.BDP($T156,U$2))</f>
        <v>0</v>
      </c>
      <c r="V156" t="e">
        <f>_xll.BDP(#REF!,V$2)</f>
        <v>#REF!</v>
      </c>
      <c r="W156" t="e">
        <f>_xll.BDP(#REF!,W$2)</f>
        <v>#REF!</v>
      </c>
      <c r="X156" t="e">
        <f>_xll.BDP(#REF!,X$2)</f>
        <v>#REF!</v>
      </c>
      <c r="Y156" t="e">
        <f>_xll.BDP(#REF!,Y$2)</f>
        <v>#REF!</v>
      </c>
      <c r="Z156" t="e">
        <f>_xll.BDP(#REF!,Z$2)</f>
        <v>#REF!</v>
      </c>
      <c r="AA156" t="e">
        <f>_xll.BDP(#REF!,AA$2)</f>
        <v>#REF!</v>
      </c>
      <c r="AD156">
        <f ca="1">IF(LEFT(_xll.BDP($T156,AD$2),4)="#N/A",-1,_xll.BDP($T156,AD$2))</f>
        <v>-1</v>
      </c>
    </row>
    <row r="157" spans="1:30">
      <c r="A157">
        <f ca="1"/>
        <v>192</v>
      </c>
      <c r="B157" t="str">
        <f ca="1"/>
        <v>iW - NS</v>
      </c>
      <c r="C157" t="str">
        <f ca="1"/>
        <v>iW - NS</v>
      </c>
      <c r="D157">
        <f ca="1"/>
        <v>114681</v>
      </c>
      <c r="E157" t="str">
        <f ca="1"/>
        <v>iW - DUAL CORE</v>
      </c>
      <c r="F157" t="str">
        <f ca="1"/>
        <v>DUAL CORE</v>
      </c>
      <c r="G157">
        <f ca="1"/>
        <v>147</v>
      </c>
      <c r="H157" t="str">
        <f ca="1"/>
        <v>Pictet Fund Accounting</v>
      </c>
      <c r="I157" t="str">
        <f ca="1"/>
        <v>14667897-0</v>
      </c>
      <c r="J157" s="50">
        <f ca="1"/>
        <v>44530</v>
      </c>
      <c r="K157">
        <f ca="1"/>
        <v>-3077.35</v>
      </c>
      <c r="L157" t="str">
        <f ca="1"/>
        <v>111962-0</v>
      </c>
      <c r="M157" t="str">
        <f ca="1"/>
        <v>Provision Advisory fees B</v>
      </c>
      <c r="N157" t="str">
        <f ca="1"/>
        <v>USD</v>
      </c>
      <c r="O157" t="str">
        <f ca="1"/>
        <v>Uncategorized (Treasury)</v>
      </c>
      <c r="P157" t="str">
        <f ca="1"/>
        <v/>
      </c>
      <c r="Q157" t="str">
        <f ca="1"/>
        <v/>
      </c>
      <c r="R157" t="str">
        <f ca="1"/>
        <v/>
      </c>
      <c r="S157" t="str">
        <f ca="1"/>
        <v/>
      </c>
      <c r="T157" t="str">
        <f ca="1"/>
        <v/>
      </c>
      <c r="U157">
        <f ca="1">IF(LEFT(_xll.BDP($T157,U$2),4)="#N/A",0,_xll.BDP($T157,U$2))</f>
        <v>0</v>
      </c>
      <c r="V157" t="e">
        <f>_xll.BDP(#REF!,V$2)</f>
        <v>#REF!</v>
      </c>
      <c r="W157" t="e">
        <f>_xll.BDP(#REF!,W$2)</f>
        <v>#REF!</v>
      </c>
      <c r="X157" t="e">
        <f>_xll.BDP(#REF!,X$2)</f>
        <v>#REF!</v>
      </c>
      <c r="Y157" t="e">
        <f>_xll.BDP(#REF!,Y$2)</f>
        <v>#REF!</v>
      </c>
      <c r="Z157" t="e">
        <f>_xll.BDP(#REF!,Z$2)</f>
        <v>#REF!</v>
      </c>
      <c r="AA157" t="e">
        <f>_xll.BDP(#REF!,AA$2)</f>
        <v>#REF!</v>
      </c>
      <c r="AD157">
        <f ca="1">IF(LEFT(_xll.BDP($T157,AD$2),4)="#N/A",-1,_xll.BDP($T157,AD$2))</f>
        <v>-1</v>
      </c>
    </row>
    <row r="158" spans="1:30">
      <c r="A158">
        <f ca="1"/>
        <v>192</v>
      </c>
      <c r="B158" t="str">
        <f ca="1"/>
        <v>iW - NS</v>
      </c>
      <c r="C158" t="str">
        <f ca="1"/>
        <v>iW - NS</v>
      </c>
      <c r="D158">
        <f ca="1"/>
        <v>114681</v>
      </c>
      <c r="E158" t="str">
        <f ca="1"/>
        <v>iW - DUAL CORE</v>
      </c>
      <c r="F158" t="str">
        <f ca="1"/>
        <v>DUAL CORE</v>
      </c>
      <c r="G158">
        <f ca="1"/>
        <v>147</v>
      </c>
      <c r="H158" t="str">
        <f ca="1"/>
        <v>Pictet Fund Accounting</v>
      </c>
      <c r="I158" t="str">
        <f ca="1"/>
        <v>14667903-0</v>
      </c>
      <c r="J158" s="50">
        <f ca="1"/>
        <v>44530</v>
      </c>
      <c r="K158">
        <f ca="1"/>
        <v>-1065.04</v>
      </c>
      <c r="L158" t="str">
        <f ca="1"/>
        <v>70421-0</v>
      </c>
      <c r="M158" t="str">
        <f ca="1"/>
        <v>Provision AIFM Fees</v>
      </c>
      <c r="N158" t="str">
        <f ca="1"/>
        <v>USD</v>
      </c>
      <c r="O158" t="str">
        <f ca="1"/>
        <v>Uncategorized (Treasury)</v>
      </c>
      <c r="P158" t="str">
        <f ca="1"/>
        <v/>
      </c>
      <c r="Q158" t="str">
        <f ca="1"/>
        <v/>
      </c>
      <c r="R158" t="str">
        <f ca="1"/>
        <v/>
      </c>
      <c r="S158" t="str">
        <f ca="1"/>
        <v/>
      </c>
      <c r="T158" t="str">
        <f ca="1"/>
        <v/>
      </c>
      <c r="U158">
        <f ca="1">IF(LEFT(_xll.BDP($T158,U$2),4)="#N/A",0,_xll.BDP($T158,U$2))</f>
        <v>0</v>
      </c>
      <c r="V158" t="e">
        <f>_xll.BDP(#REF!,V$2)</f>
        <v>#REF!</v>
      </c>
      <c r="W158" t="e">
        <f>_xll.BDP(#REF!,W$2)</f>
        <v>#REF!</v>
      </c>
      <c r="X158" t="e">
        <f>_xll.BDP(#REF!,X$2)</f>
        <v>#REF!</v>
      </c>
      <c r="Y158" t="e">
        <f>_xll.BDP(#REF!,Y$2)</f>
        <v>#REF!</v>
      </c>
      <c r="Z158" t="e">
        <f>_xll.BDP(#REF!,Z$2)</f>
        <v>#REF!</v>
      </c>
      <c r="AA158" t="e">
        <f>_xll.BDP(#REF!,AA$2)</f>
        <v>#REF!</v>
      </c>
      <c r="AD158">
        <f ca="1">IF(LEFT(_xll.BDP($T158,AD$2),4)="#N/A",-1,_xll.BDP($T158,AD$2))</f>
        <v>-1</v>
      </c>
    </row>
    <row r="159" spans="1:30">
      <c r="A159">
        <f ca="1"/>
        <v>192</v>
      </c>
      <c r="B159" t="str">
        <f ca="1"/>
        <v>iW - NS</v>
      </c>
      <c r="C159" t="str">
        <f ca="1"/>
        <v>iW - NS</v>
      </c>
      <c r="D159">
        <f ca="1"/>
        <v>114681</v>
      </c>
      <c r="E159" t="str">
        <f ca="1"/>
        <v>iW - DUAL CORE</v>
      </c>
      <c r="F159" t="str">
        <f ca="1"/>
        <v>DUAL CORE</v>
      </c>
      <c r="G159">
        <f ca="1"/>
        <v>147</v>
      </c>
      <c r="H159" t="str">
        <f ca="1"/>
        <v>Pictet Fund Accounting</v>
      </c>
      <c r="I159" t="str">
        <f ca="1"/>
        <v>14667900-0</v>
      </c>
      <c r="J159" s="50">
        <f ca="1"/>
        <v>44530</v>
      </c>
      <c r="K159">
        <f ca="1"/>
        <v>-4563.75</v>
      </c>
      <c r="L159" t="str">
        <f ca="1"/>
        <v>60591-0</v>
      </c>
      <c r="M159" t="str">
        <f ca="1"/>
        <v>Provision audit fees</v>
      </c>
      <c r="N159" t="str">
        <f ca="1"/>
        <v>USD</v>
      </c>
      <c r="O159" t="str">
        <f ca="1"/>
        <v>Uncategorized (Treasury)</v>
      </c>
      <c r="P159" t="str">
        <f ca="1"/>
        <v/>
      </c>
      <c r="Q159" t="str">
        <f ca="1"/>
        <v/>
      </c>
      <c r="R159" t="str">
        <f ca="1"/>
        <v/>
      </c>
      <c r="S159" t="str">
        <f ca="1"/>
        <v/>
      </c>
      <c r="T159" t="str">
        <f ca="1"/>
        <v/>
      </c>
      <c r="U159">
        <f ca="1">IF(LEFT(_xll.BDP($T159,U$2),4)="#N/A",0,_xll.BDP($T159,U$2))</f>
        <v>0</v>
      </c>
      <c r="V159" t="e">
        <f>_xll.BDP(#REF!,V$2)</f>
        <v>#REF!</v>
      </c>
      <c r="W159" t="e">
        <f>_xll.BDP(#REF!,W$2)</f>
        <v>#REF!</v>
      </c>
      <c r="X159" t="e">
        <f>_xll.BDP(#REF!,X$2)</f>
        <v>#REF!</v>
      </c>
      <c r="Y159" t="e">
        <f>_xll.BDP(#REF!,Y$2)</f>
        <v>#REF!</v>
      </c>
      <c r="Z159" t="e">
        <f>_xll.BDP(#REF!,Z$2)</f>
        <v>#REF!</v>
      </c>
      <c r="AA159" t="e">
        <f>_xll.BDP(#REF!,AA$2)</f>
        <v>#REF!</v>
      </c>
      <c r="AD159">
        <f ca="1">IF(LEFT(_xll.BDP($T159,AD$2),4)="#N/A",-1,_xll.BDP($T159,AD$2))</f>
        <v>-1</v>
      </c>
    </row>
    <row r="160" spans="1:30">
      <c r="A160">
        <f ca="1"/>
        <v>192</v>
      </c>
      <c r="B160" t="str">
        <f ca="1"/>
        <v>iW - NS</v>
      </c>
      <c r="C160" t="str">
        <f ca="1"/>
        <v>iW - NS</v>
      </c>
      <c r="D160">
        <f ca="1"/>
        <v>114681</v>
      </c>
      <c r="E160" t="str">
        <f ca="1"/>
        <v>iW - DUAL CORE</v>
      </c>
      <c r="F160" t="str">
        <f ca="1"/>
        <v>DUAL CORE</v>
      </c>
      <c r="G160">
        <f ca="1"/>
        <v>147</v>
      </c>
      <c r="H160" t="str">
        <f ca="1"/>
        <v>Pictet Fund Accounting</v>
      </c>
      <c r="I160" t="str">
        <f ca="1"/>
        <v>14667896-0</v>
      </c>
      <c r="J160" s="50">
        <f ca="1"/>
        <v>44530</v>
      </c>
      <c r="K160">
        <f ca="1"/>
        <v>-190.8</v>
      </c>
      <c r="L160" t="str">
        <f ca="1"/>
        <v>123776-0</v>
      </c>
      <c r="M160" t="str">
        <f ca="1"/>
        <v>Provision CRS fees</v>
      </c>
      <c r="N160" t="str">
        <f ca="1"/>
        <v>USD</v>
      </c>
      <c r="O160" t="str">
        <f ca="1"/>
        <v>Uncategorized (Treasury)</v>
      </c>
      <c r="P160" t="str">
        <f ca="1"/>
        <v/>
      </c>
      <c r="Q160" t="str">
        <f ca="1"/>
        <v/>
      </c>
      <c r="R160" t="str">
        <f ca="1"/>
        <v/>
      </c>
      <c r="S160" t="str">
        <f ca="1"/>
        <v/>
      </c>
      <c r="T160" t="str">
        <f ca="1"/>
        <v/>
      </c>
      <c r="U160">
        <f ca="1">IF(LEFT(_xll.BDP($T160,U$2),4)="#N/A",0,_xll.BDP($T160,U$2))</f>
        <v>0</v>
      </c>
      <c r="V160" t="e">
        <f>_xll.BDP(#REF!,V$2)</f>
        <v>#REF!</v>
      </c>
      <c r="W160" t="e">
        <f>_xll.BDP(#REF!,W$2)</f>
        <v>#REF!</v>
      </c>
      <c r="X160" t="e">
        <f>_xll.BDP(#REF!,X$2)</f>
        <v>#REF!</v>
      </c>
      <c r="Y160" t="e">
        <f>_xll.BDP(#REF!,Y$2)</f>
        <v>#REF!</v>
      </c>
      <c r="Z160" t="e">
        <f>_xll.BDP(#REF!,Z$2)</f>
        <v>#REF!</v>
      </c>
      <c r="AA160" t="e">
        <f>_xll.BDP(#REF!,AA$2)</f>
        <v>#REF!</v>
      </c>
      <c r="AD160">
        <f ca="1">IF(LEFT(_xll.BDP($T160,AD$2),4)="#N/A",-1,_xll.BDP($T160,AD$2))</f>
        <v>-1</v>
      </c>
    </row>
    <row r="161" spans="1:30">
      <c r="A161">
        <f ca="1"/>
        <v>192</v>
      </c>
      <c r="B161" t="str">
        <f ca="1"/>
        <v>iW - NS</v>
      </c>
      <c r="C161" t="str">
        <f ca="1"/>
        <v>iW - NS</v>
      </c>
      <c r="D161">
        <f ca="1"/>
        <v>114681</v>
      </c>
      <c r="E161" t="str">
        <f ca="1"/>
        <v>iW - DUAL CORE</v>
      </c>
      <c r="F161" t="str">
        <f ca="1"/>
        <v>DUAL CORE</v>
      </c>
      <c r="G161">
        <f ca="1"/>
        <v>147</v>
      </c>
      <c r="H161" t="str">
        <f ca="1"/>
        <v>Pictet Fund Accounting</v>
      </c>
      <c r="I161" t="str">
        <f ca="1"/>
        <v>14667893-0</v>
      </c>
      <c r="J161" s="50">
        <f ca="1"/>
        <v>44530</v>
      </c>
      <c r="K161">
        <f ca="1"/>
        <v>-984.75</v>
      </c>
      <c r="L161" t="str">
        <f ca="1"/>
        <v>60584-0</v>
      </c>
      <c r="M161" t="str">
        <f ca="1"/>
        <v>Provision custody fee</v>
      </c>
      <c r="N161" t="str">
        <f ca="1"/>
        <v>USD</v>
      </c>
      <c r="O161" t="str">
        <f ca="1"/>
        <v>Uncategorized (Treasury)</v>
      </c>
      <c r="P161" t="str">
        <f ca="1"/>
        <v/>
      </c>
      <c r="Q161" t="str">
        <f ca="1"/>
        <v/>
      </c>
      <c r="R161" t="str">
        <f ca="1"/>
        <v/>
      </c>
      <c r="S161" t="str">
        <f ca="1"/>
        <v/>
      </c>
      <c r="T161" t="str">
        <f ca="1"/>
        <v/>
      </c>
      <c r="U161">
        <f ca="1">IF(LEFT(_xll.BDP($T161,U$2),4)="#N/A",0,_xll.BDP($T161,U$2))</f>
        <v>0</v>
      </c>
      <c r="V161" t="e">
        <f>_xll.BDP(#REF!,V$2)</f>
        <v>#REF!</v>
      </c>
      <c r="W161" t="e">
        <f>_xll.BDP(#REF!,W$2)</f>
        <v>#REF!</v>
      </c>
      <c r="X161" t="e">
        <f>_xll.BDP(#REF!,X$2)</f>
        <v>#REF!</v>
      </c>
      <c r="Y161" t="e">
        <f>_xll.BDP(#REF!,Y$2)</f>
        <v>#REF!</v>
      </c>
      <c r="Z161" t="e">
        <f>_xll.BDP(#REF!,Z$2)</f>
        <v>#REF!</v>
      </c>
      <c r="AA161" t="e">
        <f>_xll.BDP(#REF!,AA$2)</f>
        <v>#REF!</v>
      </c>
      <c r="AD161">
        <f ca="1">IF(LEFT(_xll.BDP($T161,AD$2),4)="#N/A",-1,_xll.BDP($T161,AD$2))</f>
        <v>-1</v>
      </c>
    </row>
    <row r="162" spans="1:30">
      <c r="A162">
        <f ca="1"/>
        <v>192</v>
      </c>
      <c r="B162" t="str">
        <f ca="1"/>
        <v>iW - NS</v>
      </c>
      <c r="C162" t="str">
        <f ca="1"/>
        <v>iW - NS</v>
      </c>
      <c r="D162">
        <f ca="1"/>
        <v>114681</v>
      </c>
      <c r="E162" t="str">
        <f ca="1"/>
        <v>iW - DUAL CORE</v>
      </c>
      <c r="F162" t="str">
        <f ca="1"/>
        <v>DUAL CORE</v>
      </c>
      <c r="G162">
        <f ca="1"/>
        <v>147</v>
      </c>
      <c r="H162" t="str">
        <f ca="1"/>
        <v>Pictet Fund Accounting</v>
      </c>
      <c r="I162" t="str">
        <f ca="1"/>
        <v>14667898-0</v>
      </c>
      <c r="J162" s="50">
        <f ca="1"/>
        <v>44530</v>
      </c>
      <c r="K162">
        <f ca="1"/>
        <v>-486.26</v>
      </c>
      <c r="L162" t="str">
        <f ca="1"/>
        <v>60590-0</v>
      </c>
      <c r="M162" t="str">
        <f ca="1"/>
        <v>Provision directors fees</v>
      </c>
      <c r="N162" t="str">
        <f ca="1"/>
        <v>USD</v>
      </c>
      <c r="O162" t="str">
        <f ca="1"/>
        <v>Uncategorized (Treasury)</v>
      </c>
      <c r="P162" t="str">
        <f ca="1"/>
        <v/>
      </c>
      <c r="Q162" t="str">
        <f ca="1"/>
        <v/>
      </c>
      <c r="R162" t="str">
        <f ca="1"/>
        <v/>
      </c>
      <c r="S162" t="str">
        <f ca="1"/>
        <v/>
      </c>
      <c r="T162" t="str">
        <f ca="1"/>
        <v/>
      </c>
      <c r="U162">
        <f ca="1">IF(LEFT(_xll.BDP($T162,U$2),4)="#N/A",0,_xll.BDP($T162,U$2))</f>
        <v>0</v>
      </c>
      <c r="V162" t="e">
        <f>_xll.BDP(#REF!,V$2)</f>
        <v>#REF!</v>
      </c>
      <c r="W162" t="e">
        <f>_xll.BDP(#REF!,W$2)</f>
        <v>#REF!</v>
      </c>
      <c r="X162" t="e">
        <f>_xll.BDP(#REF!,X$2)</f>
        <v>#REF!</v>
      </c>
      <c r="Y162" t="e">
        <f>_xll.BDP(#REF!,Y$2)</f>
        <v>#REF!</v>
      </c>
      <c r="Z162" t="e">
        <f>_xll.BDP(#REF!,Z$2)</f>
        <v>#REF!</v>
      </c>
      <c r="AA162" t="e">
        <f>_xll.BDP(#REF!,AA$2)</f>
        <v>#REF!</v>
      </c>
      <c r="AD162">
        <f ca="1">IF(LEFT(_xll.BDP($T162,AD$2),4)="#N/A",-1,_xll.BDP($T162,AD$2))</f>
        <v>-1</v>
      </c>
    </row>
    <row r="163" spans="1:30">
      <c r="A163">
        <f ca="1"/>
        <v>192</v>
      </c>
      <c r="B163" t="str">
        <f ca="1"/>
        <v>iW - NS</v>
      </c>
      <c r="C163" t="str">
        <f ca="1"/>
        <v>iW - NS</v>
      </c>
      <c r="D163">
        <f ca="1"/>
        <v>114681</v>
      </c>
      <c r="E163" t="str">
        <f ca="1"/>
        <v>iW - DUAL CORE</v>
      </c>
      <c r="F163" t="str">
        <f ca="1"/>
        <v>DUAL CORE</v>
      </c>
      <c r="G163">
        <f ca="1"/>
        <v>147</v>
      </c>
      <c r="H163" t="str">
        <f ca="1"/>
        <v>Pictet Fund Accounting</v>
      </c>
      <c r="I163" t="str">
        <f ca="1"/>
        <v>14667891-0</v>
      </c>
      <c r="J163" s="50">
        <f ca="1"/>
        <v>44530</v>
      </c>
      <c r="K163">
        <f ca="1"/>
        <v>-46.07</v>
      </c>
      <c r="L163" t="str">
        <f ca="1"/>
        <v>60600-0</v>
      </c>
      <c r="M163" t="str">
        <f ca="1"/>
        <v>Provision Domiciliation fees</v>
      </c>
      <c r="N163" t="str">
        <f ca="1"/>
        <v>USD</v>
      </c>
      <c r="O163" t="str">
        <f ca="1"/>
        <v>Uncategorized (Treasury)</v>
      </c>
      <c r="P163" t="str">
        <f ca="1"/>
        <v/>
      </c>
      <c r="Q163" t="str">
        <f ca="1"/>
        <v/>
      </c>
      <c r="R163" t="str">
        <f ca="1"/>
        <v/>
      </c>
      <c r="S163" t="str">
        <f ca="1"/>
        <v/>
      </c>
      <c r="T163" t="str">
        <f ca="1"/>
        <v/>
      </c>
      <c r="U163">
        <f ca="1">IF(LEFT(_xll.BDP($T163,U$2),4)="#N/A",0,_xll.BDP($T163,U$2))</f>
        <v>0</v>
      </c>
      <c r="V163" t="e">
        <f>_xll.BDP(#REF!,V$2)</f>
        <v>#REF!</v>
      </c>
      <c r="W163" t="e">
        <f>_xll.BDP(#REF!,W$2)</f>
        <v>#REF!</v>
      </c>
      <c r="X163" t="e">
        <f>_xll.BDP(#REF!,X$2)</f>
        <v>#REF!</v>
      </c>
      <c r="Y163" t="e">
        <f>_xll.BDP(#REF!,Y$2)</f>
        <v>#REF!</v>
      </c>
      <c r="Z163" t="e">
        <f>_xll.BDP(#REF!,Z$2)</f>
        <v>#REF!</v>
      </c>
      <c r="AA163" t="e">
        <f>_xll.BDP(#REF!,AA$2)</f>
        <v>#REF!</v>
      </c>
      <c r="AD163">
        <f ca="1">IF(LEFT(_xll.BDP($T163,AD$2),4)="#N/A",-1,_xll.BDP($T163,AD$2))</f>
        <v>-1</v>
      </c>
    </row>
    <row r="164" spans="1:30">
      <c r="A164">
        <f ca="1"/>
        <v>192</v>
      </c>
      <c r="B164" t="str">
        <f ca="1"/>
        <v>iW - NS</v>
      </c>
      <c r="C164" t="str">
        <f ca="1"/>
        <v>iW - NS</v>
      </c>
      <c r="D164">
        <f ca="1"/>
        <v>114681</v>
      </c>
      <c r="E164" t="str">
        <f ca="1"/>
        <v>iW - DUAL CORE</v>
      </c>
      <c r="F164" t="str">
        <f ca="1"/>
        <v>DUAL CORE</v>
      </c>
      <c r="G164">
        <f ca="1"/>
        <v>147</v>
      </c>
      <c r="H164" t="str">
        <f ca="1"/>
        <v>Pictet Fund Accounting</v>
      </c>
      <c r="I164" t="str">
        <f ca="1"/>
        <v>14667899-0</v>
      </c>
      <c r="J164" s="50">
        <f ca="1"/>
        <v>44530</v>
      </c>
      <c r="K164">
        <f ca="1"/>
        <v>-190.8</v>
      </c>
      <c r="L164" t="str">
        <f ca="1"/>
        <v>123777-0</v>
      </c>
      <c r="M164" t="str">
        <f ca="1"/>
        <v>Provision FATCA fees</v>
      </c>
      <c r="N164" t="str">
        <f ca="1"/>
        <v>USD</v>
      </c>
      <c r="O164" t="str">
        <f ca="1"/>
        <v>Uncategorized (Treasury)</v>
      </c>
      <c r="P164" t="str">
        <f ca="1"/>
        <v/>
      </c>
      <c r="Q164" t="str">
        <f ca="1"/>
        <v/>
      </c>
      <c r="R164" t="str">
        <f ca="1"/>
        <v/>
      </c>
      <c r="S164" t="str">
        <f ca="1"/>
        <v/>
      </c>
      <c r="T164" t="str">
        <f ca="1"/>
        <v/>
      </c>
      <c r="U164">
        <f ca="1">IF(LEFT(_xll.BDP($T164,U$2),4)="#N/A",0,_xll.BDP($T164,U$2))</f>
        <v>0</v>
      </c>
      <c r="V164" t="e">
        <f>_xll.BDP(#REF!,V$2)</f>
        <v>#REF!</v>
      </c>
      <c r="W164" t="e">
        <f>_xll.BDP(#REF!,W$2)</f>
        <v>#REF!</v>
      </c>
      <c r="X164" t="e">
        <f>_xll.BDP(#REF!,X$2)</f>
        <v>#REF!</v>
      </c>
      <c r="Y164" t="e">
        <f>_xll.BDP(#REF!,Y$2)</f>
        <v>#REF!</v>
      </c>
      <c r="Z164" t="e">
        <f>_xll.BDP(#REF!,Z$2)</f>
        <v>#REF!</v>
      </c>
      <c r="AA164" t="e">
        <f>_xll.BDP(#REF!,AA$2)</f>
        <v>#REF!</v>
      </c>
      <c r="AD164">
        <f ca="1">IF(LEFT(_xll.BDP($T164,AD$2),4)="#N/A",-1,_xll.BDP($T164,AD$2))</f>
        <v>-1</v>
      </c>
    </row>
    <row r="165" spans="1:30">
      <c r="A165">
        <f ca="1"/>
        <v>192</v>
      </c>
      <c r="B165" t="str">
        <f ca="1"/>
        <v>iW - NS</v>
      </c>
      <c r="C165" t="str">
        <f ca="1"/>
        <v>iW - NS</v>
      </c>
      <c r="D165">
        <f ca="1"/>
        <v>114681</v>
      </c>
      <c r="E165" t="str">
        <f ca="1"/>
        <v>iW - DUAL CORE</v>
      </c>
      <c r="F165" t="str">
        <f ca="1"/>
        <v>DUAL CORE</v>
      </c>
      <c r="G165">
        <f ca="1"/>
        <v>147</v>
      </c>
      <c r="H165" t="str">
        <f ca="1"/>
        <v>Pictet Fund Accounting</v>
      </c>
      <c r="I165" t="str">
        <f ca="1"/>
        <v>14667901-0</v>
      </c>
      <c r="J165" s="50">
        <f ca="1"/>
        <v>44530</v>
      </c>
      <c r="K165">
        <f ca="1"/>
        <v>-417.81</v>
      </c>
      <c r="L165" t="str">
        <f ca="1"/>
        <v>60592-0</v>
      </c>
      <c r="M165" t="str">
        <f ca="1"/>
        <v>Provision professional fees</v>
      </c>
      <c r="N165" t="str">
        <f ca="1"/>
        <v>USD</v>
      </c>
      <c r="O165" t="str">
        <f ca="1"/>
        <v>Uncategorized (Treasury)</v>
      </c>
      <c r="P165" t="str">
        <f ca="1"/>
        <v/>
      </c>
      <c r="Q165" t="str">
        <f ca="1"/>
        <v/>
      </c>
      <c r="R165" t="str">
        <f ca="1"/>
        <v/>
      </c>
      <c r="S165" t="str">
        <f ca="1"/>
        <v/>
      </c>
      <c r="T165" t="str">
        <f ca="1"/>
        <v/>
      </c>
      <c r="U165">
        <f ca="1">IF(LEFT(_xll.BDP($T165,U$2),4)="#N/A",0,_xll.BDP($T165,U$2))</f>
        <v>0</v>
      </c>
      <c r="V165" t="e">
        <f>_xll.BDP(#REF!,V$2)</f>
        <v>#REF!</v>
      </c>
      <c r="W165" t="e">
        <f>_xll.BDP(#REF!,W$2)</f>
        <v>#REF!</v>
      </c>
      <c r="X165" t="e">
        <f>_xll.BDP(#REF!,X$2)</f>
        <v>#REF!</v>
      </c>
      <c r="Y165" t="e">
        <f>_xll.BDP(#REF!,Y$2)</f>
        <v>#REF!</v>
      </c>
      <c r="Z165" t="e">
        <f>_xll.BDP(#REF!,Z$2)</f>
        <v>#REF!</v>
      </c>
      <c r="AA165" t="e">
        <f>_xll.BDP(#REF!,AA$2)</f>
        <v>#REF!</v>
      </c>
      <c r="AD165">
        <f ca="1">IF(LEFT(_xll.BDP($T165,AD$2),4)="#N/A",-1,_xll.BDP($T165,AD$2))</f>
        <v>-1</v>
      </c>
    </row>
    <row r="166" spans="1:30">
      <c r="A166">
        <f ca="1"/>
        <v>192</v>
      </c>
      <c r="B166" t="str">
        <f ca="1"/>
        <v>iW - NS</v>
      </c>
      <c r="C166" t="str">
        <f ca="1"/>
        <v>iW - NS</v>
      </c>
      <c r="D166">
        <f ca="1"/>
        <v>114681</v>
      </c>
      <c r="E166" t="str">
        <f ca="1"/>
        <v>iW - DUAL CORE</v>
      </c>
      <c r="F166" t="str">
        <f ca="1"/>
        <v>DUAL CORE</v>
      </c>
      <c r="G166">
        <f ca="1"/>
        <v>147</v>
      </c>
      <c r="H166" t="str">
        <f ca="1"/>
        <v>Pictet Fund Accounting</v>
      </c>
      <c r="I166" t="str">
        <f ca="1"/>
        <v>14667902-0</v>
      </c>
      <c r="J166" s="50">
        <f ca="1"/>
        <v>44530</v>
      </c>
      <c r="K166">
        <f ca="1"/>
        <v>-190.8</v>
      </c>
      <c r="L166" t="str">
        <f ca="1"/>
        <v>121515-0</v>
      </c>
      <c r="M166" t="str">
        <f ca="1"/>
        <v>Provision Transfer Agency</v>
      </c>
      <c r="N166" t="str">
        <f ca="1"/>
        <v>USD</v>
      </c>
      <c r="O166" t="str">
        <f ca="1"/>
        <v>Uncategorized (Treasury)</v>
      </c>
      <c r="P166" t="str">
        <f ca="1"/>
        <v/>
      </c>
      <c r="Q166" t="str">
        <f ca="1"/>
        <v/>
      </c>
      <c r="R166" t="str">
        <f ca="1"/>
        <v/>
      </c>
      <c r="S166" t="str">
        <f ca="1"/>
        <v/>
      </c>
      <c r="T166" t="str">
        <f ca="1"/>
        <v/>
      </c>
      <c r="U166">
        <f ca="1">IF(LEFT(_xll.BDP($T166,U$2),4)="#N/A",0,_xll.BDP($T166,U$2))</f>
        <v>0</v>
      </c>
      <c r="V166" t="e">
        <f>_xll.BDP(#REF!,V$2)</f>
        <v>#REF!</v>
      </c>
      <c r="W166" t="e">
        <f>_xll.BDP(#REF!,W$2)</f>
        <v>#REF!</v>
      </c>
      <c r="X166" t="e">
        <f>_xll.BDP(#REF!,X$2)</f>
        <v>#REF!</v>
      </c>
      <c r="Y166" t="e">
        <f>_xll.BDP(#REF!,Y$2)</f>
        <v>#REF!</v>
      </c>
      <c r="Z166" t="e">
        <f>_xll.BDP(#REF!,Z$2)</f>
        <v>#REF!</v>
      </c>
      <c r="AA166" t="e">
        <f>_xll.BDP(#REF!,AA$2)</f>
        <v>#REF!</v>
      </c>
      <c r="AD166">
        <f ca="1">IF(LEFT(_xll.BDP($T166,AD$2),4)="#N/A",-1,_xll.BDP($T166,AD$2))</f>
        <v>-1</v>
      </c>
    </row>
    <row r="167" spans="1:30">
      <c r="A167">
        <f ca="1"/>
        <v>192</v>
      </c>
      <c r="B167" t="str">
        <f ca="1"/>
        <v>iW - NS</v>
      </c>
      <c r="C167" t="str">
        <f ca="1"/>
        <v>iW - NS</v>
      </c>
      <c r="D167">
        <f ca="1"/>
        <v>110312</v>
      </c>
      <c r="E167" t="str">
        <f ca="1"/>
        <v>iW - LONG TERM INVESTMENTS</v>
      </c>
      <c r="F167" t="str">
        <f ca="1"/>
        <v>LONG TERM INVESTMENTS</v>
      </c>
      <c r="G167">
        <f ca="1"/>
        <v>147</v>
      </c>
      <c r="H167" t="str">
        <f ca="1"/>
        <v>Pictet Fund Accounting</v>
      </c>
      <c r="I167" t="str">
        <f ca="1"/>
        <v>17243039-0</v>
      </c>
      <c r="J167" s="50">
        <f ca="1"/>
        <v>44742</v>
      </c>
      <c r="K167">
        <f ca="1"/>
        <v>235606.76</v>
      </c>
      <c r="L167" t="str">
        <f ca="1"/>
        <v>60578-0</v>
      </c>
      <c r="M167" t="str">
        <f ca="1"/>
        <v>Current account Pictet &amp; Cie (Europe) S.A. @@@</v>
      </c>
      <c r="N167" t="str">
        <f ca="1"/>
        <v>USD</v>
      </c>
      <c r="O167" t="str">
        <f ca="1"/>
        <v>Cash</v>
      </c>
      <c r="P167" t="str">
        <f ca="1"/>
        <v/>
      </c>
      <c r="Q167" t="str">
        <f ca="1"/>
        <v/>
      </c>
      <c r="R167" t="str">
        <f ca="1"/>
        <v/>
      </c>
      <c r="S167" t="str">
        <f ca="1"/>
        <v/>
      </c>
      <c r="T167" t="str">
        <f ca="1"/>
        <v/>
      </c>
      <c r="U167">
        <f ca="1">IF(LEFT(_xll.BDP($T167,U$2),4)="#N/A",0,_xll.BDP($T167,U$2))</f>
        <v>0</v>
      </c>
      <c r="V167" t="e">
        <f>_xll.BDP(#REF!,V$2)</f>
        <v>#REF!</v>
      </c>
      <c r="W167" t="e">
        <f>_xll.BDP(#REF!,W$2)</f>
        <v>#REF!</v>
      </c>
      <c r="X167" t="e">
        <f>_xll.BDP(#REF!,X$2)</f>
        <v>#REF!</v>
      </c>
      <c r="Y167" t="e">
        <f>_xll.BDP(#REF!,Y$2)</f>
        <v>#REF!</v>
      </c>
      <c r="Z167" t="e">
        <f>_xll.BDP(#REF!,Z$2)</f>
        <v>#REF!</v>
      </c>
      <c r="AA167" t="e">
        <f>_xll.BDP(#REF!,AA$2)</f>
        <v>#REF!</v>
      </c>
      <c r="AD167">
        <f ca="1">IF(LEFT(_xll.BDP($T167,AD$2),4)="#N/A",-1,_xll.BDP($T167,AD$2))</f>
        <v>-1</v>
      </c>
    </row>
    <row r="168" spans="1:30">
      <c r="A168">
        <f ca="1"/>
        <v>192</v>
      </c>
      <c r="B168" t="str">
        <f ca="1"/>
        <v>iW - NS</v>
      </c>
      <c r="C168" t="str">
        <f ca="1"/>
        <v>iW - NS</v>
      </c>
      <c r="D168">
        <f ca="1"/>
        <v>110312</v>
      </c>
      <c r="E168" t="str">
        <f ca="1"/>
        <v>iW - LONG TERM INVESTMENTS</v>
      </c>
      <c r="F168" t="str">
        <f ca="1"/>
        <v>LONG TERM INVESTMENTS</v>
      </c>
      <c r="G168">
        <f ca="1"/>
        <v>147</v>
      </c>
      <c r="H168" t="str">
        <f ca="1"/>
        <v>Pictet Fund Accounting</v>
      </c>
      <c r="I168" t="str">
        <f ca="1"/>
        <v>17243044-0</v>
      </c>
      <c r="J168" s="50">
        <f ca="1"/>
        <v>44742</v>
      </c>
      <c r="K168">
        <f ca="1"/>
        <v>-0.18</v>
      </c>
      <c r="L168" t="str">
        <f ca="1"/>
        <v>60587-0</v>
      </c>
      <c r="M168" t="str">
        <f ca="1"/>
        <v>Current account Pictet &amp; Cie (Europe) S.A. @@@</v>
      </c>
      <c r="N168" t="str">
        <f ca="1"/>
        <v>EUR</v>
      </c>
      <c r="O168" t="str">
        <f ca="1"/>
        <v>Cash</v>
      </c>
      <c r="P168" t="str">
        <f ca="1"/>
        <v/>
      </c>
      <c r="Q168" t="str">
        <f ca="1"/>
        <v/>
      </c>
      <c r="R168" t="str">
        <f ca="1"/>
        <v/>
      </c>
      <c r="S168" t="str">
        <f ca="1"/>
        <v/>
      </c>
      <c r="T168" t="str">
        <f ca="1"/>
        <v/>
      </c>
      <c r="U168">
        <f ca="1">IF(LEFT(_xll.BDP($T168,U$2),4)="#N/A",0,_xll.BDP($T168,U$2))</f>
        <v>0</v>
      </c>
      <c r="V168" t="e">
        <f>_xll.BDP(#REF!,V$2)</f>
        <v>#REF!</v>
      </c>
      <c r="W168" t="e">
        <f>_xll.BDP(#REF!,W$2)</f>
        <v>#REF!</v>
      </c>
      <c r="X168" t="e">
        <f>_xll.BDP(#REF!,X$2)</f>
        <v>#REF!</v>
      </c>
      <c r="Y168" t="e">
        <f>_xll.BDP(#REF!,Y$2)</f>
        <v>#REF!</v>
      </c>
      <c r="Z168" t="e">
        <f>_xll.BDP(#REF!,Z$2)</f>
        <v>#REF!</v>
      </c>
      <c r="AA168" t="e">
        <f>_xll.BDP(#REF!,AA$2)</f>
        <v>#REF!</v>
      </c>
      <c r="AD168">
        <f ca="1">IF(LEFT(_xll.BDP($T168,AD$2),4)="#N/A",-1,_xll.BDP($T168,AD$2))</f>
        <v>-1</v>
      </c>
    </row>
    <row r="169" spans="1:30">
      <c r="A169">
        <f ca="1"/>
        <v>192</v>
      </c>
      <c r="B169" t="str">
        <f ca="1"/>
        <v>iW - NS</v>
      </c>
      <c r="C169" t="str">
        <f ca="1"/>
        <v>iW - NS</v>
      </c>
      <c r="D169">
        <f ca="1"/>
        <v>110312</v>
      </c>
      <c r="E169" t="str">
        <f ca="1"/>
        <v>iW - LONG TERM INVESTMENTS</v>
      </c>
      <c r="F169" t="str">
        <f ca="1"/>
        <v>LONG TERM INVESTMENTS</v>
      </c>
      <c r="G169">
        <f ca="1"/>
        <v>147</v>
      </c>
      <c r="H169" t="str">
        <f ca="1"/>
        <v>Pictet Fund Accounting</v>
      </c>
      <c r="I169" t="str">
        <f ca="1"/>
        <v>17243042-0</v>
      </c>
      <c r="J169" s="50">
        <f ca="1"/>
        <v>44742</v>
      </c>
      <c r="K169">
        <f ca="1"/>
        <v>50000</v>
      </c>
      <c r="L169" t="str">
        <f ca="1"/>
        <v>114663-0</v>
      </c>
      <c r="M169" t="str">
        <f ca="1"/>
        <v>NS PE HOLDINGS</v>
      </c>
      <c r="N169" t="str">
        <f ca="1"/>
        <v>USD</v>
      </c>
      <c r="O169" t="str">
        <f ca="1"/>
        <v>Equity</v>
      </c>
      <c r="P169" t="str">
        <f ca="1"/>
        <v/>
      </c>
      <c r="Q169" t="str">
        <f ca="1"/>
        <v/>
      </c>
      <c r="R169" t="str">
        <f ca="1"/>
        <v>ZZ00AB08L4 0</v>
      </c>
      <c r="S169" t="str">
        <f ca="1"/>
        <v/>
      </c>
      <c r="T169" t="str">
        <f ca="1"/>
        <v/>
      </c>
      <c r="U169">
        <f ca="1">IF(LEFT(_xll.BDP($T169,U$2),4)="#N/A",0,_xll.BDP($T169,U$2))</f>
        <v>0</v>
      </c>
      <c r="V169" t="e">
        <f>_xll.BDP(#REF!,V$2)</f>
        <v>#REF!</v>
      </c>
      <c r="W169" t="e">
        <f>_xll.BDP(#REF!,W$2)</f>
        <v>#REF!</v>
      </c>
      <c r="X169" t="e">
        <f>_xll.BDP(#REF!,X$2)</f>
        <v>#REF!</v>
      </c>
      <c r="Y169" t="e">
        <f>_xll.BDP(#REF!,Y$2)</f>
        <v>#REF!</v>
      </c>
      <c r="Z169" t="e">
        <f>_xll.BDP(#REF!,Z$2)</f>
        <v>#REF!</v>
      </c>
      <c r="AA169" t="e">
        <f>_xll.BDP(#REF!,AA$2)</f>
        <v>#REF!</v>
      </c>
      <c r="AD169">
        <f ca="1">IF(LEFT(_xll.BDP($T169,AD$2),4)="#N/A",-1,_xll.BDP($T169,AD$2))</f>
        <v>-1</v>
      </c>
    </row>
    <row r="170" spans="1:30">
      <c r="A170">
        <f ca="1"/>
        <v>192</v>
      </c>
      <c r="B170" t="str">
        <f ca="1"/>
        <v>iW - NS</v>
      </c>
      <c r="C170" t="str">
        <f ca="1"/>
        <v>iW - NS</v>
      </c>
      <c r="D170">
        <f ca="1"/>
        <v>110312</v>
      </c>
      <c r="E170" t="str">
        <f ca="1"/>
        <v>iW - LONG TERM INVESTMENTS</v>
      </c>
      <c r="F170" t="str">
        <f ca="1"/>
        <v>LONG TERM INVESTMENTS</v>
      </c>
      <c r="G170">
        <f ca="1"/>
        <v>147</v>
      </c>
      <c r="H170" t="str">
        <f ca="1"/>
        <v>Pictet Fund Accounting</v>
      </c>
      <c r="I170" t="str">
        <f ca="1"/>
        <v>17243065-0</v>
      </c>
      <c r="J170" s="50">
        <f ca="1"/>
        <v>44742</v>
      </c>
      <c r="K170">
        <f ca="1"/>
        <v>22195.29</v>
      </c>
      <c r="L170" t="str">
        <f ca="1"/>
        <v>146738-0</v>
      </c>
      <c r="M170" t="str">
        <f ca="1"/>
        <v>INSTITUT.CASH-BLAC.ICS USD LIQ.CORE</v>
      </c>
      <c r="N170" t="str">
        <f ca="1"/>
        <v>USD</v>
      </c>
      <c r="O170" t="str">
        <f ca="1"/>
        <v>Investment Fund</v>
      </c>
      <c r="P170" t="str">
        <f ca="1"/>
        <v/>
      </c>
      <c r="Q170" t="str">
        <f ca="1"/>
        <v/>
      </c>
      <c r="R170" t="str">
        <f ca="1"/>
        <v>IE0004810143</v>
      </c>
      <c r="S170" t="str">
        <f ca="1"/>
        <v/>
      </c>
      <c r="T170" t="str">
        <f ca="1"/>
        <v>MLMIUSA ID Equity</v>
      </c>
      <c r="U170">
        <f ca="1">IF(LEFT(_xll.BDP($T170,U$2),4)="#N/A",0,_xll.BDP($T170,U$2))</f>
        <v>0</v>
      </c>
      <c r="V170" t="e">
        <f>_xll.BDP(#REF!,V$2)</f>
        <v>#REF!</v>
      </c>
      <c r="W170" t="e">
        <f>_xll.BDP(#REF!,W$2)</f>
        <v>#REF!</v>
      </c>
      <c r="X170" t="e">
        <f>_xll.BDP(#REF!,X$2)</f>
        <v>#REF!</v>
      </c>
      <c r="Y170" t="e">
        <f>_xll.BDP(#REF!,Y$2)</f>
        <v>#REF!</v>
      </c>
      <c r="Z170" t="e">
        <f>_xll.BDP(#REF!,Z$2)</f>
        <v>#REF!</v>
      </c>
      <c r="AA170" t="e">
        <f>_xll.BDP(#REF!,AA$2)</f>
        <v>#REF!</v>
      </c>
      <c r="AD170">
        <f ca="1">IF(LEFT(_xll.BDP($T170,AD$2),4)="#N/A",-1,_xll.BDP($T170,AD$2))</f>
        <v>-1</v>
      </c>
    </row>
    <row r="171" spans="1:30">
      <c r="A171">
        <f ca="1"/>
        <v>192</v>
      </c>
      <c r="B171" t="str">
        <f ca="1"/>
        <v>iW - NS</v>
      </c>
      <c r="C171" t="str">
        <f ca="1"/>
        <v>iW - NS</v>
      </c>
      <c r="D171">
        <f ca="1"/>
        <v>110312</v>
      </c>
      <c r="E171" t="str">
        <f ca="1"/>
        <v>iW - LONG TERM INVESTMENTS</v>
      </c>
      <c r="F171" t="str">
        <f ca="1"/>
        <v>LONG TERM INVESTMENTS</v>
      </c>
      <c r="G171">
        <f ca="1"/>
        <v>147</v>
      </c>
      <c r="H171" t="str">
        <f ca="1"/>
        <v>Pictet Fund Accounting</v>
      </c>
      <c r="I171" t="str">
        <f ca="1"/>
        <v>17243041-0</v>
      </c>
      <c r="J171" s="50">
        <f ca="1"/>
        <v>44742</v>
      </c>
      <c r="K171">
        <f ca="1"/>
        <v>58448.239000000001</v>
      </c>
      <c r="L171" t="str">
        <f ca="1"/>
        <v>111956-0</v>
      </c>
      <c r="M171" t="str">
        <f ca="1"/>
        <v>LUXEMBOURG LIF.II-ABS.RE.III D1 USD</v>
      </c>
      <c r="N171" t="str">
        <f ca="1"/>
        <v>USD</v>
      </c>
      <c r="O171" t="str">
        <f ca="1"/>
        <v>Investment Fund</v>
      </c>
      <c r="P171" t="str">
        <f ca="1"/>
        <v/>
      </c>
      <c r="Q171" t="str">
        <f ca="1"/>
        <v/>
      </c>
      <c r="R171" t="str">
        <f ca="1"/>
        <v>LU2193728255</v>
      </c>
      <c r="S171" t="str">
        <f ca="1"/>
        <v/>
      </c>
      <c r="T171" t="str">
        <f ca="1"/>
        <v>LARFIDU LX Equity</v>
      </c>
      <c r="U171">
        <f ca="1">IF(LEFT(_xll.BDP($T171,U$2),4)="#N/A",0,_xll.BDP($T171,U$2))</f>
        <v>0</v>
      </c>
      <c r="V171" t="e">
        <f>_xll.BDP(#REF!,V$2)</f>
        <v>#REF!</v>
      </c>
      <c r="W171" t="e">
        <f>_xll.BDP(#REF!,W$2)</f>
        <v>#REF!</v>
      </c>
      <c r="X171" t="e">
        <f>_xll.BDP(#REF!,X$2)</f>
        <v>#REF!</v>
      </c>
      <c r="Y171" t="e">
        <f>_xll.BDP(#REF!,Y$2)</f>
        <v>#REF!</v>
      </c>
      <c r="Z171" t="e">
        <f>_xll.BDP(#REF!,Z$2)</f>
        <v>#REF!</v>
      </c>
      <c r="AA171" t="e">
        <f>_xll.BDP(#REF!,AA$2)</f>
        <v>#REF!</v>
      </c>
      <c r="AD171">
        <f ca="1">IF(LEFT(_xll.BDP($T171,AD$2),4)="#N/A",-1,_xll.BDP($T171,AD$2))</f>
        <v>-1</v>
      </c>
    </row>
    <row r="172" spans="1:30">
      <c r="A172">
        <f ca="1"/>
        <v>192</v>
      </c>
      <c r="B172" t="str">
        <f ca="1"/>
        <v>iW - NS</v>
      </c>
      <c r="C172" t="str">
        <f ca="1"/>
        <v>iW - NS</v>
      </c>
      <c r="D172">
        <f ca="1"/>
        <v>110312</v>
      </c>
      <c r="E172" t="str">
        <f ca="1"/>
        <v>iW - LONG TERM INVESTMENTS</v>
      </c>
      <c r="F172" t="str">
        <f ca="1"/>
        <v>LONG TERM INVESTMENTS</v>
      </c>
      <c r="G172">
        <f ca="1"/>
        <v>147</v>
      </c>
      <c r="H172" t="str">
        <f ca="1"/>
        <v>Pictet Fund Accounting</v>
      </c>
      <c r="I172" t="str">
        <f ca="1"/>
        <v>17243060-0</v>
      </c>
      <c r="J172" s="50">
        <f ca="1"/>
        <v>44742</v>
      </c>
      <c r="K172">
        <f ca="1"/>
        <v>22718.037</v>
      </c>
      <c r="L172" t="str">
        <f ca="1"/>
        <v>114670-0</v>
      </c>
      <c r="M172" t="str">
        <f ca="1"/>
        <v>LUXEMBOURG LIFE-ABS.RET.I D USD-ACC</v>
      </c>
      <c r="N172" t="str">
        <f ca="1"/>
        <v>USD</v>
      </c>
      <c r="O172" t="str">
        <f ca="1"/>
        <v>Investment Fund</v>
      </c>
      <c r="P172" t="str">
        <f ca="1"/>
        <v/>
      </c>
      <c r="Q172" t="str">
        <f ca="1"/>
        <v/>
      </c>
      <c r="R172" t="str">
        <f ca="1"/>
        <v>LU1728557338</v>
      </c>
      <c r="S172" t="str">
        <f ca="1"/>
        <v/>
      </c>
      <c r="T172" t="str">
        <f ca="1"/>
        <v>LLFABRD LX Equity</v>
      </c>
      <c r="U172">
        <f ca="1">IF(LEFT(_xll.BDP($T172,U$2),4)="#N/A",0,_xll.BDP($T172,U$2))</f>
        <v>0</v>
      </c>
      <c r="V172" t="e">
        <f>_xll.BDP(#REF!,V$2)</f>
        <v>#REF!</v>
      </c>
      <c r="W172" t="e">
        <f>_xll.BDP(#REF!,W$2)</f>
        <v>#REF!</v>
      </c>
      <c r="X172" t="e">
        <f>_xll.BDP(#REF!,X$2)</f>
        <v>#REF!</v>
      </c>
      <c r="Y172" t="e">
        <f>_xll.BDP(#REF!,Y$2)</f>
        <v>#REF!</v>
      </c>
      <c r="Z172" t="e">
        <f>_xll.BDP(#REF!,Z$2)</f>
        <v>#REF!</v>
      </c>
      <c r="AA172" t="e">
        <f>_xll.BDP(#REF!,AA$2)</f>
        <v>#REF!</v>
      </c>
      <c r="AD172">
        <f ca="1">IF(LEFT(_xll.BDP($T172,AD$2),4)="#N/A",-1,_xll.BDP($T172,AD$2))</f>
        <v>-1</v>
      </c>
    </row>
    <row r="173" spans="1:30">
      <c r="A173">
        <f ca="1"/>
        <v>192</v>
      </c>
      <c r="B173" t="str">
        <f ca="1"/>
        <v>iW - NS</v>
      </c>
      <c r="C173" t="str">
        <f ca="1"/>
        <v>iW - NS</v>
      </c>
      <c r="D173">
        <f ca="1"/>
        <v>110312</v>
      </c>
      <c r="E173" t="str">
        <f ca="1"/>
        <v>iW - LONG TERM INVESTMENTS</v>
      </c>
      <c r="F173" t="str">
        <f ca="1"/>
        <v>LONG TERM INVESTMENTS</v>
      </c>
      <c r="G173">
        <f ca="1"/>
        <v>147</v>
      </c>
      <c r="H173" t="str">
        <f ca="1"/>
        <v>Pictet Fund Accounting</v>
      </c>
      <c r="I173" t="str">
        <f ca="1"/>
        <v>17243055-0</v>
      </c>
      <c r="J173" s="50">
        <f ca="1"/>
        <v>44742</v>
      </c>
      <c r="K173">
        <f ca="1"/>
        <v>15000000</v>
      </c>
      <c r="L173" t="str">
        <f ca="1"/>
        <v>114668-0</v>
      </c>
      <c r="M173" t="str">
        <f ca="1"/>
        <v>A6684 FUND I LP</v>
      </c>
      <c r="N173" t="str">
        <f ca="1"/>
        <v>USD</v>
      </c>
      <c r="O173" t="str">
        <f ca="1"/>
        <v>Limited Partnership</v>
      </c>
      <c r="P173" t="str">
        <f ca="1"/>
        <v/>
      </c>
      <c r="Q173" t="str">
        <f ca="1"/>
        <v/>
      </c>
      <c r="R173" t="str">
        <f ca="1"/>
        <v>ZZ00AAEXNK 0</v>
      </c>
      <c r="S173" t="str">
        <f ca="1"/>
        <v/>
      </c>
      <c r="T173" t="str">
        <f ca="1"/>
        <v/>
      </c>
      <c r="U173">
        <f ca="1">IF(LEFT(_xll.BDP($T173,U$2),4)="#N/A",0,_xll.BDP($T173,U$2))</f>
        <v>0</v>
      </c>
      <c r="V173" t="e">
        <f>_xll.BDP(#REF!,V$2)</f>
        <v>#REF!</v>
      </c>
      <c r="W173" t="e">
        <f>_xll.BDP(#REF!,W$2)</f>
        <v>#REF!</v>
      </c>
      <c r="X173" t="e">
        <f>_xll.BDP(#REF!,X$2)</f>
        <v>#REF!</v>
      </c>
      <c r="Y173" t="e">
        <f>_xll.BDP(#REF!,Y$2)</f>
        <v>#REF!</v>
      </c>
      <c r="Z173" t="e">
        <f>_xll.BDP(#REF!,Z$2)</f>
        <v>#REF!</v>
      </c>
      <c r="AA173" t="e">
        <f>_xll.BDP(#REF!,AA$2)</f>
        <v>#REF!</v>
      </c>
      <c r="AD173">
        <f ca="1">IF(LEFT(_xll.BDP($T173,AD$2),4)="#N/A",-1,_xll.BDP($T173,AD$2))</f>
        <v>-1</v>
      </c>
    </row>
    <row r="174" spans="1:30">
      <c r="A174">
        <f ca="1"/>
        <v>192</v>
      </c>
      <c r="B174" t="str">
        <f ca="1"/>
        <v>iW - NS</v>
      </c>
      <c r="C174" t="str">
        <f ca="1"/>
        <v>iW - NS</v>
      </c>
      <c r="D174">
        <f ca="1"/>
        <v>110312</v>
      </c>
      <c r="E174" t="str">
        <f ca="1"/>
        <v>iW - LONG TERM INVESTMENTS</v>
      </c>
      <c r="F174" t="str">
        <f ca="1"/>
        <v>LONG TERM INVESTMENTS</v>
      </c>
      <c r="G174">
        <f ca="1"/>
        <v>147</v>
      </c>
      <c r="H174" t="str">
        <f ca="1"/>
        <v>Pictet Fund Accounting</v>
      </c>
      <c r="I174" t="str">
        <f ca="1"/>
        <v>17243038-0</v>
      </c>
      <c r="J174" s="50">
        <f ca="1"/>
        <v>44742</v>
      </c>
      <c r="K174">
        <f ca="1"/>
        <v>1500000</v>
      </c>
      <c r="L174" t="str">
        <f ca="1"/>
        <v>114659-0</v>
      </c>
      <c r="M174" t="str">
        <f ca="1"/>
        <v>ALZA CAPITAL FUND I LP</v>
      </c>
      <c r="N174" t="str">
        <f ca="1"/>
        <v>USD</v>
      </c>
      <c r="O174" t="str">
        <f ca="1"/>
        <v>Limited Partnership</v>
      </c>
      <c r="P174" t="str">
        <f ca="1"/>
        <v/>
      </c>
      <c r="Q174" t="str">
        <f ca="1"/>
        <v/>
      </c>
      <c r="R174" t="str">
        <f ca="1"/>
        <v>ZZ00AAESCR 0</v>
      </c>
      <c r="S174" t="str">
        <f ca="1"/>
        <v/>
      </c>
      <c r="T174" t="str">
        <f ca="1"/>
        <v/>
      </c>
      <c r="U174">
        <f ca="1">IF(LEFT(_xll.BDP($T174,U$2),4)="#N/A",0,_xll.BDP($T174,U$2))</f>
        <v>0</v>
      </c>
      <c r="V174" t="e">
        <f>_xll.BDP(#REF!,V$2)</f>
        <v>#REF!</v>
      </c>
      <c r="W174" t="e">
        <f>_xll.BDP(#REF!,W$2)</f>
        <v>#REF!</v>
      </c>
      <c r="X174" t="e">
        <f>_xll.BDP(#REF!,X$2)</f>
        <v>#REF!</v>
      </c>
      <c r="Y174" t="e">
        <f>_xll.BDP(#REF!,Y$2)</f>
        <v>#REF!</v>
      </c>
      <c r="Z174" t="e">
        <f>_xll.BDP(#REF!,Z$2)</f>
        <v>#REF!</v>
      </c>
      <c r="AA174" t="e">
        <f>_xll.BDP(#REF!,AA$2)</f>
        <v>#REF!</v>
      </c>
      <c r="AD174">
        <f ca="1">IF(LEFT(_xll.BDP($T174,AD$2),4)="#N/A",-1,_xll.BDP($T174,AD$2))</f>
        <v>-1</v>
      </c>
    </row>
    <row r="175" spans="1:30">
      <c r="A175">
        <f ca="1"/>
        <v>192</v>
      </c>
      <c r="B175" t="str">
        <f ca="1"/>
        <v>iW - NS</v>
      </c>
      <c r="C175" t="str">
        <f ca="1"/>
        <v>iW - NS</v>
      </c>
      <c r="D175">
        <f ca="1"/>
        <v>110312</v>
      </c>
      <c r="E175" t="str">
        <f ca="1"/>
        <v>iW - LONG TERM INVESTMENTS</v>
      </c>
      <c r="F175" t="str">
        <f ca="1"/>
        <v>LONG TERM INVESTMENTS</v>
      </c>
      <c r="G175">
        <f ca="1"/>
        <v>147</v>
      </c>
      <c r="H175" t="str">
        <f ca="1"/>
        <v>Pictet Fund Accounting</v>
      </c>
      <c r="I175" t="str">
        <f ca="1"/>
        <v>17243072-0</v>
      </c>
      <c r="J175" s="50">
        <f ca="1"/>
        <v>44742</v>
      </c>
      <c r="K175">
        <f ca="1"/>
        <v>2000000</v>
      </c>
      <c r="L175" t="str">
        <f ca="1"/>
        <v>141469-0</v>
      </c>
      <c r="M175" t="str">
        <f ca="1"/>
        <v>ALZA CAPITAL FUND II LP</v>
      </c>
      <c r="N175" t="str">
        <f ca="1"/>
        <v>USD</v>
      </c>
      <c r="O175" t="str">
        <f ca="1"/>
        <v>Limited Partnership</v>
      </c>
      <c r="P175" t="str">
        <f ca="1"/>
        <v/>
      </c>
      <c r="Q175" t="str">
        <f ca="1"/>
        <v/>
      </c>
      <c r="R175" t="str">
        <f ca="1"/>
        <v>ZZ00AB481P 0</v>
      </c>
      <c r="S175" t="str">
        <f ca="1"/>
        <v/>
      </c>
      <c r="T175" t="str">
        <f ca="1"/>
        <v/>
      </c>
      <c r="U175">
        <f ca="1">IF(LEFT(_xll.BDP($T175,U$2),4)="#N/A",0,_xll.BDP($T175,U$2))</f>
        <v>0</v>
      </c>
      <c r="V175" t="e">
        <f>_xll.BDP(#REF!,V$2)</f>
        <v>#REF!</v>
      </c>
      <c r="W175" t="e">
        <f>_xll.BDP(#REF!,W$2)</f>
        <v>#REF!</v>
      </c>
      <c r="X175" t="e">
        <f>_xll.BDP(#REF!,X$2)</f>
        <v>#REF!</v>
      </c>
      <c r="Y175" t="e">
        <f>_xll.BDP(#REF!,Y$2)</f>
        <v>#REF!</v>
      </c>
      <c r="Z175" t="e">
        <f>_xll.BDP(#REF!,Z$2)</f>
        <v>#REF!</v>
      </c>
      <c r="AA175" t="e">
        <f>_xll.BDP(#REF!,AA$2)</f>
        <v>#REF!</v>
      </c>
      <c r="AD175">
        <f ca="1">IF(LEFT(_xll.BDP($T175,AD$2),4)="#N/A",-1,_xll.BDP($T175,AD$2))</f>
        <v>-1</v>
      </c>
    </row>
    <row r="176" spans="1:30">
      <c r="A176">
        <f ca="1"/>
        <v>192</v>
      </c>
      <c r="B176" t="str">
        <f ca="1"/>
        <v>iW - NS</v>
      </c>
      <c r="C176" t="str">
        <f ca="1"/>
        <v>iW - NS</v>
      </c>
      <c r="D176">
        <f ca="1"/>
        <v>110312</v>
      </c>
      <c r="E176" t="str">
        <f ca="1"/>
        <v>iW - LONG TERM INVESTMENTS</v>
      </c>
      <c r="F176" t="str">
        <f ca="1"/>
        <v>LONG TERM INVESTMENTS</v>
      </c>
      <c r="G176">
        <f ca="1"/>
        <v>147</v>
      </c>
      <c r="H176" t="str">
        <f ca="1"/>
        <v>Pictet Fund Accounting</v>
      </c>
      <c r="I176" t="str">
        <f ca="1"/>
        <v>17243068-0</v>
      </c>
      <c r="J176" s="50">
        <f ca="1"/>
        <v>44742</v>
      </c>
      <c r="K176">
        <f ca="1"/>
        <v>100000</v>
      </c>
      <c r="L176" t="str">
        <f ca="1"/>
        <v>141468-0</v>
      </c>
      <c r="M176" t="str">
        <f ca="1"/>
        <v>CRUX CAPITAL PARTNERS</v>
      </c>
      <c r="N176" t="str">
        <f ca="1"/>
        <v>AUD</v>
      </c>
      <c r="O176" t="str">
        <f ca="1"/>
        <v>Limited Partnership</v>
      </c>
      <c r="P176" t="str">
        <f ca="1"/>
        <v/>
      </c>
      <c r="Q176" t="str">
        <f ca="1"/>
        <v/>
      </c>
      <c r="R176" t="str">
        <f ca="1"/>
        <v>ZZ00AB40HX 0</v>
      </c>
      <c r="S176" t="str">
        <f ca="1"/>
        <v/>
      </c>
      <c r="T176" t="str">
        <f ca="1"/>
        <v/>
      </c>
      <c r="U176">
        <f ca="1">IF(LEFT(_xll.BDP($T176,U$2),4)="#N/A",0,_xll.BDP($T176,U$2))</f>
        <v>0</v>
      </c>
      <c r="V176" t="e">
        <f>_xll.BDP(#REF!,V$2)</f>
        <v>#REF!</v>
      </c>
      <c r="W176" t="e">
        <f>_xll.BDP(#REF!,W$2)</f>
        <v>#REF!</v>
      </c>
      <c r="X176" t="e">
        <f>_xll.BDP(#REF!,X$2)</f>
        <v>#REF!</v>
      </c>
      <c r="Y176" t="e">
        <f>_xll.BDP(#REF!,Y$2)</f>
        <v>#REF!</v>
      </c>
      <c r="Z176" t="e">
        <f>_xll.BDP(#REF!,Z$2)</f>
        <v>#REF!</v>
      </c>
      <c r="AA176" t="e">
        <f>_xll.BDP(#REF!,AA$2)</f>
        <v>#REF!</v>
      </c>
      <c r="AD176">
        <f ca="1">IF(LEFT(_xll.BDP($T176,AD$2),4)="#N/A",-1,_xll.BDP($T176,AD$2))</f>
        <v>-1</v>
      </c>
    </row>
    <row r="177" spans="1:30">
      <c r="A177">
        <f ca="1"/>
        <v>192</v>
      </c>
      <c r="B177" t="str">
        <f ca="1"/>
        <v>iW - NS</v>
      </c>
      <c r="C177" t="str">
        <f ca="1"/>
        <v>iW - NS</v>
      </c>
      <c r="D177">
        <f ca="1"/>
        <v>110312</v>
      </c>
      <c r="E177" t="str">
        <f ca="1"/>
        <v>iW - LONG TERM INVESTMENTS</v>
      </c>
      <c r="F177" t="str">
        <f ca="1"/>
        <v>LONG TERM INVESTMENTS</v>
      </c>
      <c r="G177">
        <f ca="1"/>
        <v>147</v>
      </c>
      <c r="H177" t="str">
        <f ca="1"/>
        <v>Pictet Fund Accounting</v>
      </c>
      <c r="I177" t="str">
        <f ca="1"/>
        <v>17243067-0</v>
      </c>
      <c r="J177" s="50">
        <f ca="1"/>
        <v>44742</v>
      </c>
      <c r="K177">
        <f ca="1"/>
        <v>4000000</v>
      </c>
      <c r="L177" t="str">
        <f ca="1"/>
        <v>114674-0</v>
      </c>
      <c r="M177" t="str">
        <f ca="1"/>
        <v>IVO US INSURED LITIGATI.FD V A (NS)</v>
      </c>
      <c r="N177" t="str">
        <f ca="1"/>
        <v>USD</v>
      </c>
      <c r="O177" t="str">
        <f ca="1"/>
        <v>Limited Partnership</v>
      </c>
      <c r="P177" t="str">
        <f ca="1"/>
        <v/>
      </c>
      <c r="Q177" t="str">
        <f ca="1"/>
        <v/>
      </c>
      <c r="R177" t="str">
        <f ca="1"/>
        <v>ZZ00AAEH2X 0</v>
      </c>
      <c r="S177" t="str">
        <f ca="1"/>
        <v/>
      </c>
      <c r="T177" t="str">
        <f ca="1"/>
        <v/>
      </c>
      <c r="U177">
        <f ca="1">IF(LEFT(_xll.BDP($T177,U$2),4)="#N/A",0,_xll.BDP($T177,U$2))</f>
        <v>0</v>
      </c>
      <c r="V177" t="e">
        <f>_xll.BDP(#REF!,V$2)</f>
        <v>#REF!</v>
      </c>
      <c r="W177" t="e">
        <f>_xll.BDP(#REF!,W$2)</f>
        <v>#REF!</v>
      </c>
      <c r="X177" t="e">
        <f>_xll.BDP(#REF!,X$2)</f>
        <v>#REF!</v>
      </c>
      <c r="Y177" t="e">
        <f>_xll.BDP(#REF!,Y$2)</f>
        <v>#REF!</v>
      </c>
      <c r="Z177" t="e">
        <f>_xll.BDP(#REF!,Z$2)</f>
        <v>#REF!</v>
      </c>
      <c r="AA177" t="e">
        <f>_xll.BDP(#REF!,AA$2)</f>
        <v>#REF!</v>
      </c>
      <c r="AD177">
        <f ca="1">IF(LEFT(_xll.BDP($T177,AD$2),4)="#N/A",-1,_xll.BDP($T177,AD$2))</f>
        <v>-1</v>
      </c>
    </row>
    <row r="178" spans="1:30">
      <c r="A178">
        <f ca="1"/>
        <v>192</v>
      </c>
      <c r="B178" t="str">
        <f ca="1"/>
        <v>iW - NS</v>
      </c>
      <c r="C178" t="str">
        <f ca="1"/>
        <v>iW - NS</v>
      </c>
      <c r="D178">
        <f ca="1"/>
        <v>110312</v>
      </c>
      <c r="E178" t="str">
        <f ca="1"/>
        <v>iW - LONG TERM INVESTMENTS</v>
      </c>
      <c r="F178" t="str">
        <f ca="1"/>
        <v>LONG TERM INVESTMENTS</v>
      </c>
      <c r="G178">
        <f ca="1"/>
        <v>147</v>
      </c>
      <c r="H178" t="str">
        <f ca="1"/>
        <v>Pictet Fund Accounting</v>
      </c>
      <c r="I178" t="str">
        <f ca="1"/>
        <v>17243048-0</v>
      </c>
      <c r="J178" s="50">
        <f ca="1"/>
        <v>44742</v>
      </c>
      <c r="K178">
        <f ca="1"/>
        <v>2000000</v>
      </c>
      <c r="L178" t="str">
        <f ca="1"/>
        <v>114664-0</v>
      </c>
      <c r="M178" t="str">
        <f ca="1"/>
        <v>JAL VENTURES FUND II LP(NS FD)</v>
      </c>
      <c r="N178" t="str">
        <f ca="1"/>
        <v>USD</v>
      </c>
      <c r="O178" t="str">
        <f ca="1"/>
        <v>Limited Partnership</v>
      </c>
      <c r="P178" t="str">
        <f ca="1"/>
        <v/>
      </c>
      <c r="Q178" t="str">
        <f ca="1"/>
        <v/>
      </c>
      <c r="R178" t="str">
        <f ca="1"/>
        <v>ZZ00AB065H 0</v>
      </c>
      <c r="S178" t="str">
        <f ca="1"/>
        <v/>
      </c>
      <c r="T178" t="str">
        <f ca="1"/>
        <v/>
      </c>
      <c r="U178">
        <f ca="1">IF(LEFT(_xll.BDP($T178,U$2),4)="#N/A",0,_xll.BDP($T178,U$2))</f>
        <v>0</v>
      </c>
      <c r="V178" t="e">
        <f>_xll.BDP(#REF!,V$2)</f>
        <v>#REF!</v>
      </c>
      <c r="W178" t="e">
        <f>_xll.BDP(#REF!,W$2)</f>
        <v>#REF!</v>
      </c>
      <c r="X178" t="e">
        <f>_xll.BDP(#REF!,X$2)</f>
        <v>#REF!</v>
      </c>
      <c r="Y178" t="e">
        <f>_xll.BDP(#REF!,Y$2)</f>
        <v>#REF!</v>
      </c>
      <c r="Z178" t="e">
        <f>_xll.BDP(#REF!,Z$2)</f>
        <v>#REF!</v>
      </c>
      <c r="AA178" t="e">
        <f>_xll.BDP(#REF!,AA$2)</f>
        <v>#REF!</v>
      </c>
      <c r="AD178">
        <f ca="1">IF(LEFT(_xll.BDP($T178,AD$2),4)="#N/A",-1,_xll.BDP($T178,AD$2))</f>
        <v>-1</v>
      </c>
    </row>
    <row r="179" spans="1:30">
      <c r="A179">
        <f ca="1"/>
        <v>192</v>
      </c>
      <c r="B179" t="str">
        <f ca="1"/>
        <v>iW - NS</v>
      </c>
      <c r="C179" t="str">
        <f ca="1"/>
        <v>iW - NS</v>
      </c>
      <c r="D179">
        <f ca="1"/>
        <v>110312</v>
      </c>
      <c r="E179" t="str">
        <f ca="1"/>
        <v>iW - LONG TERM INVESTMENTS</v>
      </c>
      <c r="F179" t="str">
        <f ca="1"/>
        <v>LONG TERM INVESTMENTS</v>
      </c>
      <c r="G179">
        <f ca="1"/>
        <v>147</v>
      </c>
      <c r="H179" t="str">
        <f ca="1"/>
        <v>Pictet Fund Accounting</v>
      </c>
      <c r="I179" t="str">
        <f ca="1"/>
        <v>17243073-0</v>
      </c>
      <c r="J179" s="50">
        <f ca="1"/>
        <v>44742</v>
      </c>
      <c r="K179">
        <f ca="1"/>
        <v>10000000</v>
      </c>
      <c r="L179" t="str">
        <f ca="1"/>
        <v>123930-0</v>
      </c>
      <c r="M179" t="str">
        <f ca="1"/>
        <v>NCA EUROPE LP</v>
      </c>
      <c r="N179" t="str">
        <f ca="1"/>
        <v>EUR</v>
      </c>
      <c r="O179" t="str">
        <f ca="1"/>
        <v>Limited Partnership</v>
      </c>
      <c r="P179" t="str">
        <f ca="1"/>
        <v/>
      </c>
      <c r="Q179" t="str">
        <f ca="1"/>
        <v/>
      </c>
      <c r="R179" t="str">
        <f ca="1"/>
        <v>ZZ00AB3GHN 0</v>
      </c>
      <c r="S179" t="str">
        <f ca="1"/>
        <v/>
      </c>
      <c r="T179" t="str">
        <f ca="1"/>
        <v/>
      </c>
      <c r="U179">
        <f ca="1">IF(LEFT(_xll.BDP($T179,U$2),4)="#N/A",0,_xll.BDP($T179,U$2))</f>
        <v>0</v>
      </c>
      <c r="V179" t="e">
        <f>_xll.BDP(#REF!,V$2)</f>
        <v>#REF!</v>
      </c>
      <c r="W179" t="e">
        <f>_xll.BDP(#REF!,W$2)</f>
        <v>#REF!</v>
      </c>
      <c r="X179" t="e">
        <f>_xll.BDP(#REF!,X$2)</f>
        <v>#REF!</v>
      </c>
      <c r="Y179" t="e">
        <f>_xll.BDP(#REF!,Y$2)</f>
        <v>#REF!</v>
      </c>
      <c r="Z179" t="e">
        <f>_xll.BDP(#REF!,Z$2)</f>
        <v>#REF!</v>
      </c>
      <c r="AA179" t="e">
        <f>_xll.BDP(#REF!,AA$2)</f>
        <v>#REF!</v>
      </c>
      <c r="AD179">
        <f ca="1">IF(LEFT(_xll.BDP($T179,AD$2),4)="#N/A",-1,_xll.BDP($T179,AD$2))</f>
        <v>-1</v>
      </c>
    </row>
    <row r="180" spans="1:30">
      <c r="A180">
        <f ca="1"/>
        <v>192</v>
      </c>
      <c r="B180" t="str">
        <f ca="1"/>
        <v>iW - NS</v>
      </c>
      <c r="C180" t="str">
        <f ca="1"/>
        <v>iW - NS</v>
      </c>
      <c r="D180">
        <f ca="1"/>
        <v>110312</v>
      </c>
      <c r="E180" t="str">
        <f ca="1"/>
        <v>iW - LONG TERM INVESTMENTS</v>
      </c>
      <c r="F180" t="str">
        <f ca="1"/>
        <v>LONG TERM INVESTMENTS</v>
      </c>
      <c r="G180">
        <f ca="1"/>
        <v>147</v>
      </c>
      <c r="H180" t="str">
        <f ca="1"/>
        <v>Pictet Fund Accounting</v>
      </c>
      <c r="I180" t="str">
        <f ca="1"/>
        <v>17243070-0</v>
      </c>
      <c r="J180" s="50">
        <f ca="1"/>
        <v>44742</v>
      </c>
      <c r="K180">
        <f ca="1"/>
        <v>5000000</v>
      </c>
      <c r="L180" t="str">
        <f ca="1"/>
        <v>133810-0</v>
      </c>
      <c r="M180" t="str">
        <f ca="1"/>
        <v>NCA NORTH AMERICA LP.</v>
      </c>
      <c r="N180" t="str">
        <f ca="1"/>
        <v>USD</v>
      </c>
      <c r="O180" t="str">
        <f ca="1"/>
        <v>Limited Partnership</v>
      </c>
      <c r="P180" t="str">
        <f ca="1"/>
        <v/>
      </c>
      <c r="Q180" t="str">
        <f ca="1"/>
        <v/>
      </c>
      <c r="R180" t="str">
        <f ca="1"/>
        <v>ZZ00AB3UF5 0</v>
      </c>
      <c r="S180" t="str">
        <f ca="1"/>
        <v/>
      </c>
      <c r="T180" t="str">
        <f ca="1"/>
        <v/>
      </c>
      <c r="U180">
        <f ca="1">IF(LEFT(_xll.BDP($T180,U$2),4)="#N/A",0,_xll.BDP($T180,U$2))</f>
        <v>0</v>
      </c>
      <c r="V180" t="e">
        <f>_xll.BDP(#REF!,V$2)</f>
        <v>#REF!</v>
      </c>
      <c r="W180" t="e">
        <f>_xll.BDP(#REF!,W$2)</f>
        <v>#REF!</v>
      </c>
      <c r="X180" t="e">
        <f>_xll.BDP(#REF!,X$2)</f>
        <v>#REF!</v>
      </c>
      <c r="Y180" t="e">
        <f>_xll.BDP(#REF!,Y$2)</f>
        <v>#REF!</v>
      </c>
      <c r="Z180" t="e">
        <f>_xll.BDP(#REF!,Z$2)</f>
        <v>#REF!</v>
      </c>
      <c r="AA180" t="e">
        <f>_xll.BDP(#REF!,AA$2)</f>
        <v>#REF!</v>
      </c>
      <c r="AD180">
        <f ca="1">IF(LEFT(_xll.BDP($T180,AD$2),4)="#N/A",-1,_xll.BDP($T180,AD$2))</f>
        <v>-1</v>
      </c>
    </row>
    <row r="181" spans="1:30">
      <c r="A181">
        <f ca="1"/>
        <v>192</v>
      </c>
      <c r="B181" t="str">
        <f ca="1"/>
        <v>iW - NS</v>
      </c>
      <c r="C181" t="str">
        <f ca="1"/>
        <v>iW - NS</v>
      </c>
      <c r="D181">
        <f ca="1"/>
        <v>110312</v>
      </c>
      <c r="E181" t="str">
        <f ca="1"/>
        <v>iW - LONG TERM INVESTMENTS</v>
      </c>
      <c r="F181" t="str">
        <f ca="1"/>
        <v>LONG TERM INVESTMENTS</v>
      </c>
      <c r="G181">
        <f ca="1"/>
        <v>147</v>
      </c>
      <c r="H181" t="str">
        <f ca="1"/>
        <v>Pictet Fund Accounting</v>
      </c>
      <c r="I181" t="str">
        <f ca="1"/>
        <v>17243054-0</v>
      </c>
      <c r="J181" s="50">
        <f ca="1"/>
        <v>44742</v>
      </c>
      <c r="K181">
        <f ca="1"/>
        <v>1000000</v>
      </c>
      <c r="L181" t="str">
        <f ca="1"/>
        <v>114667-0</v>
      </c>
      <c r="M181" t="str">
        <f ca="1"/>
        <v>NHS RAIF SCA US HOSPITALITY FUND</v>
      </c>
      <c r="N181" t="str">
        <f ca="1"/>
        <v>USD</v>
      </c>
      <c r="O181" t="str">
        <f ca="1"/>
        <v>Limited Partnership</v>
      </c>
      <c r="P181" t="str">
        <f ca="1"/>
        <v/>
      </c>
      <c r="Q181" t="str">
        <f ca="1"/>
        <v/>
      </c>
      <c r="R181" t="str">
        <f ca="1"/>
        <v>ZZ00AAEKT6 0</v>
      </c>
      <c r="S181" t="str">
        <f ca="1"/>
        <v/>
      </c>
      <c r="T181" t="str">
        <f ca="1"/>
        <v/>
      </c>
      <c r="U181">
        <f ca="1">IF(LEFT(_xll.BDP($T181,U$2),4)="#N/A",0,_xll.BDP($T181,U$2))</f>
        <v>0</v>
      </c>
      <c r="V181" t="e">
        <f>_xll.BDP(#REF!,V$2)</f>
        <v>#REF!</v>
      </c>
      <c r="W181" t="e">
        <f>_xll.BDP(#REF!,W$2)</f>
        <v>#REF!</v>
      </c>
      <c r="X181" t="e">
        <f>_xll.BDP(#REF!,X$2)</f>
        <v>#REF!</v>
      </c>
      <c r="Y181" t="e">
        <f>_xll.BDP(#REF!,Y$2)</f>
        <v>#REF!</v>
      </c>
      <c r="Z181" t="e">
        <f>_xll.BDP(#REF!,Z$2)</f>
        <v>#REF!</v>
      </c>
      <c r="AA181" t="e">
        <f>_xll.BDP(#REF!,AA$2)</f>
        <v>#REF!</v>
      </c>
      <c r="AD181">
        <f ca="1">IF(LEFT(_xll.BDP($T181,AD$2),4)="#N/A",-1,_xll.BDP($T181,AD$2))</f>
        <v>-1</v>
      </c>
    </row>
    <row r="182" spans="1:30">
      <c r="A182">
        <f ca="1"/>
        <v>192</v>
      </c>
      <c r="B182" t="str">
        <f ca="1"/>
        <v>iW - NS</v>
      </c>
      <c r="C182" t="str">
        <f ca="1"/>
        <v>iW - NS</v>
      </c>
      <c r="D182">
        <f ca="1"/>
        <v>110312</v>
      </c>
      <c r="E182" t="str">
        <f ca="1"/>
        <v>iW - LONG TERM INVESTMENTS</v>
      </c>
      <c r="F182" t="str">
        <f ca="1"/>
        <v>LONG TERM INVESTMENTS</v>
      </c>
      <c r="G182">
        <f ca="1"/>
        <v>147</v>
      </c>
      <c r="H182" t="str">
        <f ca="1"/>
        <v>Pictet Fund Accounting</v>
      </c>
      <c r="I182" t="str">
        <f ca="1"/>
        <v>17243056-0</v>
      </c>
      <c r="J182" s="50">
        <f ca="1"/>
        <v>44742</v>
      </c>
      <c r="K182">
        <f ca="1"/>
        <v>1250000</v>
      </c>
      <c r="L182" t="str">
        <f ca="1"/>
        <v>114669-0</v>
      </c>
      <c r="M182" t="str">
        <f ca="1"/>
        <v>NHS RAIF-US MULTIFAMILY RESID.RE</v>
      </c>
      <c r="N182" t="str">
        <f ca="1"/>
        <v>USD</v>
      </c>
      <c r="O182" t="str">
        <f ca="1"/>
        <v>Limited Partnership</v>
      </c>
      <c r="P182" t="str">
        <f ca="1"/>
        <v/>
      </c>
      <c r="Q182" t="str">
        <f ca="1"/>
        <v/>
      </c>
      <c r="R182" t="str">
        <f ca="1"/>
        <v>ZZ00AB0CT0 0</v>
      </c>
      <c r="S182" t="str">
        <f ca="1"/>
        <v/>
      </c>
      <c r="T182" t="str">
        <f ca="1"/>
        <v/>
      </c>
      <c r="U182">
        <f ca="1">IF(LEFT(_xll.BDP($T182,U$2),4)="#N/A",0,_xll.BDP($T182,U$2))</f>
        <v>0</v>
      </c>
      <c r="V182" t="e">
        <f>_xll.BDP(#REF!,V$2)</f>
        <v>#REF!</v>
      </c>
      <c r="W182" t="e">
        <f>_xll.BDP(#REF!,W$2)</f>
        <v>#REF!</v>
      </c>
      <c r="X182" t="e">
        <f>_xll.BDP(#REF!,X$2)</f>
        <v>#REF!</v>
      </c>
      <c r="Y182" t="e">
        <f>_xll.BDP(#REF!,Y$2)</f>
        <v>#REF!</v>
      </c>
      <c r="Z182" t="e">
        <f>_xll.BDP(#REF!,Z$2)</f>
        <v>#REF!</v>
      </c>
      <c r="AA182" t="e">
        <f>_xll.BDP(#REF!,AA$2)</f>
        <v>#REF!</v>
      </c>
      <c r="AD182">
        <f ca="1">IF(LEFT(_xll.BDP($T182,AD$2),4)="#N/A",-1,_xll.BDP($T182,AD$2))</f>
        <v>-1</v>
      </c>
    </row>
    <row r="183" spans="1:30">
      <c r="A183">
        <f ca="1"/>
        <v>192</v>
      </c>
      <c r="B183" t="str">
        <f ca="1"/>
        <v>iW - NS</v>
      </c>
      <c r="C183" t="str">
        <f ca="1"/>
        <v>iW - NS</v>
      </c>
      <c r="D183">
        <f ca="1"/>
        <v>110312</v>
      </c>
      <c r="E183" t="str">
        <f ca="1"/>
        <v>iW - LONG TERM INVESTMENTS</v>
      </c>
      <c r="F183" t="str">
        <f ca="1"/>
        <v>LONG TERM INVESTMENTS</v>
      </c>
      <c r="G183">
        <f ca="1"/>
        <v>147</v>
      </c>
      <c r="H183" t="str">
        <f ca="1"/>
        <v>Pictet Fund Accounting</v>
      </c>
      <c r="I183" t="str">
        <f ca="1"/>
        <v>17243074-0</v>
      </c>
      <c r="J183" s="50">
        <f ca="1"/>
        <v>44742</v>
      </c>
      <c r="K183">
        <f ca="1"/>
        <v>3900000</v>
      </c>
      <c r="L183" t="str">
        <f ca="1"/>
        <v>114679-0</v>
      </c>
      <c r="M183" t="str">
        <f ca="1"/>
        <v>NHS-RAIF REAL EST.&amp;LONG TERM INV.A</v>
      </c>
      <c r="N183" t="str">
        <f ca="1"/>
        <v>USD</v>
      </c>
      <c r="O183" t="str">
        <f ca="1"/>
        <v>Limited Partnership</v>
      </c>
      <c r="P183" t="str">
        <f ca="1"/>
        <v/>
      </c>
      <c r="Q183" t="str">
        <f ca="1"/>
        <v/>
      </c>
      <c r="R183" t="str">
        <f ca="1"/>
        <v>LU1805401137</v>
      </c>
      <c r="S183" t="str">
        <f ca="1"/>
        <v/>
      </c>
      <c r="T183" t="str">
        <f ca="1"/>
        <v/>
      </c>
      <c r="U183">
        <f ca="1">IF(LEFT(_xll.BDP($T183,U$2),4)="#N/A",0,_xll.BDP($T183,U$2))</f>
        <v>0</v>
      </c>
      <c r="V183" t="e">
        <f>_xll.BDP(#REF!,V$2)</f>
        <v>#REF!</v>
      </c>
      <c r="W183" t="e">
        <f>_xll.BDP(#REF!,W$2)</f>
        <v>#REF!</v>
      </c>
      <c r="X183" t="e">
        <f>_xll.BDP(#REF!,X$2)</f>
        <v>#REF!</v>
      </c>
      <c r="Y183" t="e">
        <f>_xll.BDP(#REF!,Y$2)</f>
        <v>#REF!</v>
      </c>
      <c r="Z183" t="e">
        <f>_xll.BDP(#REF!,Z$2)</f>
        <v>#REF!</v>
      </c>
      <c r="AA183" t="e">
        <f>_xll.BDP(#REF!,AA$2)</f>
        <v>#REF!</v>
      </c>
      <c r="AD183">
        <f ca="1">IF(LEFT(_xll.BDP($T183,AD$2),4)="#N/A",-1,_xll.BDP($T183,AD$2))</f>
        <v>-1</v>
      </c>
    </row>
    <row r="184" spans="1:30">
      <c r="A184">
        <f ca="1"/>
        <v>192</v>
      </c>
      <c r="B184" t="str">
        <f ca="1"/>
        <v>iW - NS</v>
      </c>
      <c r="C184" t="str">
        <f ca="1"/>
        <v>iW - NS</v>
      </c>
      <c r="D184">
        <f ca="1"/>
        <v>110312</v>
      </c>
      <c r="E184" t="str">
        <f ca="1"/>
        <v>iW - LONG TERM INVESTMENTS</v>
      </c>
      <c r="F184" t="str">
        <f ca="1"/>
        <v>LONG TERM INVESTMENTS</v>
      </c>
      <c r="G184">
        <f ca="1"/>
        <v>147</v>
      </c>
      <c r="H184" t="str">
        <f ca="1"/>
        <v>Pictet Fund Accounting</v>
      </c>
      <c r="I184" t="str">
        <f ca="1"/>
        <v>17243061-0</v>
      </c>
      <c r="J184" s="50">
        <f ca="1"/>
        <v>44742</v>
      </c>
      <c r="K184">
        <f ca="1"/>
        <v>1967219</v>
      </c>
      <c r="L184" t="str">
        <f ca="1"/>
        <v>114671-0</v>
      </c>
      <c r="M184" t="str">
        <f ca="1"/>
        <v>NS PE HOLDINGS (PN)</v>
      </c>
      <c r="N184" t="str">
        <f ca="1"/>
        <v>USD</v>
      </c>
      <c r="O184" t="str">
        <f ca="1"/>
        <v>Limited Partnership</v>
      </c>
      <c r="P184" t="str">
        <f ca="1"/>
        <v/>
      </c>
      <c r="Q184" t="str">
        <f ca="1"/>
        <v/>
      </c>
      <c r="R184" t="str">
        <f ca="1"/>
        <v>ZZ00AB08L5 0</v>
      </c>
      <c r="S184" t="str">
        <f ca="1"/>
        <v/>
      </c>
      <c r="T184" t="str">
        <f ca="1"/>
        <v/>
      </c>
      <c r="U184">
        <f ca="1">IF(LEFT(_xll.BDP($T184,U$2),4)="#N/A",0,_xll.BDP($T184,U$2))</f>
        <v>0</v>
      </c>
      <c r="V184" t="e">
        <f>_xll.BDP(#REF!,V$2)</f>
        <v>#REF!</v>
      </c>
      <c r="W184" t="e">
        <f>_xll.BDP(#REF!,W$2)</f>
        <v>#REF!</v>
      </c>
      <c r="X184" t="e">
        <f>_xll.BDP(#REF!,X$2)</f>
        <v>#REF!</v>
      </c>
      <c r="Y184" t="e">
        <f>_xll.BDP(#REF!,Y$2)</f>
        <v>#REF!</v>
      </c>
      <c r="Z184" t="e">
        <f>_xll.BDP(#REF!,Z$2)</f>
        <v>#REF!</v>
      </c>
      <c r="AA184" t="e">
        <f>_xll.BDP(#REF!,AA$2)</f>
        <v>#REF!</v>
      </c>
      <c r="AD184">
        <f ca="1">IF(LEFT(_xll.BDP($T184,AD$2),4)="#N/A",-1,_xll.BDP($T184,AD$2))</f>
        <v>-1</v>
      </c>
    </row>
    <row r="185" spans="1:30">
      <c r="A185">
        <f ca="1"/>
        <v>192</v>
      </c>
      <c r="B185" t="str">
        <f ca="1"/>
        <v>iW - NS</v>
      </c>
      <c r="C185" t="str">
        <f ca="1"/>
        <v>iW - NS</v>
      </c>
      <c r="D185">
        <f ca="1"/>
        <v>110312</v>
      </c>
      <c r="E185" t="str">
        <f ca="1"/>
        <v>iW - LONG TERM INVESTMENTS</v>
      </c>
      <c r="F185" t="str">
        <f ca="1"/>
        <v>LONG TERM INVESTMENTS</v>
      </c>
      <c r="G185">
        <f ca="1"/>
        <v>147</v>
      </c>
      <c r="H185" t="str">
        <f ca="1"/>
        <v>Pictet Fund Accounting</v>
      </c>
      <c r="I185" t="str">
        <f ca="1"/>
        <v>17243063-0</v>
      </c>
      <c r="J185" s="50">
        <f ca="1"/>
        <v>44742</v>
      </c>
      <c r="K185">
        <f ca="1"/>
        <v>9500000</v>
      </c>
      <c r="L185" t="str">
        <f ca="1"/>
        <v>114672-0</v>
      </c>
      <c r="M185" t="str">
        <f ca="1"/>
        <v>OCP MANTICORE LP</v>
      </c>
      <c r="N185" t="str">
        <f ca="1"/>
        <v>EUR</v>
      </c>
      <c r="O185" t="str">
        <f ca="1"/>
        <v>Limited Partnership</v>
      </c>
      <c r="P185" t="str">
        <f ca="1"/>
        <v/>
      </c>
      <c r="Q185" t="str">
        <f ca="1"/>
        <v/>
      </c>
      <c r="R185" t="str">
        <f ca="1"/>
        <v>ZZ00AAF251 0</v>
      </c>
      <c r="S185" t="str">
        <f ca="1"/>
        <v/>
      </c>
      <c r="T185" t="str">
        <f ca="1"/>
        <v/>
      </c>
      <c r="U185">
        <f ca="1">IF(LEFT(_xll.BDP($T185,U$2),4)="#N/A",0,_xll.BDP($T185,U$2))</f>
        <v>0</v>
      </c>
      <c r="V185" t="e">
        <f>_xll.BDP(#REF!,V$2)</f>
        <v>#REF!</v>
      </c>
      <c r="W185" t="e">
        <f>_xll.BDP(#REF!,W$2)</f>
        <v>#REF!</v>
      </c>
      <c r="X185" t="e">
        <f>_xll.BDP(#REF!,X$2)</f>
        <v>#REF!</v>
      </c>
      <c r="Y185" t="e">
        <f>_xll.BDP(#REF!,Y$2)</f>
        <v>#REF!</v>
      </c>
      <c r="Z185" t="e">
        <f>_xll.BDP(#REF!,Z$2)</f>
        <v>#REF!</v>
      </c>
      <c r="AA185" t="e">
        <f>_xll.BDP(#REF!,AA$2)</f>
        <v>#REF!</v>
      </c>
      <c r="AD185">
        <f ca="1">IF(LEFT(_xll.BDP($T185,AD$2),4)="#N/A",-1,_xll.BDP($T185,AD$2))</f>
        <v>-1</v>
      </c>
    </row>
    <row r="186" spans="1:30">
      <c r="A186">
        <f ca="1"/>
        <v>192</v>
      </c>
      <c r="B186" t="str">
        <f ca="1"/>
        <v>iW - NS</v>
      </c>
      <c r="C186" t="str">
        <f ca="1"/>
        <v>iW - NS</v>
      </c>
      <c r="D186">
        <f ca="1"/>
        <v>110312</v>
      </c>
      <c r="E186" t="str">
        <f ca="1"/>
        <v>iW - LONG TERM INVESTMENTS</v>
      </c>
      <c r="F186" t="str">
        <f ca="1"/>
        <v>LONG TERM INVESTMENTS</v>
      </c>
      <c r="G186">
        <f ca="1"/>
        <v>147</v>
      </c>
      <c r="H186" t="str">
        <f ca="1"/>
        <v>Pictet Fund Accounting</v>
      </c>
      <c r="I186" t="str">
        <f ca="1"/>
        <v>17243040-0</v>
      </c>
      <c r="J186" s="50">
        <f ca="1"/>
        <v>44742</v>
      </c>
      <c r="K186">
        <f ca="1"/>
        <v>40000</v>
      </c>
      <c r="L186" t="str">
        <f ca="1"/>
        <v>114662-0</v>
      </c>
      <c r="M186" t="str">
        <f ca="1"/>
        <v>SAGA CAPITAL LLC</v>
      </c>
      <c r="N186" t="str">
        <f ca="1"/>
        <v>USD</v>
      </c>
      <c r="O186" t="str">
        <f ca="1"/>
        <v>Limited Partnership</v>
      </c>
      <c r="P186" t="str">
        <f ca="1"/>
        <v/>
      </c>
      <c r="Q186" t="str">
        <f ca="1"/>
        <v/>
      </c>
      <c r="R186" t="str">
        <f ca="1"/>
        <v>ZZ00AAF688 0</v>
      </c>
      <c r="S186" t="str">
        <f ca="1"/>
        <v/>
      </c>
      <c r="T186" t="str">
        <f ca="1"/>
        <v/>
      </c>
      <c r="U186">
        <f ca="1">IF(LEFT(_xll.BDP($T186,U$2),4)="#N/A",0,_xll.BDP($T186,U$2))</f>
        <v>0</v>
      </c>
      <c r="V186" t="e">
        <f>_xll.BDP(#REF!,V$2)</f>
        <v>#REF!</v>
      </c>
      <c r="W186" t="e">
        <f>_xll.BDP(#REF!,W$2)</f>
        <v>#REF!</v>
      </c>
      <c r="X186" t="e">
        <f>_xll.BDP(#REF!,X$2)</f>
        <v>#REF!</v>
      </c>
      <c r="Y186" t="e">
        <f>_xll.BDP(#REF!,Y$2)</f>
        <v>#REF!</v>
      </c>
      <c r="Z186" t="e">
        <f>_xll.BDP(#REF!,Z$2)</f>
        <v>#REF!</v>
      </c>
      <c r="AA186" t="e">
        <f>_xll.BDP(#REF!,AA$2)</f>
        <v>#REF!</v>
      </c>
      <c r="AD186">
        <f ca="1">IF(LEFT(_xll.BDP($T186,AD$2),4)="#N/A",-1,_xll.BDP($T186,AD$2))</f>
        <v>-1</v>
      </c>
    </row>
    <row r="187" spans="1:30">
      <c r="A187">
        <f ca="1"/>
        <v>192</v>
      </c>
      <c r="B187" t="str">
        <f ca="1"/>
        <v>iW - NS</v>
      </c>
      <c r="C187" t="str">
        <f ca="1"/>
        <v>iW - NS</v>
      </c>
      <c r="D187">
        <f ca="1"/>
        <v>110312</v>
      </c>
      <c r="E187" t="str">
        <f ca="1"/>
        <v>iW - LONG TERM INVESTMENTS</v>
      </c>
      <c r="F187" t="str">
        <f ca="1"/>
        <v>LONG TERM INVESTMENTS</v>
      </c>
      <c r="G187">
        <f ca="1"/>
        <v>147</v>
      </c>
      <c r="H187" t="str">
        <f ca="1"/>
        <v>Pictet Fund Accounting</v>
      </c>
      <c r="I187" t="str">
        <f ca="1"/>
        <v>17243053-0</v>
      </c>
      <c r="J187" s="50">
        <f ca="1"/>
        <v>44742</v>
      </c>
      <c r="K187">
        <f ca="1"/>
        <v>8000000</v>
      </c>
      <c r="L187" t="str">
        <f ca="1"/>
        <v>114665-0</v>
      </c>
      <c r="M187" t="str">
        <f ca="1"/>
        <v>TYRUS CAP.SP.PRIV.EQ.OPP.III SP</v>
      </c>
      <c r="N187" t="str">
        <f ca="1"/>
        <v>USD</v>
      </c>
      <c r="O187" t="str">
        <f ca="1"/>
        <v>Limited Partnership</v>
      </c>
      <c r="P187" t="str">
        <f ca="1"/>
        <v/>
      </c>
      <c r="Q187" t="str">
        <f ca="1"/>
        <v/>
      </c>
      <c r="R187" t="str">
        <f ca="1"/>
        <v>ZZ00AACM16 0</v>
      </c>
      <c r="S187" t="str">
        <f ca="1"/>
        <v/>
      </c>
      <c r="T187" t="str">
        <f ca="1"/>
        <v/>
      </c>
      <c r="U187">
        <f ca="1">IF(LEFT(_xll.BDP($T187,U$2),4)="#N/A",0,_xll.BDP($T187,U$2))</f>
        <v>0</v>
      </c>
      <c r="V187" t="e">
        <f>_xll.BDP(#REF!,V$2)</f>
        <v>#REF!</v>
      </c>
      <c r="W187" t="e">
        <f>_xll.BDP(#REF!,W$2)</f>
        <v>#REF!</v>
      </c>
      <c r="X187" t="e">
        <f>_xll.BDP(#REF!,X$2)</f>
        <v>#REF!</v>
      </c>
      <c r="Y187" t="e">
        <f>_xll.BDP(#REF!,Y$2)</f>
        <v>#REF!</v>
      </c>
      <c r="Z187" t="e">
        <f>_xll.BDP(#REF!,Z$2)</f>
        <v>#REF!</v>
      </c>
      <c r="AA187" t="e">
        <f>_xll.BDP(#REF!,AA$2)</f>
        <v>#REF!</v>
      </c>
      <c r="AD187">
        <f ca="1">IF(LEFT(_xll.BDP($T187,AD$2),4)="#N/A",-1,_xll.BDP($T187,AD$2))</f>
        <v>-1</v>
      </c>
    </row>
    <row r="188" spans="1:30">
      <c r="A188">
        <f ca="1"/>
        <v>192</v>
      </c>
      <c r="B188" t="str">
        <f ca="1"/>
        <v>iW - NS</v>
      </c>
      <c r="C188" t="str">
        <f ca="1"/>
        <v>iW - NS</v>
      </c>
      <c r="D188">
        <f ca="1"/>
        <v>110312</v>
      </c>
      <c r="E188" t="str">
        <f ca="1"/>
        <v>iW - LONG TERM INVESTMENTS</v>
      </c>
      <c r="F188" t="str">
        <f ca="1"/>
        <v>LONG TERM INVESTMENTS</v>
      </c>
      <c r="G188">
        <f ca="1"/>
        <v>147</v>
      </c>
      <c r="H188" t="str">
        <f ca="1"/>
        <v>Pictet Fund Accounting</v>
      </c>
      <c r="I188" t="str">
        <f ca="1"/>
        <v>17243069-0</v>
      </c>
      <c r="J188" s="50">
        <f ca="1"/>
        <v>44742</v>
      </c>
      <c r="K188">
        <f ca="1"/>
        <v>3000000</v>
      </c>
      <c r="L188" t="str">
        <f ca="1"/>
        <v>114678-0</v>
      </c>
      <c r="M188" t="str">
        <f ca="1"/>
        <v>TYRUS CAP.SP.PRIV.EQ.OPP.IV SP (EX)</v>
      </c>
      <c r="N188" t="str">
        <f ca="1"/>
        <v>USD</v>
      </c>
      <c r="O188" t="str">
        <f ca="1"/>
        <v>Limited Partnership</v>
      </c>
      <c r="P188" t="str">
        <f ca="1"/>
        <v/>
      </c>
      <c r="Q188" t="str">
        <f ca="1"/>
        <v/>
      </c>
      <c r="R188" t="str">
        <f ca="1"/>
        <v>ZZ00AAE6DF 0</v>
      </c>
      <c r="S188" t="str">
        <f ca="1"/>
        <v/>
      </c>
      <c r="T188" t="str">
        <f ca="1"/>
        <v/>
      </c>
      <c r="U188">
        <f ca="1">IF(LEFT(_xll.BDP($T188,U$2),4)="#N/A",0,_xll.BDP($T188,U$2))</f>
        <v>0</v>
      </c>
      <c r="V188" t="e">
        <f>_xll.BDP(#REF!,V$2)</f>
        <v>#REF!</v>
      </c>
      <c r="W188" t="e">
        <f>_xll.BDP(#REF!,W$2)</f>
        <v>#REF!</v>
      </c>
      <c r="X188" t="e">
        <f>_xll.BDP(#REF!,X$2)</f>
        <v>#REF!</v>
      </c>
      <c r="Y188" t="e">
        <f>_xll.BDP(#REF!,Y$2)</f>
        <v>#REF!</v>
      </c>
      <c r="Z188" t="e">
        <f>_xll.BDP(#REF!,Z$2)</f>
        <v>#REF!</v>
      </c>
      <c r="AA188" t="e">
        <f>_xll.BDP(#REF!,AA$2)</f>
        <v>#REF!</v>
      </c>
      <c r="AD188">
        <f ca="1">IF(LEFT(_xll.BDP($T188,AD$2),4)="#N/A",-1,_xll.BDP($T188,AD$2))</f>
        <v>-1</v>
      </c>
    </row>
    <row r="189" spans="1:30">
      <c r="A189">
        <f ca="1"/>
        <v>192</v>
      </c>
      <c r="B189" t="str">
        <f ca="1"/>
        <v>iW - NS</v>
      </c>
      <c r="C189" t="str">
        <f ca="1"/>
        <v>iW - NS</v>
      </c>
      <c r="D189">
        <f ca="1"/>
        <v>110312</v>
      </c>
      <c r="E189" t="str">
        <f ca="1"/>
        <v>iW - LONG TERM INVESTMENTS</v>
      </c>
      <c r="F189" t="str">
        <f ca="1"/>
        <v>LONG TERM INVESTMENTS</v>
      </c>
      <c r="G189">
        <f ca="1"/>
        <v>147</v>
      </c>
      <c r="H189" t="str">
        <f ca="1"/>
        <v>Pictet Fund Accounting</v>
      </c>
      <c r="I189" t="str">
        <f ca="1"/>
        <v>17243062-0</v>
      </c>
      <c r="J189" s="50">
        <f ca="1"/>
        <v>44742</v>
      </c>
      <c r="K189">
        <f ca="1"/>
        <v>-373.97</v>
      </c>
      <c r="L189" t="str">
        <f ca="1"/>
        <v>60606-0</v>
      </c>
      <c r="M189" t="str">
        <f ca="1"/>
        <v>Prov Audit Annual report</v>
      </c>
      <c r="N189" t="str">
        <f ca="1"/>
        <v>USD</v>
      </c>
      <c r="O189" t="str">
        <f ca="1"/>
        <v>Uncategorized (Treasury)</v>
      </c>
      <c r="P189" t="str">
        <f ca="1"/>
        <v/>
      </c>
      <c r="Q189" t="str">
        <f ca="1"/>
        <v/>
      </c>
      <c r="R189" t="str">
        <f ca="1"/>
        <v/>
      </c>
      <c r="S189" t="str">
        <f ca="1"/>
        <v/>
      </c>
      <c r="T189" t="str">
        <f ca="1"/>
        <v/>
      </c>
      <c r="U189">
        <f ca="1">IF(LEFT(_xll.BDP($T189,U$2),4)="#N/A",0,_xll.BDP($T189,U$2))</f>
        <v>0</v>
      </c>
      <c r="V189" t="e">
        <f>_xll.BDP(#REF!,V$2)</f>
        <v>#REF!</v>
      </c>
      <c r="W189" t="e">
        <f>_xll.BDP(#REF!,W$2)</f>
        <v>#REF!</v>
      </c>
      <c r="X189" t="e">
        <f>_xll.BDP(#REF!,X$2)</f>
        <v>#REF!</v>
      </c>
      <c r="Y189" t="e">
        <f>_xll.BDP(#REF!,Y$2)</f>
        <v>#REF!</v>
      </c>
      <c r="Z189" t="e">
        <f>_xll.BDP(#REF!,Z$2)</f>
        <v>#REF!</v>
      </c>
      <c r="AA189" t="e">
        <f>_xll.BDP(#REF!,AA$2)</f>
        <v>#REF!</v>
      </c>
      <c r="AD189">
        <f ca="1">IF(LEFT(_xll.BDP($T189,AD$2),4)="#N/A",-1,_xll.BDP($T189,AD$2))</f>
        <v>-1</v>
      </c>
    </row>
    <row r="190" spans="1:30">
      <c r="A190">
        <f ca="1"/>
        <v>192</v>
      </c>
      <c r="B190" t="str">
        <f ca="1"/>
        <v>iW - NS</v>
      </c>
      <c r="C190" t="str">
        <f ca="1"/>
        <v>iW - NS</v>
      </c>
      <c r="D190">
        <f ca="1"/>
        <v>110312</v>
      </c>
      <c r="E190" t="str">
        <f ca="1"/>
        <v>iW - LONG TERM INVESTMENTS</v>
      </c>
      <c r="F190" t="str">
        <f ca="1"/>
        <v>LONG TERM INVESTMENTS</v>
      </c>
      <c r="G190">
        <f ca="1"/>
        <v>147</v>
      </c>
      <c r="H190" t="str">
        <f ca="1"/>
        <v>Pictet Fund Accounting</v>
      </c>
      <c r="I190" t="str">
        <f ca="1"/>
        <v>17243045-0</v>
      </c>
      <c r="J190" s="50">
        <f ca="1"/>
        <v>44742</v>
      </c>
      <c r="K190">
        <f ca="1"/>
        <v>13970.6</v>
      </c>
      <c r="L190" t="str">
        <f ca="1"/>
        <v>133796-0</v>
      </c>
      <c r="M190" t="str">
        <f ca="1"/>
        <v>Prov/paiemt directors fees ant</v>
      </c>
      <c r="N190" t="str">
        <f ca="1"/>
        <v>USD</v>
      </c>
      <c r="O190" t="str">
        <f ca="1"/>
        <v>Uncategorized (Treasury)</v>
      </c>
      <c r="P190" t="str">
        <f ca="1"/>
        <v/>
      </c>
      <c r="Q190" t="str">
        <f ca="1"/>
        <v/>
      </c>
      <c r="R190" t="str">
        <f ca="1"/>
        <v/>
      </c>
      <c r="S190" t="str">
        <f ca="1"/>
        <v/>
      </c>
      <c r="T190" t="str">
        <f ca="1"/>
        <v/>
      </c>
      <c r="U190">
        <f ca="1">IF(LEFT(_xll.BDP($T190,U$2),4)="#N/A",0,_xll.BDP($T190,U$2))</f>
        <v>0</v>
      </c>
      <c r="V190" t="e">
        <f>_xll.BDP(#REF!,V$2)</f>
        <v>#REF!</v>
      </c>
      <c r="W190" t="e">
        <f>_xll.BDP(#REF!,W$2)</f>
        <v>#REF!</v>
      </c>
      <c r="X190" t="e">
        <f>_xll.BDP(#REF!,X$2)</f>
        <v>#REF!</v>
      </c>
      <c r="Y190" t="e">
        <f>_xll.BDP(#REF!,Y$2)</f>
        <v>#REF!</v>
      </c>
      <c r="Z190" t="e">
        <f>_xll.BDP(#REF!,Z$2)</f>
        <v>#REF!</v>
      </c>
      <c r="AA190" t="e">
        <f>_xll.BDP(#REF!,AA$2)</f>
        <v>#REF!</v>
      </c>
      <c r="AD190">
        <f ca="1">IF(LEFT(_xll.BDP($T190,AD$2),4)="#N/A",-1,_xll.BDP($T190,AD$2))</f>
        <v>-1</v>
      </c>
    </row>
    <row r="191" spans="1:30">
      <c r="A191">
        <f ca="1"/>
        <v>192</v>
      </c>
      <c r="B191" t="str">
        <f ca="1"/>
        <v>iW - NS</v>
      </c>
      <c r="C191" t="str">
        <f ca="1"/>
        <v>iW - NS</v>
      </c>
      <c r="D191">
        <f ca="1"/>
        <v>110312</v>
      </c>
      <c r="E191" t="str">
        <f ca="1"/>
        <v>iW - LONG TERM INVESTMENTS</v>
      </c>
      <c r="F191" t="str">
        <f ca="1"/>
        <v>LONG TERM INVESTMENTS</v>
      </c>
      <c r="G191">
        <f ca="1"/>
        <v>147</v>
      </c>
      <c r="H191" t="str">
        <f ca="1"/>
        <v>Pictet Fund Accounting</v>
      </c>
      <c r="I191" t="str">
        <f ca="1"/>
        <v>17243059-0</v>
      </c>
      <c r="J191" s="50">
        <f ca="1"/>
        <v>44742</v>
      </c>
      <c r="K191">
        <f ca="1"/>
        <v>-1276.4000000000001</v>
      </c>
      <c r="L191" t="str">
        <f ca="1"/>
        <v>60603-0</v>
      </c>
      <c r="M191" t="str">
        <f ca="1"/>
        <v>Provis. taxe d'abonnemt 0.01 %</v>
      </c>
      <c r="N191" t="str">
        <f ca="1"/>
        <v>USD</v>
      </c>
      <c r="O191" t="str">
        <f ca="1"/>
        <v>Uncategorized (Treasury)</v>
      </c>
      <c r="P191" t="str">
        <f ca="1"/>
        <v/>
      </c>
      <c r="Q191" t="str">
        <f ca="1"/>
        <v/>
      </c>
      <c r="R191" t="str">
        <f ca="1"/>
        <v/>
      </c>
      <c r="S191" t="str">
        <f ca="1"/>
        <v/>
      </c>
      <c r="T191" t="str">
        <f ca="1"/>
        <v/>
      </c>
      <c r="U191">
        <f ca="1">IF(LEFT(_xll.BDP($T191,U$2),4)="#N/A",0,_xll.BDP($T191,U$2))</f>
        <v>0</v>
      </c>
      <c r="V191" t="e">
        <f>_xll.BDP(#REF!,V$2)</f>
        <v>#REF!</v>
      </c>
      <c r="W191" t="e">
        <f>_xll.BDP(#REF!,W$2)</f>
        <v>#REF!</v>
      </c>
      <c r="X191" t="e">
        <f>_xll.BDP(#REF!,X$2)</f>
        <v>#REF!</v>
      </c>
      <c r="Y191" t="e">
        <f>_xll.BDP(#REF!,Y$2)</f>
        <v>#REF!</v>
      </c>
      <c r="Z191" t="e">
        <f>_xll.BDP(#REF!,Z$2)</f>
        <v>#REF!</v>
      </c>
      <c r="AA191" t="e">
        <f>_xll.BDP(#REF!,AA$2)</f>
        <v>#REF!</v>
      </c>
      <c r="AD191">
        <f ca="1">IF(LEFT(_xll.BDP($T191,AD$2),4)="#N/A",-1,_xll.BDP($T191,AD$2))</f>
        <v>-1</v>
      </c>
    </row>
    <row r="192" spans="1:30">
      <c r="A192">
        <f ca="1"/>
        <v>192</v>
      </c>
      <c r="B192" t="str">
        <f ca="1"/>
        <v>iW - NS</v>
      </c>
      <c r="C192" t="str">
        <f ca="1"/>
        <v>iW - NS</v>
      </c>
      <c r="D192">
        <f ca="1"/>
        <v>110312</v>
      </c>
      <c r="E192" t="str">
        <f ca="1"/>
        <v>iW - LONG TERM INVESTMENTS</v>
      </c>
      <c r="F192" t="str">
        <f ca="1"/>
        <v>LONG TERM INVESTMENTS</v>
      </c>
      <c r="G192">
        <f ca="1"/>
        <v>147</v>
      </c>
      <c r="H192" t="str">
        <f ca="1"/>
        <v>Pictet Fund Accounting</v>
      </c>
      <c r="I192" t="str">
        <f ca="1"/>
        <v>17243058-0</v>
      </c>
      <c r="J192" s="50">
        <f ca="1"/>
        <v>44742</v>
      </c>
      <c r="K192">
        <f ca="1"/>
        <v>-8190.88</v>
      </c>
      <c r="L192" t="str">
        <f ca="1"/>
        <v>73818-0</v>
      </c>
      <c r="M192" t="str">
        <f ca="1"/>
        <v>Provis/paiemt audit fees ant</v>
      </c>
      <c r="N192" t="str">
        <f ca="1"/>
        <v>USD</v>
      </c>
      <c r="O192" t="str">
        <f ca="1"/>
        <v>Uncategorized (Treasury)</v>
      </c>
      <c r="P192" t="str">
        <f ca="1"/>
        <v/>
      </c>
      <c r="Q192" t="str">
        <f ca="1"/>
        <v/>
      </c>
      <c r="R192" t="str">
        <f ca="1"/>
        <v/>
      </c>
      <c r="S192" t="str">
        <f ca="1"/>
        <v/>
      </c>
      <c r="T192" t="str">
        <f ca="1"/>
        <v/>
      </c>
      <c r="U192">
        <f ca="1">IF(LEFT(_xll.BDP($T192,U$2),4)="#N/A",0,_xll.BDP($T192,U$2))</f>
        <v>0</v>
      </c>
      <c r="V192" t="e">
        <f>_xll.BDP(#REF!,V$2)</f>
        <v>#REF!</v>
      </c>
      <c r="W192" t="e">
        <f>_xll.BDP(#REF!,W$2)</f>
        <v>#REF!</v>
      </c>
      <c r="X192" t="e">
        <f>_xll.BDP(#REF!,X$2)</f>
        <v>#REF!</v>
      </c>
      <c r="Y192" t="e">
        <f>_xll.BDP(#REF!,Y$2)</f>
        <v>#REF!</v>
      </c>
      <c r="Z192" t="e">
        <f>_xll.BDP(#REF!,Z$2)</f>
        <v>#REF!</v>
      </c>
      <c r="AA192" t="e">
        <f>_xll.BDP(#REF!,AA$2)</f>
        <v>#REF!</v>
      </c>
      <c r="AD192">
        <f ca="1">IF(LEFT(_xll.BDP($T192,AD$2),4)="#N/A",-1,_xll.BDP($T192,AD$2))</f>
        <v>-1</v>
      </c>
    </row>
    <row r="193" spans="1:30">
      <c r="A193">
        <f ca="1"/>
        <v>192</v>
      </c>
      <c r="B193" t="str">
        <f ca="1"/>
        <v>iW - NS</v>
      </c>
      <c r="C193" t="str">
        <f ca="1"/>
        <v>iW - NS</v>
      </c>
      <c r="D193">
        <f ca="1"/>
        <v>110312</v>
      </c>
      <c r="E193" t="str">
        <f ca="1"/>
        <v>iW - LONG TERM INVESTMENTS</v>
      </c>
      <c r="F193" t="str">
        <f ca="1"/>
        <v>LONG TERM INVESTMENTS</v>
      </c>
      <c r="G193">
        <f ca="1"/>
        <v>147</v>
      </c>
      <c r="H193" t="str">
        <f ca="1"/>
        <v>Pictet Fund Accounting</v>
      </c>
      <c r="I193" t="str">
        <f ca="1"/>
        <v>17243046-0</v>
      </c>
      <c r="J193" s="50">
        <f ca="1"/>
        <v>44742</v>
      </c>
      <c r="K193">
        <f ca="1"/>
        <v>-12106.38</v>
      </c>
      <c r="L193" t="str">
        <f ca="1"/>
        <v>60588-0</v>
      </c>
      <c r="M193" t="str">
        <f ca="1"/>
        <v>Provision administration fee</v>
      </c>
      <c r="N193" t="str">
        <f ca="1"/>
        <v>USD</v>
      </c>
      <c r="O193" t="str">
        <f ca="1"/>
        <v>Uncategorized (Treasury)</v>
      </c>
      <c r="P193" t="str">
        <f ca="1"/>
        <v/>
      </c>
      <c r="Q193" t="str">
        <f ca="1"/>
        <v/>
      </c>
      <c r="R193" t="str">
        <f ca="1"/>
        <v/>
      </c>
      <c r="S193" t="str">
        <f ca="1"/>
        <v/>
      </c>
      <c r="T193" t="str">
        <f ca="1"/>
        <v/>
      </c>
      <c r="U193">
        <f ca="1">IF(LEFT(_xll.BDP($T193,U$2),4)="#N/A",0,_xll.BDP($T193,U$2))</f>
        <v>0</v>
      </c>
      <c r="V193" t="e">
        <f>_xll.BDP(#REF!,V$2)</f>
        <v>#REF!</v>
      </c>
      <c r="W193" t="e">
        <f>_xll.BDP(#REF!,W$2)</f>
        <v>#REF!</v>
      </c>
      <c r="X193" t="e">
        <f>_xll.BDP(#REF!,X$2)</f>
        <v>#REF!</v>
      </c>
      <c r="Y193" t="e">
        <f>_xll.BDP(#REF!,Y$2)</f>
        <v>#REF!</v>
      </c>
      <c r="Z193" t="e">
        <f>_xll.BDP(#REF!,Z$2)</f>
        <v>#REF!</v>
      </c>
      <c r="AA193" t="e">
        <f>_xll.BDP(#REF!,AA$2)</f>
        <v>#REF!</v>
      </c>
      <c r="AD193">
        <f ca="1">IF(LEFT(_xll.BDP($T193,AD$2),4)="#N/A",-1,_xll.BDP($T193,AD$2))</f>
        <v>-1</v>
      </c>
    </row>
    <row r="194" spans="1:30">
      <c r="A194">
        <f ca="1"/>
        <v>192</v>
      </c>
      <c r="B194" t="str">
        <f ca="1"/>
        <v>iW - NS</v>
      </c>
      <c r="C194" t="str">
        <f ca="1"/>
        <v>iW - NS</v>
      </c>
      <c r="D194">
        <f ca="1"/>
        <v>110312</v>
      </c>
      <c r="E194" t="str">
        <f ca="1"/>
        <v>iW - LONG TERM INVESTMENTS</v>
      </c>
      <c r="F194" t="str">
        <f ca="1"/>
        <v>LONG TERM INVESTMENTS</v>
      </c>
      <c r="G194">
        <f ca="1"/>
        <v>147</v>
      </c>
      <c r="H194" t="str">
        <f ca="1"/>
        <v>Pictet Fund Accounting</v>
      </c>
      <c r="I194" t="str">
        <f ca="1"/>
        <v>17243047-0</v>
      </c>
      <c r="J194" s="50">
        <f ca="1"/>
        <v>44742</v>
      </c>
      <c r="K194">
        <f ca="1"/>
        <v>-95729.76</v>
      </c>
      <c r="L194" t="str">
        <f ca="1"/>
        <v>111962-0</v>
      </c>
      <c r="M194" t="str">
        <f ca="1"/>
        <v>Provision Advisory fees B</v>
      </c>
      <c r="N194" t="str">
        <f ca="1"/>
        <v>USD</v>
      </c>
      <c r="O194" t="str">
        <f ca="1"/>
        <v>Uncategorized (Treasury)</v>
      </c>
      <c r="P194" t="str">
        <f ca="1"/>
        <v/>
      </c>
      <c r="Q194" t="str">
        <f ca="1"/>
        <v/>
      </c>
      <c r="R194" t="str">
        <f ca="1"/>
        <v/>
      </c>
      <c r="S194" t="str">
        <f ca="1"/>
        <v/>
      </c>
      <c r="T194" t="str">
        <f ca="1"/>
        <v/>
      </c>
      <c r="U194">
        <f ca="1">IF(LEFT(_xll.BDP($T194,U$2),4)="#N/A",0,_xll.BDP($T194,U$2))</f>
        <v>0</v>
      </c>
      <c r="V194" t="e">
        <f>_xll.BDP(#REF!,V$2)</f>
        <v>#REF!</v>
      </c>
      <c r="W194" t="e">
        <f>_xll.BDP(#REF!,W$2)</f>
        <v>#REF!</v>
      </c>
      <c r="X194" t="e">
        <f>_xll.BDP(#REF!,X$2)</f>
        <v>#REF!</v>
      </c>
      <c r="Y194" t="e">
        <f>_xll.BDP(#REF!,Y$2)</f>
        <v>#REF!</v>
      </c>
      <c r="Z194" t="e">
        <f>_xll.BDP(#REF!,Z$2)</f>
        <v>#REF!</v>
      </c>
      <c r="AA194" t="e">
        <f>_xll.BDP(#REF!,AA$2)</f>
        <v>#REF!</v>
      </c>
      <c r="AD194">
        <f ca="1">IF(LEFT(_xll.BDP($T194,AD$2),4)="#N/A",-1,_xll.BDP($T194,AD$2))</f>
        <v>-1</v>
      </c>
    </row>
    <row r="195" spans="1:30">
      <c r="A195">
        <f ca="1"/>
        <v>192</v>
      </c>
      <c r="B195" t="str">
        <f ca="1"/>
        <v>iW - NS</v>
      </c>
      <c r="C195" t="str">
        <f ca="1"/>
        <v>iW - NS</v>
      </c>
      <c r="D195">
        <f ca="1"/>
        <v>110312</v>
      </c>
      <c r="E195" t="str">
        <f ca="1"/>
        <v>iW - LONG TERM INVESTMENTS</v>
      </c>
      <c r="F195" t="str">
        <f ca="1"/>
        <v>LONG TERM INVESTMENTS</v>
      </c>
      <c r="G195">
        <f ca="1"/>
        <v>147</v>
      </c>
      <c r="H195" t="str">
        <f ca="1"/>
        <v>Pictet Fund Accounting</v>
      </c>
      <c r="I195" t="str">
        <f ca="1"/>
        <v>17243071-0</v>
      </c>
      <c r="J195" s="50">
        <f ca="1"/>
        <v>44742</v>
      </c>
      <c r="K195">
        <f ca="1"/>
        <v>-10734.59</v>
      </c>
      <c r="L195" t="str">
        <f ca="1"/>
        <v>70421-0</v>
      </c>
      <c r="M195" t="str">
        <f ca="1"/>
        <v>Provision AIFM Fees</v>
      </c>
      <c r="N195" t="str">
        <f ca="1"/>
        <v>USD</v>
      </c>
      <c r="O195" t="str">
        <f ca="1"/>
        <v>Uncategorized (Treasury)</v>
      </c>
      <c r="P195" t="str">
        <f ca="1"/>
        <v/>
      </c>
      <c r="Q195" t="str">
        <f ca="1"/>
        <v/>
      </c>
      <c r="R195" t="str">
        <f ca="1"/>
        <v/>
      </c>
      <c r="S195" t="str">
        <f ca="1"/>
        <v/>
      </c>
      <c r="T195" t="str">
        <f ca="1"/>
        <v/>
      </c>
      <c r="U195">
        <f ca="1">IF(LEFT(_xll.BDP($T195,U$2),4)="#N/A",0,_xll.BDP($T195,U$2))</f>
        <v>0</v>
      </c>
      <c r="V195" t="e">
        <f>_xll.BDP(#REF!,V$2)</f>
        <v>#REF!</v>
      </c>
      <c r="W195" t="e">
        <f>_xll.BDP(#REF!,W$2)</f>
        <v>#REF!</v>
      </c>
      <c r="X195" t="e">
        <f>_xll.BDP(#REF!,X$2)</f>
        <v>#REF!</v>
      </c>
      <c r="Y195" t="e">
        <f>_xll.BDP(#REF!,Y$2)</f>
        <v>#REF!</v>
      </c>
      <c r="Z195" t="e">
        <f>_xll.BDP(#REF!,Z$2)</f>
        <v>#REF!</v>
      </c>
      <c r="AA195" t="e">
        <f>_xll.BDP(#REF!,AA$2)</f>
        <v>#REF!</v>
      </c>
      <c r="AD195">
        <f ca="1">IF(LEFT(_xll.BDP($T195,AD$2),4)="#N/A",-1,_xll.BDP($T195,AD$2))</f>
        <v>-1</v>
      </c>
    </row>
    <row r="196" spans="1:30">
      <c r="A196">
        <f ca="1"/>
        <v>192</v>
      </c>
      <c r="B196" t="str">
        <f ca="1"/>
        <v>iW - NS</v>
      </c>
      <c r="C196" t="str">
        <f ca="1"/>
        <v>iW - NS</v>
      </c>
      <c r="D196">
        <f ca="1"/>
        <v>110312</v>
      </c>
      <c r="E196" t="str">
        <f ca="1"/>
        <v>iW - LONG TERM INVESTMENTS</v>
      </c>
      <c r="F196" t="str">
        <f ca="1"/>
        <v>LONG TERM INVESTMENTS</v>
      </c>
      <c r="G196">
        <f ca="1"/>
        <v>147</v>
      </c>
      <c r="H196" t="str">
        <f ca="1"/>
        <v>Pictet Fund Accounting</v>
      </c>
      <c r="I196" t="str">
        <f ca="1"/>
        <v>17243050-0</v>
      </c>
      <c r="J196" s="50">
        <f ca="1"/>
        <v>44742</v>
      </c>
      <c r="K196">
        <f ca="1"/>
        <v>-8743.32</v>
      </c>
      <c r="L196" t="str">
        <f ca="1"/>
        <v>60591-0</v>
      </c>
      <c r="M196" t="str">
        <f ca="1"/>
        <v>Provision audit fees</v>
      </c>
      <c r="N196" t="str">
        <f ca="1"/>
        <v>USD</v>
      </c>
      <c r="O196" t="str">
        <f ca="1"/>
        <v>Uncategorized (Treasury)</v>
      </c>
      <c r="P196" t="str">
        <f ca="1"/>
        <v/>
      </c>
      <c r="Q196" t="str">
        <f ca="1"/>
        <v/>
      </c>
      <c r="R196" t="str">
        <f ca="1"/>
        <v/>
      </c>
      <c r="S196" t="str">
        <f ca="1"/>
        <v/>
      </c>
      <c r="T196" t="str">
        <f ca="1"/>
        <v/>
      </c>
      <c r="U196">
        <f ca="1">IF(LEFT(_xll.BDP($T196,U$2),4)="#N/A",0,_xll.BDP($T196,U$2))</f>
        <v>0</v>
      </c>
      <c r="V196" t="e">
        <f>_xll.BDP(#REF!,V$2)</f>
        <v>#REF!</v>
      </c>
      <c r="W196" t="e">
        <f>_xll.BDP(#REF!,W$2)</f>
        <v>#REF!</v>
      </c>
      <c r="X196" t="e">
        <f>_xll.BDP(#REF!,X$2)</f>
        <v>#REF!</v>
      </c>
      <c r="Y196" t="e">
        <f>_xll.BDP(#REF!,Y$2)</f>
        <v>#REF!</v>
      </c>
      <c r="Z196" t="e">
        <f>_xll.BDP(#REF!,Z$2)</f>
        <v>#REF!</v>
      </c>
      <c r="AA196" t="e">
        <f>_xll.BDP(#REF!,AA$2)</f>
        <v>#REF!</v>
      </c>
      <c r="AD196">
        <f ca="1">IF(LEFT(_xll.BDP($T196,AD$2),4)="#N/A",-1,_xll.BDP($T196,AD$2))</f>
        <v>-1</v>
      </c>
    </row>
    <row r="197" spans="1:30">
      <c r="A197">
        <f ca="1"/>
        <v>192</v>
      </c>
      <c r="B197" t="str">
        <f ca="1"/>
        <v>iW - NS</v>
      </c>
      <c r="C197" t="str">
        <f ca="1"/>
        <v>iW - NS</v>
      </c>
      <c r="D197">
        <f ca="1"/>
        <v>110312</v>
      </c>
      <c r="E197" t="str">
        <f ca="1"/>
        <v>iW - LONG TERM INVESTMENTS</v>
      </c>
      <c r="F197" t="str">
        <f ca="1"/>
        <v>LONG TERM INVESTMENTS</v>
      </c>
      <c r="G197">
        <f ca="1"/>
        <v>147</v>
      </c>
      <c r="H197" t="str">
        <f ca="1"/>
        <v>Pictet Fund Accounting</v>
      </c>
      <c r="I197" t="str">
        <f ca="1"/>
        <v>17243064-0</v>
      </c>
      <c r="J197" s="50">
        <f ca="1"/>
        <v>44742</v>
      </c>
      <c r="K197">
        <f ca="1"/>
        <v>-249.32</v>
      </c>
      <c r="L197" t="str">
        <f ca="1"/>
        <v>123776-0</v>
      </c>
      <c r="M197" t="str">
        <f ca="1"/>
        <v>Provision CRS fees</v>
      </c>
      <c r="N197" t="str">
        <f ca="1"/>
        <v>USD</v>
      </c>
      <c r="O197" t="str">
        <f ca="1"/>
        <v>Uncategorized (Treasury)</v>
      </c>
      <c r="P197" t="str">
        <f ca="1"/>
        <v/>
      </c>
      <c r="Q197" t="str">
        <f ca="1"/>
        <v/>
      </c>
      <c r="R197" t="str">
        <f ca="1"/>
        <v/>
      </c>
      <c r="S197" t="str">
        <f ca="1"/>
        <v/>
      </c>
      <c r="T197" t="str">
        <f ca="1"/>
        <v/>
      </c>
      <c r="U197">
        <f ca="1">IF(LEFT(_xll.BDP($T197,U$2),4)="#N/A",0,_xll.BDP($T197,U$2))</f>
        <v>0</v>
      </c>
      <c r="V197" t="e">
        <f>_xll.BDP(#REF!,V$2)</f>
        <v>#REF!</v>
      </c>
      <c r="W197" t="e">
        <f>_xll.BDP(#REF!,W$2)</f>
        <v>#REF!</v>
      </c>
      <c r="X197" t="e">
        <f>_xll.BDP(#REF!,X$2)</f>
        <v>#REF!</v>
      </c>
      <c r="Y197" t="e">
        <f>_xll.BDP(#REF!,Y$2)</f>
        <v>#REF!</v>
      </c>
      <c r="Z197" t="e">
        <f>_xll.BDP(#REF!,Z$2)</f>
        <v>#REF!</v>
      </c>
      <c r="AA197" t="e">
        <f>_xll.BDP(#REF!,AA$2)</f>
        <v>#REF!</v>
      </c>
      <c r="AD197">
        <f ca="1">IF(LEFT(_xll.BDP($T197,AD$2),4)="#N/A",-1,_xll.BDP($T197,AD$2))</f>
        <v>-1</v>
      </c>
    </row>
    <row r="198" spans="1:30">
      <c r="A198">
        <f ca="1"/>
        <v>192</v>
      </c>
      <c r="B198" t="str">
        <f ca="1"/>
        <v>iW - NS</v>
      </c>
      <c r="C198" t="str">
        <f ca="1"/>
        <v>iW - NS</v>
      </c>
      <c r="D198">
        <f ca="1"/>
        <v>110312</v>
      </c>
      <c r="E198" t="str">
        <f ca="1"/>
        <v>iW - LONG TERM INVESTMENTS</v>
      </c>
      <c r="F198" t="str">
        <f ca="1"/>
        <v>LONG TERM INVESTMENTS</v>
      </c>
      <c r="G198">
        <f ca="1"/>
        <v>147</v>
      </c>
      <c r="H198" t="str">
        <f ca="1"/>
        <v>Pictet Fund Accounting</v>
      </c>
      <c r="I198" t="str">
        <f ca="1"/>
        <v>17243043-0</v>
      </c>
      <c r="J198" s="50">
        <f ca="1"/>
        <v>44742</v>
      </c>
      <c r="K198">
        <f ca="1"/>
        <v>-10211.17</v>
      </c>
      <c r="L198" t="str">
        <f ca="1"/>
        <v>60584-0</v>
      </c>
      <c r="M198" t="str">
        <f ca="1"/>
        <v>Provision custody fee</v>
      </c>
      <c r="N198" t="str">
        <f ca="1"/>
        <v>USD</v>
      </c>
      <c r="O198" t="str">
        <f ca="1"/>
        <v>Uncategorized (Treasury)</v>
      </c>
      <c r="P198" t="str">
        <f ca="1"/>
        <v/>
      </c>
      <c r="Q198" t="str">
        <f ca="1"/>
        <v/>
      </c>
      <c r="R198" t="str">
        <f ca="1"/>
        <v/>
      </c>
      <c r="S198" t="str">
        <f ca="1"/>
        <v/>
      </c>
      <c r="T198" t="str">
        <f ca="1"/>
        <v/>
      </c>
      <c r="U198">
        <f ca="1">IF(LEFT(_xll.BDP($T198,U$2),4)="#N/A",0,_xll.BDP($T198,U$2))</f>
        <v>0</v>
      </c>
      <c r="V198" t="e">
        <f>_xll.BDP(#REF!,V$2)</f>
        <v>#REF!</v>
      </c>
      <c r="W198" t="e">
        <f>_xll.BDP(#REF!,W$2)</f>
        <v>#REF!</v>
      </c>
      <c r="X198" t="e">
        <f>_xll.BDP(#REF!,X$2)</f>
        <v>#REF!</v>
      </c>
      <c r="Y198" t="e">
        <f>_xll.BDP(#REF!,Y$2)</f>
        <v>#REF!</v>
      </c>
      <c r="Z198" t="e">
        <f>_xll.BDP(#REF!,Z$2)</f>
        <v>#REF!</v>
      </c>
      <c r="AA198" t="e">
        <f>_xll.BDP(#REF!,AA$2)</f>
        <v>#REF!</v>
      </c>
      <c r="AD198">
        <f ca="1">IF(LEFT(_xll.BDP($T198,AD$2),4)="#N/A",-1,_xll.BDP($T198,AD$2))</f>
        <v>-1</v>
      </c>
    </row>
    <row r="199" spans="1:30">
      <c r="A199">
        <f ca="1"/>
        <v>192</v>
      </c>
      <c r="B199" t="str">
        <f ca="1"/>
        <v>iW - NS</v>
      </c>
      <c r="C199" t="str">
        <f ca="1"/>
        <v>iW - NS</v>
      </c>
      <c r="D199">
        <f ca="1"/>
        <v>110312</v>
      </c>
      <c r="E199" t="str">
        <f ca="1"/>
        <v>iW - LONG TERM INVESTMENTS</v>
      </c>
      <c r="F199" t="str">
        <f ca="1"/>
        <v>LONG TERM INVESTMENTS</v>
      </c>
      <c r="G199">
        <f ca="1"/>
        <v>147</v>
      </c>
      <c r="H199" t="str">
        <f ca="1"/>
        <v>Pictet Fund Accounting</v>
      </c>
      <c r="I199" t="str">
        <f ca="1"/>
        <v>17243049-0</v>
      </c>
      <c r="J199" s="50">
        <f ca="1"/>
        <v>44742</v>
      </c>
      <c r="K199">
        <f ca="1"/>
        <v>-4933.6099999999997</v>
      </c>
      <c r="L199" t="str">
        <f ca="1"/>
        <v>60590-0</v>
      </c>
      <c r="M199" t="str">
        <f ca="1"/>
        <v>Provision directors fees</v>
      </c>
      <c r="N199" t="str">
        <f ca="1"/>
        <v>USD</v>
      </c>
      <c r="O199" t="str">
        <f ca="1"/>
        <v>Uncategorized (Treasury)</v>
      </c>
      <c r="P199" t="str">
        <f ca="1"/>
        <v/>
      </c>
      <c r="Q199" t="str">
        <f ca="1"/>
        <v/>
      </c>
      <c r="R199" t="str">
        <f ca="1"/>
        <v/>
      </c>
      <c r="S199" t="str">
        <f ca="1"/>
        <v/>
      </c>
      <c r="T199" t="str">
        <f ca="1"/>
        <v/>
      </c>
      <c r="U199">
        <f ca="1">IF(LEFT(_xll.BDP($T199,U$2),4)="#N/A",0,_xll.BDP($T199,U$2))</f>
        <v>0</v>
      </c>
      <c r="V199" t="e">
        <f>_xll.BDP(#REF!,V$2)</f>
        <v>#REF!</v>
      </c>
      <c r="W199" t="e">
        <f>_xll.BDP(#REF!,W$2)</f>
        <v>#REF!</v>
      </c>
      <c r="X199" t="e">
        <f>_xll.BDP(#REF!,X$2)</f>
        <v>#REF!</v>
      </c>
      <c r="Y199" t="e">
        <f>_xll.BDP(#REF!,Y$2)</f>
        <v>#REF!</v>
      </c>
      <c r="Z199" t="e">
        <f>_xll.BDP(#REF!,Z$2)</f>
        <v>#REF!</v>
      </c>
      <c r="AA199" t="e">
        <f>_xll.BDP(#REF!,AA$2)</f>
        <v>#REF!</v>
      </c>
      <c r="AD199">
        <f ca="1">IF(LEFT(_xll.BDP($T199,AD$2),4)="#N/A",-1,_xll.BDP($T199,AD$2))</f>
        <v>-1</v>
      </c>
    </row>
    <row r="200" spans="1:30">
      <c r="A200">
        <f ca="1"/>
        <v>192</v>
      </c>
      <c r="B200" t="str">
        <f ca="1"/>
        <v>iW - NS</v>
      </c>
      <c r="C200" t="str">
        <f ca="1"/>
        <v>iW - NS</v>
      </c>
      <c r="D200">
        <f ca="1"/>
        <v>110312</v>
      </c>
      <c r="E200" t="str">
        <f ca="1"/>
        <v>iW - LONG TERM INVESTMENTS</v>
      </c>
      <c r="F200" t="str">
        <f ca="1"/>
        <v>LONG TERM INVESTMENTS</v>
      </c>
      <c r="G200">
        <f ca="1"/>
        <v>147</v>
      </c>
      <c r="H200" t="str">
        <f ca="1"/>
        <v>Pictet Fund Accounting</v>
      </c>
      <c r="I200" t="str">
        <f ca="1"/>
        <v>17243057-0</v>
      </c>
      <c r="J200" s="50">
        <f ca="1"/>
        <v>44742</v>
      </c>
      <c r="K200">
        <f ca="1"/>
        <v>-474.06</v>
      </c>
      <c r="L200" t="str">
        <f ca="1"/>
        <v>60600-0</v>
      </c>
      <c r="M200" t="str">
        <f ca="1"/>
        <v>Provision Domiciliation fees</v>
      </c>
      <c r="N200" t="str">
        <f ca="1"/>
        <v>USD</v>
      </c>
      <c r="O200" t="str">
        <f ca="1"/>
        <v>Uncategorized (Treasury)</v>
      </c>
      <c r="P200" t="str">
        <f ca="1"/>
        <v/>
      </c>
      <c r="Q200" t="str">
        <f ca="1"/>
        <v/>
      </c>
      <c r="R200" t="str">
        <f ca="1"/>
        <v/>
      </c>
      <c r="S200" t="str">
        <f ca="1"/>
        <v/>
      </c>
      <c r="T200" t="str">
        <f ca="1"/>
        <v/>
      </c>
      <c r="U200">
        <f ca="1">IF(LEFT(_xll.BDP($T200,U$2),4)="#N/A",0,_xll.BDP($T200,U$2))</f>
        <v>0</v>
      </c>
      <c r="V200" t="e">
        <f>_xll.BDP(#REF!,V$2)</f>
        <v>#REF!</v>
      </c>
      <c r="W200" t="e">
        <f>_xll.BDP(#REF!,W$2)</f>
        <v>#REF!</v>
      </c>
      <c r="X200" t="e">
        <f>_xll.BDP(#REF!,X$2)</f>
        <v>#REF!</v>
      </c>
      <c r="Y200" t="e">
        <f>_xll.BDP(#REF!,Y$2)</f>
        <v>#REF!</v>
      </c>
      <c r="Z200" t="e">
        <f>_xll.BDP(#REF!,Z$2)</f>
        <v>#REF!</v>
      </c>
      <c r="AA200" t="e">
        <f>_xll.BDP(#REF!,AA$2)</f>
        <v>#REF!</v>
      </c>
      <c r="AD200">
        <f ca="1">IF(LEFT(_xll.BDP($T200,AD$2),4)="#N/A",-1,_xll.BDP($T200,AD$2))</f>
        <v>-1</v>
      </c>
    </row>
    <row r="201" spans="1:30">
      <c r="A201">
        <f ca="1"/>
        <v>192</v>
      </c>
      <c r="B201" t="str">
        <f ca="1"/>
        <v>iW - NS</v>
      </c>
      <c r="C201" t="str">
        <f ca="1"/>
        <v>iW - NS</v>
      </c>
      <c r="D201">
        <f ca="1"/>
        <v>110312</v>
      </c>
      <c r="E201" t="str">
        <f ca="1"/>
        <v>iW - LONG TERM INVESTMENTS</v>
      </c>
      <c r="F201" t="str">
        <f ca="1"/>
        <v>LONG TERM INVESTMENTS</v>
      </c>
      <c r="G201">
        <f ca="1"/>
        <v>147</v>
      </c>
      <c r="H201" t="str">
        <f ca="1"/>
        <v>Pictet Fund Accounting</v>
      </c>
      <c r="I201" t="str">
        <f ca="1"/>
        <v>17243066-0</v>
      </c>
      <c r="J201" s="50">
        <f ca="1"/>
        <v>44742</v>
      </c>
      <c r="K201">
        <f ca="1"/>
        <v>-249.32</v>
      </c>
      <c r="L201" t="str">
        <f ca="1"/>
        <v>123777-0</v>
      </c>
      <c r="M201" t="str">
        <f ca="1"/>
        <v>Provision FATCA fees</v>
      </c>
      <c r="N201" t="str">
        <f ca="1"/>
        <v>USD</v>
      </c>
      <c r="O201" t="str">
        <f ca="1"/>
        <v>Uncategorized (Treasury)</v>
      </c>
      <c r="P201" t="str">
        <f ca="1"/>
        <v/>
      </c>
      <c r="Q201" t="str">
        <f ca="1"/>
        <v/>
      </c>
      <c r="R201" t="str">
        <f ca="1"/>
        <v/>
      </c>
      <c r="S201" t="str">
        <f ca="1"/>
        <v/>
      </c>
      <c r="T201" t="str">
        <f ca="1"/>
        <v/>
      </c>
      <c r="U201">
        <f ca="1">IF(LEFT(_xll.BDP($T201,U$2),4)="#N/A",0,_xll.BDP($T201,U$2))</f>
        <v>0</v>
      </c>
      <c r="V201" t="e">
        <f>_xll.BDP(#REF!,V$2)</f>
        <v>#REF!</v>
      </c>
      <c r="W201" t="e">
        <f>_xll.BDP(#REF!,W$2)</f>
        <v>#REF!</v>
      </c>
      <c r="X201" t="e">
        <f>_xll.BDP(#REF!,X$2)</f>
        <v>#REF!</v>
      </c>
      <c r="Y201" t="e">
        <f>_xll.BDP(#REF!,Y$2)</f>
        <v>#REF!</v>
      </c>
      <c r="Z201" t="e">
        <f>_xll.BDP(#REF!,Z$2)</f>
        <v>#REF!</v>
      </c>
      <c r="AA201" t="e">
        <f>_xll.BDP(#REF!,AA$2)</f>
        <v>#REF!</v>
      </c>
      <c r="AD201">
        <f ca="1">IF(LEFT(_xll.BDP($T201,AD$2),4)="#N/A",-1,_xll.BDP($T201,AD$2))</f>
        <v>-1</v>
      </c>
    </row>
    <row r="202" spans="1:30">
      <c r="A202">
        <f ca="1"/>
        <v>192</v>
      </c>
      <c r="B202" t="str">
        <f ca="1"/>
        <v>iW - NS</v>
      </c>
      <c r="C202" t="str">
        <f ca="1"/>
        <v>iW - NS</v>
      </c>
      <c r="D202">
        <f ca="1"/>
        <v>110312</v>
      </c>
      <c r="E202" t="str">
        <f ca="1"/>
        <v>iW - LONG TERM INVESTMENTS</v>
      </c>
      <c r="F202" t="str">
        <f ca="1"/>
        <v>LONG TERM INVESTMENTS</v>
      </c>
      <c r="G202">
        <f ca="1"/>
        <v>147</v>
      </c>
      <c r="H202" t="str">
        <f ca="1"/>
        <v>Pictet Fund Accounting</v>
      </c>
      <c r="I202" t="str">
        <f ca="1"/>
        <v>17243051-0</v>
      </c>
      <c r="J202" s="50">
        <f ca="1"/>
        <v>44742</v>
      </c>
      <c r="K202">
        <f ca="1"/>
        <v>-623.29</v>
      </c>
      <c r="L202" t="str">
        <f ca="1"/>
        <v>60592-0</v>
      </c>
      <c r="M202" t="str">
        <f ca="1"/>
        <v>Provision professional fees</v>
      </c>
      <c r="N202" t="str">
        <f ca="1"/>
        <v>USD</v>
      </c>
      <c r="O202" t="str">
        <f ca="1"/>
        <v>Uncategorized (Treasury)</v>
      </c>
      <c r="P202" t="str">
        <f ca="1"/>
        <v/>
      </c>
      <c r="Q202" t="str">
        <f ca="1"/>
        <v/>
      </c>
      <c r="R202" t="str">
        <f ca="1"/>
        <v/>
      </c>
      <c r="S202" t="str">
        <f ca="1"/>
        <v/>
      </c>
      <c r="T202" t="str">
        <f ca="1"/>
        <v/>
      </c>
      <c r="U202">
        <f ca="1">IF(LEFT(_xll.BDP($T202,U$2),4)="#N/A",0,_xll.BDP($T202,U$2))</f>
        <v>0</v>
      </c>
      <c r="V202" t="e">
        <f>_xll.BDP(#REF!,V$2)</f>
        <v>#REF!</v>
      </c>
      <c r="W202" t="e">
        <f>_xll.BDP(#REF!,W$2)</f>
        <v>#REF!</v>
      </c>
      <c r="X202" t="e">
        <f>_xll.BDP(#REF!,X$2)</f>
        <v>#REF!</v>
      </c>
      <c r="Y202" t="e">
        <f>_xll.BDP(#REF!,Y$2)</f>
        <v>#REF!</v>
      </c>
      <c r="Z202" t="e">
        <f>_xll.BDP(#REF!,Z$2)</f>
        <v>#REF!</v>
      </c>
      <c r="AA202" t="e">
        <f>_xll.BDP(#REF!,AA$2)</f>
        <v>#REF!</v>
      </c>
      <c r="AD202">
        <f ca="1">IF(LEFT(_xll.BDP($T202,AD$2),4)="#N/A",-1,_xll.BDP($T202,AD$2))</f>
        <v>-1</v>
      </c>
    </row>
    <row r="203" spans="1:30">
      <c r="A203">
        <f ca="1"/>
        <v>192</v>
      </c>
      <c r="B203" t="str">
        <f ca="1"/>
        <v>iW - NS</v>
      </c>
      <c r="C203" t="str">
        <f ca="1"/>
        <v>iW - NS</v>
      </c>
      <c r="D203">
        <f ca="1"/>
        <v>110312</v>
      </c>
      <c r="E203" t="str">
        <f ca="1"/>
        <v>iW - LONG TERM INVESTMENTS</v>
      </c>
      <c r="F203" t="str">
        <f ca="1"/>
        <v>LONG TERM INVESTMENTS</v>
      </c>
      <c r="G203">
        <f ca="1"/>
        <v>147</v>
      </c>
      <c r="H203" t="str">
        <f ca="1"/>
        <v>Pictet Fund Accounting</v>
      </c>
      <c r="I203" t="str">
        <f ca="1"/>
        <v>17243052-0</v>
      </c>
      <c r="J203" s="50">
        <f ca="1"/>
        <v>44742</v>
      </c>
      <c r="K203">
        <f ca="1"/>
        <v>-249.32</v>
      </c>
      <c r="L203" t="str">
        <f ca="1"/>
        <v>121515-0</v>
      </c>
      <c r="M203" t="str">
        <f ca="1"/>
        <v>Provision Transfer Agency</v>
      </c>
      <c r="N203" t="str">
        <f ca="1"/>
        <v>USD</v>
      </c>
      <c r="O203" t="str">
        <f ca="1"/>
        <v>Uncategorized (Treasury)</v>
      </c>
      <c r="P203" t="str">
        <f ca="1"/>
        <v/>
      </c>
      <c r="Q203" t="str">
        <f ca="1"/>
        <v/>
      </c>
      <c r="R203" t="str">
        <f ca="1"/>
        <v/>
      </c>
      <c r="S203" t="str">
        <f ca="1"/>
        <v/>
      </c>
      <c r="T203" t="str">
        <f ca="1"/>
        <v/>
      </c>
      <c r="U203">
        <f ca="1">IF(LEFT(_xll.BDP($T203,U$2),4)="#N/A",0,_xll.BDP($T203,U$2))</f>
        <v>0</v>
      </c>
      <c r="V203" t="e">
        <f>_xll.BDP(#REF!,V$2)</f>
        <v>#REF!</v>
      </c>
      <c r="W203" t="e">
        <f>_xll.BDP(#REF!,W$2)</f>
        <v>#REF!</v>
      </c>
      <c r="X203" t="e">
        <f>_xll.BDP(#REF!,X$2)</f>
        <v>#REF!</v>
      </c>
      <c r="Y203" t="e">
        <f>_xll.BDP(#REF!,Y$2)</f>
        <v>#REF!</v>
      </c>
      <c r="Z203" t="e">
        <f>_xll.BDP(#REF!,Z$2)</f>
        <v>#REF!</v>
      </c>
      <c r="AA203" t="e">
        <f>_xll.BDP(#REF!,AA$2)</f>
        <v>#REF!</v>
      </c>
      <c r="AD203">
        <f ca="1">IF(LEFT(_xll.BDP($T203,AD$2),4)="#N/A",-1,_xll.BDP($T203,AD$2))</f>
        <v>-1</v>
      </c>
    </row>
    <row r="204" spans="1:30">
      <c r="A204">
        <f ca="1"/>
        <v>149</v>
      </c>
      <c r="B204" t="str">
        <f ca="1"/>
        <v>iW ALTERNATIVE SIF</v>
      </c>
      <c r="C204" t="str">
        <f ca="1"/>
        <v>iW ALTERNATIVE SIF</v>
      </c>
      <c r="D204">
        <f ca="1"/>
        <v>68095</v>
      </c>
      <c r="E204" t="str">
        <f ca="1"/>
        <v>APIS LUCROSA</v>
      </c>
      <c r="F204" t="str">
        <f ca="1"/>
        <v>Apis Lucrosa</v>
      </c>
      <c r="G204">
        <f ca="1"/>
        <v>147</v>
      </c>
      <c r="H204" t="str">
        <f ca="1"/>
        <v>Pictet Fund Accounting</v>
      </c>
      <c r="I204" t="str">
        <f ca="1"/>
        <v>17131035-0</v>
      </c>
      <c r="J204" s="50">
        <f ca="1"/>
        <v>44742</v>
      </c>
      <c r="K204">
        <f ca="1"/>
        <v>134.57</v>
      </c>
      <c r="L204" t="str">
        <f ca="1"/>
        <v>60578-0</v>
      </c>
      <c r="M204" t="str">
        <f ca="1"/>
        <v>Current account Pictet &amp; Cie (Europe) S.A. @@@</v>
      </c>
      <c r="N204" t="str">
        <f ca="1"/>
        <v>USD</v>
      </c>
      <c r="O204" t="str">
        <f ca="1"/>
        <v>Cash</v>
      </c>
      <c r="P204" t="str">
        <f ca="1"/>
        <v/>
      </c>
      <c r="Q204" t="str">
        <f ca="1"/>
        <v/>
      </c>
      <c r="R204" t="str">
        <f ca="1"/>
        <v/>
      </c>
      <c r="S204" t="str">
        <f ca="1"/>
        <v/>
      </c>
      <c r="T204" t="str">
        <f ca="1"/>
        <v/>
      </c>
      <c r="U204">
        <f ca="1">IF(LEFT(_xll.BDP($T204,U$2),4)="#N/A",0,_xll.BDP($T204,U$2))</f>
        <v>0</v>
      </c>
      <c r="V204" t="e">
        <f>_xll.BDP(#REF!,V$2)</f>
        <v>#REF!</v>
      </c>
      <c r="W204" t="e">
        <f>_xll.BDP(#REF!,W$2)</f>
        <v>#REF!</v>
      </c>
      <c r="X204" t="e">
        <f>_xll.BDP(#REF!,X$2)</f>
        <v>#REF!</v>
      </c>
      <c r="Y204" t="e">
        <f>_xll.BDP(#REF!,Y$2)</f>
        <v>#REF!</v>
      </c>
      <c r="Z204" t="e">
        <f>_xll.BDP(#REF!,Z$2)</f>
        <v>#REF!</v>
      </c>
      <c r="AA204" t="e">
        <f>_xll.BDP(#REF!,AA$2)</f>
        <v>#REF!</v>
      </c>
      <c r="AD204">
        <f ca="1">IF(LEFT(_xll.BDP($T204,AD$2),4)="#N/A",-1,_xll.BDP($T204,AD$2))</f>
        <v>-1</v>
      </c>
    </row>
    <row r="205" spans="1:30">
      <c r="A205">
        <f ca="1"/>
        <v>149</v>
      </c>
      <c r="B205" t="str">
        <f ca="1"/>
        <v>iW ALTERNATIVE SIF</v>
      </c>
      <c r="C205" t="str">
        <f ca="1"/>
        <v>iW ALTERNATIVE SIF</v>
      </c>
      <c r="D205">
        <f ca="1"/>
        <v>68095</v>
      </c>
      <c r="E205" t="str">
        <f ca="1"/>
        <v>APIS LUCROSA</v>
      </c>
      <c r="F205" t="str">
        <f ca="1"/>
        <v>Apis Lucrosa</v>
      </c>
      <c r="G205">
        <f ca="1"/>
        <v>147</v>
      </c>
      <c r="H205" t="str">
        <f ca="1"/>
        <v>Pictet Fund Accounting</v>
      </c>
      <c r="I205" t="str">
        <f ca="1"/>
        <v>17131036-0</v>
      </c>
      <c r="J205" s="50">
        <f ca="1"/>
        <v>44742</v>
      </c>
      <c r="K205">
        <f ca="1"/>
        <v>-38194.58</v>
      </c>
      <c r="L205" t="str">
        <f ca="1"/>
        <v>60587-0</v>
      </c>
      <c r="M205" t="str">
        <f ca="1"/>
        <v>Current account Pictet &amp; Cie (Europe) S.A. @@@</v>
      </c>
      <c r="N205" t="str">
        <f ca="1"/>
        <v>EUR</v>
      </c>
      <c r="O205" t="str">
        <f ca="1"/>
        <v>Cash</v>
      </c>
      <c r="P205" t="str">
        <f ca="1"/>
        <v/>
      </c>
      <c r="Q205" t="str">
        <f ca="1"/>
        <v/>
      </c>
      <c r="R205" t="str">
        <f ca="1"/>
        <v/>
      </c>
      <c r="S205" t="str">
        <f ca="1"/>
        <v/>
      </c>
      <c r="T205" t="str">
        <f ca="1"/>
        <v/>
      </c>
      <c r="U205">
        <f ca="1">IF(LEFT(_xll.BDP($T205,U$2),4)="#N/A",0,_xll.BDP($T205,U$2))</f>
        <v>0</v>
      </c>
      <c r="V205" t="e">
        <f>_xll.BDP(#REF!,V$2)</f>
        <v>#REF!</v>
      </c>
      <c r="W205" t="e">
        <f>_xll.BDP(#REF!,W$2)</f>
        <v>#REF!</v>
      </c>
      <c r="X205" t="e">
        <f>_xll.BDP(#REF!,X$2)</f>
        <v>#REF!</v>
      </c>
      <c r="Y205" t="e">
        <f>_xll.BDP(#REF!,Y$2)</f>
        <v>#REF!</v>
      </c>
      <c r="Z205" t="e">
        <f>_xll.BDP(#REF!,Z$2)</f>
        <v>#REF!</v>
      </c>
      <c r="AA205" t="e">
        <f>_xll.BDP(#REF!,AA$2)</f>
        <v>#REF!</v>
      </c>
      <c r="AD205">
        <f ca="1">IF(LEFT(_xll.BDP($T205,AD$2),4)="#N/A",-1,_xll.BDP($T205,AD$2))</f>
        <v>-1</v>
      </c>
    </row>
    <row r="206" spans="1:30">
      <c r="A206">
        <f ca="1"/>
        <v>149</v>
      </c>
      <c r="B206" t="str">
        <f ca="1"/>
        <v>iW ALTERNATIVE SIF</v>
      </c>
      <c r="C206" t="str">
        <f ca="1"/>
        <v>iW ALTERNATIVE SIF</v>
      </c>
      <c r="D206">
        <f ca="1"/>
        <v>68095</v>
      </c>
      <c r="E206" t="str">
        <f ca="1"/>
        <v>APIS LUCROSA</v>
      </c>
      <c r="F206" t="str">
        <f ca="1"/>
        <v>Apis Lucrosa</v>
      </c>
      <c r="G206">
        <f ca="1"/>
        <v>147</v>
      </c>
      <c r="H206" t="str">
        <f ca="1"/>
        <v>Pictet Fund Accounting</v>
      </c>
      <c r="I206" t="str">
        <f ca="1"/>
        <v>17131041-0</v>
      </c>
      <c r="J206" s="50">
        <f ca="1"/>
        <v>44742</v>
      </c>
      <c r="K206">
        <f ca="1"/>
        <v>227940.82</v>
      </c>
      <c r="L206" t="str">
        <f ca="1"/>
        <v>60594-0</v>
      </c>
      <c r="M206" t="str">
        <f ca="1"/>
        <v>Current account Pictet &amp; Cie (Europe) S.A. @@@</v>
      </c>
      <c r="N206" t="str">
        <f ca="1"/>
        <v>GBP</v>
      </c>
      <c r="O206" t="str">
        <f ca="1"/>
        <v>Cash</v>
      </c>
      <c r="P206" t="str">
        <f ca="1"/>
        <v/>
      </c>
      <c r="Q206" t="str">
        <f ca="1"/>
        <v/>
      </c>
      <c r="R206" t="str">
        <f ca="1"/>
        <v/>
      </c>
      <c r="S206" t="str">
        <f ca="1"/>
        <v/>
      </c>
      <c r="T206" t="str">
        <f ca="1"/>
        <v/>
      </c>
      <c r="U206">
        <f ca="1">IF(LEFT(_xll.BDP($T206,U$2),4)="#N/A",0,_xll.BDP($T206,U$2))</f>
        <v>0</v>
      </c>
      <c r="V206" t="e">
        <f>_xll.BDP(#REF!,V$2)</f>
        <v>#REF!</v>
      </c>
      <c r="W206" t="e">
        <f>_xll.BDP(#REF!,W$2)</f>
        <v>#REF!</v>
      </c>
      <c r="X206" t="e">
        <f>_xll.BDP(#REF!,X$2)</f>
        <v>#REF!</v>
      </c>
      <c r="Y206" t="e">
        <f>_xll.BDP(#REF!,Y$2)</f>
        <v>#REF!</v>
      </c>
      <c r="Z206" t="e">
        <f>_xll.BDP(#REF!,Z$2)</f>
        <v>#REF!</v>
      </c>
      <c r="AA206" t="e">
        <f>_xll.BDP(#REF!,AA$2)</f>
        <v>#REF!</v>
      </c>
      <c r="AD206">
        <f ca="1">IF(LEFT(_xll.BDP($T206,AD$2),4)="#N/A",-1,_xll.BDP($T206,AD$2))</f>
        <v>-1</v>
      </c>
    </row>
    <row r="207" spans="1:30">
      <c r="A207">
        <f ca="1"/>
        <v>149</v>
      </c>
      <c r="B207" t="str">
        <f ca="1"/>
        <v>iW ALTERNATIVE SIF</v>
      </c>
      <c r="C207" t="str">
        <f ca="1"/>
        <v>iW ALTERNATIVE SIF</v>
      </c>
      <c r="D207">
        <f ca="1"/>
        <v>68095</v>
      </c>
      <c r="E207" t="str">
        <f ca="1"/>
        <v>APIS LUCROSA</v>
      </c>
      <c r="F207" t="str">
        <f ca="1"/>
        <v>Apis Lucrosa</v>
      </c>
      <c r="G207">
        <f ca="1"/>
        <v>147</v>
      </c>
      <c r="H207" t="str">
        <f ca="1"/>
        <v>Pictet Fund Accounting</v>
      </c>
      <c r="I207" t="str">
        <f ca="1"/>
        <v>17131051-0</v>
      </c>
      <c r="J207" s="50">
        <f ca="1"/>
        <v>44742</v>
      </c>
      <c r="K207">
        <f ca="1"/>
        <v>520000</v>
      </c>
      <c r="L207" t="str">
        <f ca="1"/>
        <v>69939-0</v>
      </c>
      <c r="M207" t="str">
        <f ca="1"/>
        <v>BAKER STEEL RESOURCES TRUST GBP</v>
      </c>
      <c r="N207" t="str">
        <f ca="1"/>
        <v>GBP</v>
      </c>
      <c r="O207" t="str">
        <f ca="1"/>
        <v>Investment Fund</v>
      </c>
      <c r="P207" t="str">
        <f ca="1"/>
        <v/>
      </c>
      <c r="Q207" t="str">
        <f ca="1"/>
        <v/>
      </c>
      <c r="R207" t="str">
        <f ca="1"/>
        <v>GG00B6686L20</v>
      </c>
      <c r="S207" t="str">
        <f ca="1"/>
        <v/>
      </c>
      <c r="T207" t="str">
        <f ca="1"/>
        <v>BSRT LN Equity</v>
      </c>
      <c r="U207">
        <f ca="1">IF(LEFT(_xll.BDP($T207,U$2),4)="#N/A",0,_xll.BDP($T207,U$2))</f>
        <v>0</v>
      </c>
      <c r="V207" t="e">
        <f>_xll.BDP(#REF!,V$2)</f>
        <v>#REF!</v>
      </c>
      <c r="W207" t="e">
        <f>_xll.BDP(#REF!,W$2)</f>
        <v>#REF!</v>
      </c>
      <c r="X207" t="e">
        <f>_xll.BDP(#REF!,X$2)</f>
        <v>#REF!</v>
      </c>
      <c r="Y207" t="e">
        <f>_xll.BDP(#REF!,Y$2)</f>
        <v>#REF!</v>
      </c>
      <c r="Z207" t="e">
        <f>_xll.BDP(#REF!,Z$2)</f>
        <v>#REF!</v>
      </c>
      <c r="AA207" t="e">
        <f>_xll.BDP(#REF!,AA$2)</f>
        <v>#REF!</v>
      </c>
      <c r="AD207">
        <f ca="1">IF(LEFT(_xll.BDP($T207,AD$2),4)="#N/A",-1,_xll.BDP($T207,AD$2))</f>
        <v>25749.8</v>
      </c>
    </row>
    <row r="208" spans="1:30">
      <c r="A208">
        <f ca="1"/>
        <v>149</v>
      </c>
      <c r="B208" t="str">
        <f ca="1"/>
        <v>iW ALTERNATIVE SIF</v>
      </c>
      <c r="C208" t="str">
        <f ca="1"/>
        <v>iW ALTERNATIVE SIF</v>
      </c>
      <c r="D208">
        <f ca="1"/>
        <v>68095</v>
      </c>
      <c r="E208" t="str">
        <f ca="1"/>
        <v>APIS LUCROSA</v>
      </c>
      <c r="F208" t="str">
        <f ca="1"/>
        <v>Apis Lucrosa</v>
      </c>
      <c r="G208">
        <f ca="1"/>
        <v>147</v>
      </c>
      <c r="H208" t="str">
        <f ca="1"/>
        <v>Pictet Fund Accounting</v>
      </c>
      <c r="I208" t="str">
        <f ca="1"/>
        <v>17131032-0</v>
      </c>
      <c r="J208" s="50">
        <f ca="1"/>
        <v>44742</v>
      </c>
      <c r="K208">
        <f ca="1"/>
        <v>122803.285</v>
      </c>
      <c r="L208" t="str">
        <f ca="1"/>
        <v>69930-0</v>
      </c>
      <c r="M208" t="str">
        <f ca="1"/>
        <v>BMG BULLION FUND C1 USD FRONT/LOAD</v>
      </c>
      <c r="N208" t="str">
        <f ca="1"/>
        <v>USD</v>
      </c>
      <c r="O208" t="str">
        <f ca="1"/>
        <v>Investment Fund</v>
      </c>
      <c r="P208" t="str">
        <f ca="1"/>
        <v/>
      </c>
      <c r="Q208" t="str">
        <f ca="1"/>
        <v/>
      </c>
      <c r="R208" t="str">
        <f ca="1"/>
        <v>CA05580T3010</v>
      </c>
      <c r="S208" t="str">
        <f ca="1"/>
        <v/>
      </c>
      <c r="T208" t="str">
        <f ca="1"/>
        <v>MILBC1US CN Equity</v>
      </c>
      <c r="U208">
        <f ca="1">IF(LEFT(_xll.BDP($T208,U$2),4)="#N/A",0,_xll.BDP($T208,U$2))</f>
        <v>0</v>
      </c>
      <c r="V208" t="e">
        <f>_xll.BDP(#REF!,V$2)</f>
        <v>#REF!</v>
      </c>
      <c r="W208" t="e">
        <f>_xll.BDP(#REF!,W$2)</f>
        <v>#REF!</v>
      </c>
      <c r="X208" t="e">
        <f>_xll.BDP(#REF!,X$2)</f>
        <v>#REF!</v>
      </c>
      <c r="Y208" t="e">
        <f>_xll.BDP(#REF!,Y$2)</f>
        <v>#REF!</v>
      </c>
      <c r="Z208" t="e">
        <f>_xll.BDP(#REF!,Z$2)</f>
        <v>#REF!</v>
      </c>
      <c r="AA208" t="e">
        <f>_xll.BDP(#REF!,AA$2)</f>
        <v>#REF!</v>
      </c>
      <c r="AD208">
        <f ca="1">IF(LEFT(_xll.BDP($T208,AD$2),4)="#N/A",-1,_xll.BDP($T208,AD$2))</f>
        <v>-1</v>
      </c>
    </row>
    <row r="209" spans="1:30">
      <c r="A209">
        <f ca="1"/>
        <v>149</v>
      </c>
      <c r="B209" t="str">
        <f ca="1"/>
        <v>iW ALTERNATIVE SIF</v>
      </c>
      <c r="C209" t="str">
        <f ca="1"/>
        <v>iW ALTERNATIVE SIF</v>
      </c>
      <c r="D209">
        <f ca="1"/>
        <v>68095</v>
      </c>
      <c r="E209" t="str">
        <f ca="1"/>
        <v>APIS LUCROSA</v>
      </c>
      <c r="F209" t="str">
        <f ca="1"/>
        <v>Apis Lucrosa</v>
      </c>
      <c r="G209">
        <f ca="1"/>
        <v>147</v>
      </c>
      <c r="H209" t="str">
        <f ca="1"/>
        <v>Pictet Fund Accounting</v>
      </c>
      <c r="I209" t="str">
        <f ca="1"/>
        <v>17131056-0</v>
      </c>
      <c r="J209" s="50">
        <f ca="1"/>
        <v>44742</v>
      </c>
      <c r="K209">
        <f ca="1"/>
        <v>90</v>
      </c>
      <c r="L209" t="str">
        <f ca="1"/>
        <v>69942-0</v>
      </c>
      <c r="M209" t="str">
        <f ca="1"/>
        <v>EXANE 1-INTEGRALE A EUR -ACC.-</v>
      </c>
      <c r="N209" t="str">
        <f ca="1"/>
        <v>EUR</v>
      </c>
      <c r="O209" t="str">
        <f ca="1"/>
        <v>Investment Fund</v>
      </c>
      <c r="P209" t="str">
        <f ca="1"/>
        <v/>
      </c>
      <c r="Q209" t="str">
        <f ca="1"/>
        <v/>
      </c>
      <c r="R209" t="str">
        <f ca="1"/>
        <v>LU1530925087</v>
      </c>
      <c r="S209" t="str">
        <f ca="1"/>
        <v/>
      </c>
      <c r="T209" t="str">
        <f ca="1"/>
        <v>EX1INTA LX Equity</v>
      </c>
      <c r="U209">
        <f ca="1">IF(LEFT(_xll.BDP($T209,U$2),4)="#N/A",0,_xll.BDP($T209,U$2))</f>
        <v>0</v>
      </c>
      <c r="V209" t="e">
        <f>_xll.BDP(#REF!,V$2)</f>
        <v>#REF!</v>
      </c>
      <c r="W209" t="e">
        <f>_xll.BDP(#REF!,W$2)</f>
        <v>#REF!</v>
      </c>
      <c r="X209" t="e">
        <f>_xll.BDP(#REF!,X$2)</f>
        <v>#REF!</v>
      </c>
      <c r="Y209" t="e">
        <f>_xll.BDP(#REF!,Y$2)</f>
        <v>#REF!</v>
      </c>
      <c r="Z209" t="e">
        <f>_xll.BDP(#REF!,Z$2)</f>
        <v>#REF!</v>
      </c>
      <c r="AA209" t="e">
        <f>_xll.BDP(#REF!,AA$2)</f>
        <v>#REF!</v>
      </c>
      <c r="AD209">
        <f ca="1">IF(LEFT(_xll.BDP($T209,AD$2),4)="#N/A",-1,_xll.BDP($T209,AD$2))</f>
        <v>-1</v>
      </c>
    </row>
    <row r="210" spans="1:30">
      <c r="A210">
        <f ca="1"/>
        <v>149</v>
      </c>
      <c r="B210" t="str">
        <f ca="1"/>
        <v>iW ALTERNATIVE SIF</v>
      </c>
      <c r="C210" t="str">
        <f ca="1"/>
        <v>iW ALTERNATIVE SIF</v>
      </c>
      <c r="D210">
        <f ca="1"/>
        <v>68095</v>
      </c>
      <c r="E210" t="str">
        <f ca="1"/>
        <v>APIS LUCROSA</v>
      </c>
      <c r="F210" t="str">
        <f ca="1"/>
        <v>Apis Lucrosa</v>
      </c>
      <c r="G210">
        <f ca="1"/>
        <v>147</v>
      </c>
      <c r="H210" t="str">
        <f ca="1"/>
        <v>Pictet Fund Accounting</v>
      </c>
      <c r="I210" t="str">
        <f ca="1"/>
        <v>17131058-0</v>
      </c>
      <c r="J210" s="50">
        <f ca="1"/>
        <v>44742</v>
      </c>
      <c r="K210">
        <f ca="1"/>
        <v>25000</v>
      </c>
      <c r="L210" t="str">
        <f ca="1"/>
        <v>79238-0</v>
      </c>
      <c r="M210" t="str">
        <f ca="1"/>
        <v>FIDELITY EMERGING MARKETS LTD VORZ</v>
      </c>
      <c r="N210" t="str">
        <f ca="1"/>
        <v>GBP</v>
      </c>
      <c r="O210" t="str">
        <f ca="1"/>
        <v>Investment Fund</v>
      </c>
      <c r="P210" t="str">
        <f ca="1"/>
        <v/>
      </c>
      <c r="Q210" t="str">
        <f ca="1"/>
        <v/>
      </c>
      <c r="R210" t="str">
        <f ca="1"/>
        <v>GG00B4L0PD47</v>
      </c>
      <c r="S210" t="str">
        <f ca="1"/>
        <v/>
      </c>
      <c r="T210" t="str">
        <f ca="1"/>
        <v>FEML LN Equity</v>
      </c>
      <c r="U210">
        <f ca="1">IF(LEFT(_xll.BDP($T210,U$2),4)="#N/A",0,_xll.BDP($T210,U$2))</f>
        <v>0</v>
      </c>
      <c r="V210" t="e">
        <f>_xll.BDP(#REF!,V$2)</f>
        <v>#REF!</v>
      </c>
      <c r="W210" t="e">
        <f>_xll.BDP(#REF!,W$2)</f>
        <v>#REF!</v>
      </c>
      <c r="X210" t="e">
        <f>_xll.BDP(#REF!,X$2)</f>
        <v>#REF!</v>
      </c>
      <c r="Y210" t="e">
        <f>_xll.BDP(#REF!,Y$2)</f>
        <v>#REF!</v>
      </c>
      <c r="Z210" t="e">
        <f>_xll.BDP(#REF!,Z$2)</f>
        <v>#REF!</v>
      </c>
      <c r="AA210" t="e">
        <f>_xll.BDP(#REF!,AA$2)</f>
        <v>#REF!</v>
      </c>
      <c r="AD210">
        <f ca="1">IF(LEFT(_xll.BDP($T210,AD$2),4)="#N/A",-1,_xll.BDP($T210,AD$2))</f>
        <v>38532.35</v>
      </c>
    </row>
    <row r="211" spans="1:30">
      <c r="A211">
        <f ca="1"/>
        <v>149</v>
      </c>
      <c r="B211" t="str">
        <f ca="1"/>
        <v>iW ALTERNATIVE SIF</v>
      </c>
      <c r="C211" t="str">
        <f ca="1"/>
        <v>iW ALTERNATIVE SIF</v>
      </c>
      <c r="D211">
        <f ca="1"/>
        <v>68095</v>
      </c>
      <c r="E211" t="str">
        <f ca="1"/>
        <v>APIS LUCROSA</v>
      </c>
      <c r="F211" t="str">
        <f ca="1"/>
        <v>Apis Lucrosa</v>
      </c>
      <c r="G211">
        <f ca="1"/>
        <v>147</v>
      </c>
      <c r="H211" t="str">
        <f ca="1"/>
        <v>Pictet Fund Accounting</v>
      </c>
      <c r="I211" t="str">
        <f ca="1"/>
        <v>17131054-0</v>
      </c>
      <c r="J211" s="50">
        <f ca="1"/>
        <v>44742</v>
      </c>
      <c r="K211">
        <f ca="1"/>
        <v>6.4</v>
      </c>
      <c r="L211" t="str">
        <f ca="1"/>
        <v>74826-0</v>
      </c>
      <c r="M211" t="str">
        <f ca="1"/>
        <v>H2O VIVACE SP FCP IC EUR</v>
      </c>
      <c r="N211" t="str">
        <f ca="1"/>
        <v>EUR</v>
      </c>
      <c r="O211" t="str">
        <f ca="1"/>
        <v>Investment Fund</v>
      </c>
      <c r="P211" t="str">
        <f ca="1"/>
        <v/>
      </c>
      <c r="Q211" t="str">
        <f ca="1"/>
        <v/>
      </c>
      <c r="R211" t="str">
        <f ca="1"/>
        <v>FR0013535424</v>
      </c>
      <c r="S211" t="str">
        <f ca="1"/>
        <v/>
      </c>
      <c r="T211" t="str">
        <f ca="1"/>
        <v>H2OVSEI FP Equity</v>
      </c>
      <c r="U211">
        <f ca="1">IF(LEFT(_xll.BDP($T211,U$2),4)="#N/A",0,_xll.BDP($T211,U$2))</f>
        <v>0</v>
      </c>
      <c r="V211" t="e">
        <f>_xll.BDP(#REF!,V$2)</f>
        <v>#REF!</v>
      </c>
      <c r="W211" t="e">
        <f>_xll.BDP(#REF!,W$2)</f>
        <v>#REF!</v>
      </c>
      <c r="X211" t="e">
        <f>_xll.BDP(#REF!,X$2)</f>
        <v>#REF!</v>
      </c>
      <c r="Y211" t="e">
        <f>_xll.BDP(#REF!,Y$2)</f>
        <v>#REF!</v>
      </c>
      <c r="Z211" t="e">
        <f>_xll.BDP(#REF!,Z$2)</f>
        <v>#REF!</v>
      </c>
      <c r="AA211" t="e">
        <f>_xll.BDP(#REF!,AA$2)</f>
        <v>#REF!</v>
      </c>
      <c r="AD211">
        <f ca="1">IF(LEFT(_xll.BDP($T211,AD$2),4)="#N/A",-1,_xll.BDP($T211,AD$2))</f>
        <v>-1</v>
      </c>
    </row>
    <row r="212" spans="1:30">
      <c r="A212">
        <f ca="1"/>
        <v>149</v>
      </c>
      <c r="B212" t="str">
        <f ca="1"/>
        <v>iW ALTERNATIVE SIF</v>
      </c>
      <c r="C212" t="str">
        <f ca="1"/>
        <v>iW ALTERNATIVE SIF</v>
      </c>
      <c r="D212">
        <f ca="1"/>
        <v>68095</v>
      </c>
      <c r="E212" t="str">
        <f ca="1"/>
        <v>APIS LUCROSA</v>
      </c>
      <c r="F212" t="str">
        <f ca="1"/>
        <v>Apis Lucrosa</v>
      </c>
      <c r="G212">
        <f ca="1"/>
        <v>147</v>
      </c>
      <c r="H212" t="str">
        <f ca="1"/>
        <v>Pictet Fund Accounting</v>
      </c>
      <c r="I212" t="str">
        <f ca="1"/>
        <v>17131033-0</v>
      </c>
      <c r="J212" s="50">
        <f ca="1"/>
        <v>44742</v>
      </c>
      <c r="K212">
        <f ca="1"/>
        <v>15700</v>
      </c>
      <c r="L212" t="str">
        <f ca="1"/>
        <v>76180-0</v>
      </c>
      <c r="M212" t="str">
        <f ca="1"/>
        <v>HAMCO GLOBAL VALUE FUND FI I EUR</v>
      </c>
      <c r="N212" t="str">
        <f ca="1"/>
        <v>EUR</v>
      </c>
      <c r="O212" t="str">
        <f ca="1"/>
        <v>Investment Fund</v>
      </c>
      <c r="P212" t="str">
        <f ca="1"/>
        <v/>
      </c>
      <c r="Q212" t="str">
        <f ca="1"/>
        <v/>
      </c>
      <c r="R212" t="str">
        <f ca="1"/>
        <v>ES0141116014</v>
      </c>
      <c r="S212" t="str">
        <f ca="1"/>
        <v/>
      </c>
      <c r="T212" t="str">
        <f ca="1"/>
        <v>HAMGVFI SM Equity</v>
      </c>
      <c r="U212">
        <f ca="1">IF(LEFT(_xll.BDP($T212,U$2),4)="#N/A",0,_xll.BDP($T212,U$2))</f>
        <v>0</v>
      </c>
      <c r="V212" t="e">
        <f>_xll.BDP(#REF!,V$2)</f>
        <v>#REF!</v>
      </c>
      <c r="W212" t="e">
        <f>_xll.BDP(#REF!,W$2)</f>
        <v>#REF!</v>
      </c>
      <c r="X212" t="e">
        <f>_xll.BDP(#REF!,X$2)</f>
        <v>#REF!</v>
      </c>
      <c r="Y212" t="e">
        <f>_xll.BDP(#REF!,Y$2)</f>
        <v>#REF!</v>
      </c>
      <c r="Z212" t="e">
        <f>_xll.BDP(#REF!,Z$2)</f>
        <v>#REF!</v>
      </c>
      <c r="AA212" t="e">
        <f>_xll.BDP(#REF!,AA$2)</f>
        <v>#REF!</v>
      </c>
      <c r="AD212">
        <f ca="1">IF(LEFT(_xll.BDP($T212,AD$2),4)="#N/A",-1,_xll.BDP($T212,AD$2))</f>
        <v>-1</v>
      </c>
    </row>
    <row r="213" spans="1:30">
      <c r="A213">
        <f ca="1"/>
        <v>149</v>
      </c>
      <c r="B213" t="str">
        <f ca="1"/>
        <v>iW ALTERNATIVE SIF</v>
      </c>
      <c r="C213" t="str">
        <f ca="1"/>
        <v>iW ALTERNATIVE SIF</v>
      </c>
      <c r="D213">
        <f ca="1"/>
        <v>68095</v>
      </c>
      <c r="E213" t="str">
        <f ca="1"/>
        <v>APIS LUCROSA</v>
      </c>
      <c r="F213" t="str">
        <f ca="1"/>
        <v>Apis Lucrosa</v>
      </c>
      <c r="G213">
        <f ca="1"/>
        <v>147</v>
      </c>
      <c r="H213" t="str">
        <f ca="1"/>
        <v>Pictet Fund Accounting</v>
      </c>
      <c r="I213" t="str">
        <f ca="1"/>
        <v>17131059-0</v>
      </c>
      <c r="J213" s="50">
        <f ca="1"/>
        <v>44742</v>
      </c>
      <c r="K213">
        <f ca="1"/>
        <v>1700</v>
      </c>
      <c r="L213" t="str">
        <f ca="1"/>
        <v>69760-0</v>
      </c>
      <c r="M213" t="str">
        <f ca="1"/>
        <v>IW ALTERNATIVE-COMMODITIES P EUR</v>
      </c>
      <c r="N213" t="str">
        <f ca="1"/>
        <v>EUR</v>
      </c>
      <c r="O213" t="str">
        <f ca="1"/>
        <v>Investment Fund</v>
      </c>
      <c r="P213" t="str">
        <f ca="1"/>
        <v/>
      </c>
      <c r="Q213" t="str">
        <f ca="1"/>
        <v/>
      </c>
      <c r="R213" t="str">
        <f ca="1"/>
        <v>LU0762436201</v>
      </c>
      <c r="S213" t="str">
        <f ca="1"/>
        <v/>
      </c>
      <c r="T213" t="str">
        <f ca="1"/>
        <v>IWCOMPE LX Equity</v>
      </c>
      <c r="U213">
        <f ca="1">IF(LEFT(_xll.BDP($T213,U$2),4)="#N/A",0,_xll.BDP($T213,U$2))</f>
        <v>0</v>
      </c>
      <c r="V213" t="e">
        <f>_xll.BDP(#REF!,V$2)</f>
        <v>#REF!</v>
      </c>
      <c r="W213" t="e">
        <f>_xll.BDP(#REF!,W$2)</f>
        <v>#REF!</v>
      </c>
      <c r="X213" t="e">
        <f>_xll.BDP(#REF!,X$2)</f>
        <v>#REF!</v>
      </c>
      <c r="Y213" t="e">
        <f>_xll.BDP(#REF!,Y$2)</f>
        <v>#REF!</v>
      </c>
      <c r="Z213" t="e">
        <f>_xll.BDP(#REF!,Z$2)</f>
        <v>#REF!</v>
      </c>
      <c r="AA213" t="e">
        <f>_xll.BDP(#REF!,AA$2)</f>
        <v>#REF!</v>
      </c>
      <c r="AD213">
        <f ca="1">IF(LEFT(_xll.BDP($T213,AD$2),4)="#N/A",-1,_xll.BDP($T213,AD$2))</f>
        <v>-1</v>
      </c>
    </row>
    <row r="214" spans="1:30">
      <c r="A214">
        <f ca="1"/>
        <v>149</v>
      </c>
      <c r="B214" t="str">
        <f ca="1"/>
        <v>iW ALTERNATIVE SIF</v>
      </c>
      <c r="C214" t="str">
        <f ca="1"/>
        <v>iW ALTERNATIVE SIF</v>
      </c>
      <c r="D214">
        <f ca="1"/>
        <v>68095</v>
      </c>
      <c r="E214" t="str">
        <f ca="1"/>
        <v>APIS LUCROSA</v>
      </c>
      <c r="F214" t="str">
        <f ca="1"/>
        <v>Apis Lucrosa</v>
      </c>
      <c r="G214">
        <f ca="1"/>
        <v>147</v>
      </c>
      <c r="H214" t="str">
        <f ca="1"/>
        <v>Pictet Fund Accounting</v>
      </c>
      <c r="I214" t="str">
        <f ca="1"/>
        <v>17131039-0</v>
      </c>
      <c r="J214" s="50">
        <f ca="1"/>
        <v>44742</v>
      </c>
      <c r="K214">
        <f ca="1"/>
        <v>109000</v>
      </c>
      <c r="L214" t="str">
        <f ca="1"/>
        <v>69935-0</v>
      </c>
      <c r="M214" t="str">
        <f ca="1"/>
        <v>OAKS EMERGING &amp; FRONTIER OPPS A EUR</v>
      </c>
      <c r="N214" t="str">
        <f ca="1"/>
        <v>EUR</v>
      </c>
      <c r="O214" t="str">
        <f ca="1"/>
        <v>Investment Fund</v>
      </c>
      <c r="P214" t="str">
        <f ca="1"/>
        <v/>
      </c>
      <c r="Q214" t="str">
        <f ca="1"/>
        <v/>
      </c>
      <c r="R214" t="str">
        <f ca="1"/>
        <v>IE00B95L3899</v>
      </c>
      <c r="S214" t="str">
        <f ca="1"/>
        <v/>
      </c>
      <c r="T214" t="str">
        <f ca="1"/>
        <v>OEFOAAE ID Equity</v>
      </c>
      <c r="U214">
        <f ca="1">IF(LEFT(_xll.BDP($T214,U$2),4)="#N/A",0,_xll.BDP($T214,U$2))</f>
        <v>0</v>
      </c>
      <c r="V214" t="e">
        <f>_xll.BDP(#REF!,V$2)</f>
        <v>#REF!</v>
      </c>
      <c r="W214" t="e">
        <f>_xll.BDP(#REF!,W$2)</f>
        <v>#REF!</v>
      </c>
      <c r="X214" t="e">
        <f>_xll.BDP(#REF!,X$2)</f>
        <v>#REF!</v>
      </c>
      <c r="Y214" t="e">
        <f>_xll.BDP(#REF!,Y$2)</f>
        <v>#REF!</v>
      </c>
      <c r="Z214" t="e">
        <f>_xll.BDP(#REF!,Z$2)</f>
        <v>#REF!</v>
      </c>
      <c r="AA214" t="e">
        <f>_xll.BDP(#REF!,AA$2)</f>
        <v>#REF!</v>
      </c>
      <c r="AD214">
        <f ca="1">IF(LEFT(_xll.BDP($T214,AD$2),4)="#N/A",-1,_xll.BDP($T214,AD$2))</f>
        <v>-1</v>
      </c>
    </row>
    <row r="215" spans="1:30">
      <c r="A215">
        <f ca="1"/>
        <v>149</v>
      </c>
      <c r="B215" t="str">
        <f ca="1"/>
        <v>iW ALTERNATIVE SIF</v>
      </c>
      <c r="C215" t="str">
        <f ca="1"/>
        <v>iW ALTERNATIVE SIF</v>
      </c>
      <c r="D215">
        <f ca="1"/>
        <v>68095</v>
      </c>
      <c r="E215" t="str">
        <f ca="1"/>
        <v>APIS LUCROSA</v>
      </c>
      <c r="F215" t="str">
        <f ca="1"/>
        <v>Apis Lucrosa</v>
      </c>
      <c r="G215">
        <f ca="1"/>
        <v>147</v>
      </c>
      <c r="H215" t="str">
        <f ca="1"/>
        <v>Pictet Fund Accounting</v>
      </c>
      <c r="I215" t="str">
        <f ca="1"/>
        <v>17131046-0</v>
      </c>
      <c r="J215" s="50">
        <f ca="1"/>
        <v>44742</v>
      </c>
      <c r="K215">
        <f ca="1"/>
        <v>3525.64</v>
      </c>
      <c r="L215" t="str">
        <f ca="1"/>
        <v>69937-0</v>
      </c>
      <c r="M215" t="str">
        <f ca="1"/>
        <v>PARUS FUND A EUR -ACC.-</v>
      </c>
      <c r="N215" t="str">
        <f ca="1"/>
        <v>EUR</v>
      </c>
      <c r="O215" t="str">
        <f ca="1"/>
        <v>Investment Fund</v>
      </c>
      <c r="P215" t="str">
        <f ca="1"/>
        <v/>
      </c>
      <c r="Q215" t="str">
        <f ca="1"/>
        <v/>
      </c>
      <c r="R215" t="str">
        <f ca="1"/>
        <v>IE0031102746</v>
      </c>
      <c r="S215" t="str">
        <f ca="1"/>
        <v/>
      </c>
      <c r="T215" t="str">
        <f ca="1"/>
        <v>PARFNDA ID Equity</v>
      </c>
      <c r="U215">
        <f ca="1">IF(LEFT(_xll.BDP($T215,U$2),4)="#N/A",0,_xll.BDP($T215,U$2))</f>
        <v>0</v>
      </c>
      <c r="V215" t="e">
        <f>_xll.BDP(#REF!,V$2)</f>
        <v>#REF!</v>
      </c>
      <c r="W215" t="e">
        <f>_xll.BDP(#REF!,W$2)</f>
        <v>#REF!</v>
      </c>
      <c r="X215" t="e">
        <f>_xll.BDP(#REF!,X$2)</f>
        <v>#REF!</v>
      </c>
      <c r="Y215" t="e">
        <f>_xll.BDP(#REF!,Y$2)</f>
        <v>#REF!</v>
      </c>
      <c r="Z215" t="e">
        <f>_xll.BDP(#REF!,Z$2)</f>
        <v>#REF!</v>
      </c>
      <c r="AA215" t="e">
        <f>_xll.BDP(#REF!,AA$2)</f>
        <v>#REF!</v>
      </c>
      <c r="AD215">
        <f ca="1">IF(LEFT(_xll.BDP($T215,AD$2),4)="#N/A",-1,_xll.BDP($T215,AD$2))</f>
        <v>-1</v>
      </c>
    </row>
    <row r="216" spans="1:30">
      <c r="A216">
        <f ca="1"/>
        <v>149</v>
      </c>
      <c r="B216" t="str">
        <f ca="1"/>
        <v>iW ALTERNATIVE SIF</v>
      </c>
      <c r="C216" t="str">
        <f ca="1"/>
        <v>iW ALTERNATIVE SIF</v>
      </c>
      <c r="D216">
        <f ca="1"/>
        <v>68095</v>
      </c>
      <c r="E216" t="str">
        <f ca="1"/>
        <v>APIS LUCROSA</v>
      </c>
      <c r="F216" t="str">
        <f ca="1"/>
        <v>Apis Lucrosa</v>
      </c>
      <c r="G216">
        <f ca="1"/>
        <v>147</v>
      </c>
      <c r="H216" t="str">
        <f ca="1"/>
        <v>Pictet Fund Accounting</v>
      </c>
      <c r="I216" t="str">
        <f ca="1"/>
        <v>17131053-0</v>
      </c>
      <c r="J216" s="50">
        <f ca="1"/>
        <v>44742</v>
      </c>
      <c r="K216">
        <f ca="1"/>
        <v>522.94949999999994</v>
      </c>
      <c r="L216" t="str">
        <f ca="1"/>
        <v>69941-0</v>
      </c>
      <c r="M216" t="str">
        <f ca="1"/>
        <v>POLUNIN-EM.MKT SMALL CAP FUND A-INC</v>
      </c>
      <c r="N216" t="str">
        <f ca="1"/>
        <v>USD</v>
      </c>
      <c r="O216" t="str">
        <f ca="1"/>
        <v>Investment Fund</v>
      </c>
      <c r="P216" t="str">
        <f ca="1"/>
        <v/>
      </c>
      <c r="Q216" t="str">
        <f ca="1"/>
        <v/>
      </c>
      <c r="R216" t="str">
        <f ca="1"/>
        <v>LU0327175609</v>
      </c>
      <c r="S216" t="str">
        <f ca="1"/>
        <v/>
      </c>
      <c r="T216" t="str">
        <f ca="1"/>
        <v>POLSMLC LX Equity</v>
      </c>
      <c r="U216">
        <f ca="1">IF(LEFT(_xll.BDP($T216,U$2),4)="#N/A",0,_xll.BDP($T216,U$2))</f>
        <v>0</v>
      </c>
      <c r="V216" t="e">
        <f>_xll.BDP(#REF!,V$2)</f>
        <v>#REF!</v>
      </c>
      <c r="W216" t="e">
        <f>_xll.BDP(#REF!,W$2)</f>
        <v>#REF!</v>
      </c>
      <c r="X216" t="e">
        <f>_xll.BDP(#REF!,X$2)</f>
        <v>#REF!</v>
      </c>
      <c r="Y216" t="e">
        <f>_xll.BDP(#REF!,Y$2)</f>
        <v>#REF!</v>
      </c>
      <c r="Z216" t="e">
        <f>_xll.BDP(#REF!,Z$2)</f>
        <v>#REF!</v>
      </c>
      <c r="AA216" t="e">
        <f>_xll.BDP(#REF!,AA$2)</f>
        <v>#REF!</v>
      </c>
      <c r="AD216">
        <f ca="1">IF(LEFT(_xll.BDP($T216,AD$2),4)="#N/A",-1,_xll.BDP($T216,AD$2))</f>
        <v>-1</v>
      </c>
    </row>
    <row r="217" spans="1:30">
      <c r="A217">
        <f ca="1"/>
        <v>149</v>
      </c>
      <c r="B217" t="str">
        <f ca="1"/>
        <v>iW ALTERNATIVE SIF</v>
      </c>
      <c r="C217" t="str">
        <f ca="1"/>
        <v>iW ALTERNATIVE SIF</v>
      </c>
      <c r="D217">
        <f ca="1"/>
        <v>68095</v>
      </c>
      <c r="E217" t="str">
        <f ca="1"/>
        <v>APIS LUCROSA</v>
      </c>
      <c r="F217" t="str">
        <f ca="1"/>
        <v>Apis Lucrosa</v>
      </c>
      <c r="G217">
        <f ca="1"/>
        <v>147</v>
      </c>
      <c r="H217" t="str">
        <f ca="1"/>
        <v>Pictet Fund Accounting</v>
      </c>
      <c r="I217" t="str">
        <f ca="1"/>
        <v>17131044-0</v>
      </c>
      <c r="J217" s="50">
        <f ca="1"/>
        <v>44742</v>
      </c>
      <c r="K217">
        <f ca="1"/>
        <v>16600</v>
      </c>
      <c r="L217" t="str">
        <f ca="1"/>
        <v>67921-0</v>
      </c>
      <c r="M217" t="str">
        <f ca="1"/>
        <v>PROTEA II-IW PR.M.MIN.EQ.S1 EUR-ACC</v>
      </c>
      <c r="N217" t="str">
        <f ca="1"/>
        <v>EUR</v>
      </c>
      <c r="O217" t="str">
        <f ca="1"/>
        <v>Investment Fund</v>
      </c>
      <c r="P217" t="str">
        <f ca="1"/>
        <v/>
      </c>
      <c r="Q217" t="str">
        <f ca="1"/>
        <v/>
      </c>
      <c r="R217" t="str">
        <f ca="1"/>
        <v>LU1726319756</v>
      </c>
      <c r="S217" t="str">
        <f ca="1"/>
        <v/>
      </c>
      <c r="T217" t="str">
        <f ca="1"/>
        <v>PMMS1EC LX Equity</v>
      </c>
      <c r="U217">
        <f ca="1">IF(LEFT(_xll.BDP($T217,U$2),4)="#N/A",0,_xll.BDP($T217,U$2))</f>
        <v>0</v>
      </c>
      <c r="V217" t="e">
        <f>_xll.BDP(#REF!,V$2)</f>
        <v>#REF!</v>
      </c>
      <c r="W217" t="e">
        <f>_xll.BDP(#REF!,W$2)</f>
        <v>#REF!</v>
      </c>
      <c r="X217" t="e">
        <f>_xll.BDP(#REF!,X$2)</f>
        <v>#REF!</v>
      </c>
      <c r="Y217" t="e">
        <f>_xll.BDP(#REF!,Y$2)</f>
        <v>#REF!</v>
      </c>
      <c r="Z217" t="e">
        <f>_xll.BDP(#REF!,Z$2)</f>
        <v>#REF!</v>
      </c>
      <c r="AA217" t="e">
        <f>_xll.BDP(#REF!,AA$2)</f>
        <v>#REF!</v>
      </c>
      <c r="AD217">
        <f ca="1">IF(LEFT(_xll.BDP($T217,AD$2),4)="#N/A",-1,_xll.BDP($T217,AD$2))</f>
        <v>-1</v>
      </c>
    </row>
    <row r="218" spans="1:30">
      <c r="A218">
        <f ca="1"/>
        <v>149</v>
      </c>
      <c r="B218" t="str">
        <f ca="1"/>
        <v>iW ALTERNATIVE SIF</v>
      </c>
      <c r="C218" t="str">
        <f ca="1"/>
        <v>iW ALTERNATIVE SIF</v>
      </c>
      <c r="D218">
        <f ca="1"/>
        <v>68095</v>
      </c>
      <c r="E218" t="str">
        <f ca="1"/>
        <v>APIS LUCROSA</v>
      </c>
      <c r="F218" t="str">
        <f ca="1"/>
        <v>Apis Lucrosa</v>
      </c>
      <c r="G218">
        <f ca="1"/>
        <v>147</v>
      </c>
      <c r="H218" t="str">
        <f ca="1"/>
        <v>Pictet Fund Accounting</v>
      </c>
      <c r="I218" t="str">
        <f ca="1"/>
        <v>17131043-0</v>
      </c>
      <c r="J218" s="50">
        <f ca="1"/>
        <v>44742</v>
      </c>
      <c r="K218">
        <f ca="1"/>
        <v>3900</v>
      </c>
      <c r="L218" t="str">
        <f ca="1"/>
        <v>69936-0</v>
      </c>
      <c r="M218" t="str">
        <f ca="1"/>
        <v>VARENNE SELECTION-A EUR</v>
      </c>
      <c r="N218" t="str">
        <f ca="1"/>
        <v>EUR</v>
      </c>
      <c r="O218" t="str">
        <f ca="1"/>
        <v>Investment Fund</v>
      </c>
      <c r="P218" t="str">
        <f ca="1"/>
        <v/>
      </c>
      <c r="Q218" t="str">
        <f ca="1"/>
        <v/>
      </c>
      <c r="R218" t="str">
        <f ca="1"/>
        <v>FR0010392225</v>
      </c>
      <c r="S218" t="str">
        <f ca="1"/>
        <v/>
      </c>
      <c r="T218" t="str">
        <f ca="1"/>
        <v>VARSLCT FP Equity</v>
      </c>
      <c r="U218">
        <f ca="1">IF(LEFT(_xll.BDP($T218,U$2),4)="#N/A",0,_xll.BDP($T218,U$2))</f>
        <v>0</v>
      </c>
      <c r="V218" t="e">
        <f>_xll.BDP(#REF!,V$2)</f>
        <v>#REF!</v>
      </c>
      <c r="W218" t="e">
        <f>_xll.BDP(#REF!,W$2)</f>
        <v>#REF!</v>
      </c>
      <c r="X218" t="e">
        <f>_xll.BDP(#REF!,X$2)</f>
        <v>#REF!</v>
      </c>
      <c r="Y218" t="e">
        <f>_xll.BDP(#REF!,Y$2)</f>
        <v>#REF!</v>
      </c>
      <c r="Z218" t="e">
        <f>_xll.BDP(#REF!,Z$2)</f>
        <v>#REF!</v>
      </c>
      <c r="AA218" t="e">
        <f>_xll.BDP(#REF!,AA$2)</f>
        <v>#REF!</v>
      </c>
      <c r="AD218">
        <f ca="1">IF(LEFT(_xll.BDP($T218,AD$2),4)="#N/A",-1,_xll.BDP($T218,AD$2))</f>
        <v>-1</v>
      </c>
    </row>
    <row r="219" spans="1:30">
      <c r="A219">
        <f ca="1"/>
        <v>149</v>
      </c>
      <c r="B219" t="str">
        <f ca="1"/>
        <v>iW ALTERNATIVE SIF</v>
      </c>
      <c r="C219" t="str">
        <f ca="1"/>
        <v>iW ALTERNATIVE SIF</v>
      </c>
      <c r="D219">
        <f ca="1"/>
        <v>68095</v>
      </c>
      <c r="E219" t="str">
        <f ca="1"/>
        <v>APIS LUCROSA</v>
      </c>
      <c r="F219" t="str">
        <f ca="1"/>
        <v>Apis Lucrosa</v>
      </c>
      <c r="G219">
        <f ca="1"/>
        <v>147</v>
      </c>
      <c r="H219" t="str">
        <f ca="1"/>
        <v>Pictet Fund Accounting</v>
      </c>
      <c r="I219" t="str">
        <f ca="1"/>
        <v>17131060-0</v>
      </c>
      <c r="J219" s="50">
        <f ca="1"/>
        <v>44742</v>
      </c>
      <c r="K219">
        <f ca="1"/>
        <v>-2054.79</v>
      </c>
      <c r="L219" t="str">
        <f ca="1"/>
        <v>67904-0</v>
      </c>
      <c r="M219" t="str">
        <f ca="1"/>
        <v>Prov Risk Management fees</v>
      </c>
      <c r="N219" t="str">
        <f ca="1"/>
        <v>EUR</v>
      </c>
      <c r="O219" t="str">
        <f ca="1"/>
        <v>Uncategorized (Treasury)</v>
      </c>
      <c r="P219" t="str">
        <f ca="1"/>
        <v/>
      </c>
      <c r="Q219" t="str">
        <f ca="1"/>
        <v/>
      </c>
      <c r="R219" t="str">
        <f ca="1"/>
        <v/>
      </c>
      <c r="S219" t="str">
        <f ca="1"/>
        <v/>
      </c>
      <c r="T219" t="str">
        <f ca="1"/>
        <v/>
      </c>
      <c r="U219">
        <f ca="1">IF(LEFT(_xll.BDP($T219,U$2),4)="#N/A",0,_xll.BDP($T219,U$2))</f>
        <v>0</v>
      </c>
      <c r="V219" t="e">
        <f>_xll.BDP(#REF!,V$2)</f>
        <v>#REF!</v>
      </c>
      <c r="W219" t="e">
        <f>_xll.BDP(#REF!,W$2)</f>
        <v>#REF!</v>
      </c>
      <c r="X219" t="e">
        <f>_xll.BDP(#REF!,X$2)</f>
        <v>#REF!</v>
      </c>
      <c r="Y219" t="e">
        <f>_xll.BDP(#REF!,Y$2)</f>
        <v>#REF!</v>
      </c>
      <c r="Z219" t="e">
        <f>_xll.BDP(#REF!,Z$2)</f>
        <v>#REF!</v>
      </c>
      <c r="AA219" t="e">
        <f>_xll.BDP(#REF!,AA$2)</f>
        <v>#REF!</v>
      </c>
      <c r="AD219">
        <f ca="1">IF(LEFT(_xll.BDP($T219,AD$2),4)="#N/A",-1,_xll.BDP($T219,AD$2))</f>
        <v>-1</v>
      </c>
    </row>
    <row r="220" spans="1:30">
      <c r="A220">
        <f ca="1"/>
        <v>149</v>
      </c>
      <c r="B220" t="str">
        <f ca="1"/>
        <v>iW ALTERNATIVE SIF</v>
      </c>
      <c r="C220" t="str">
        <f ca="1"/>
        <v>iW ALTERNATIVE SIF</v>
      </c>
      <c r="D220">
        <f ca="1"/>
        <v>68095</v>
      </c>
      <c r="E220" t="str">
        <f ca="1"/>
        <v>APIS LUCROSA</v>
      </c>
      <c r="F220" t="str">
        <f ca="1"/>
        <v>Apis Lucrosa</v>
      </c>
      <c r="G220">
        <f ca="1"/>
        <v>147</v>
      </c>
      <c r="H220" t="str">
        <f ca="1"/>
        <v>Pictet Fund Accounting</v>
      </c>
      <c r="I220" t="str">
        <f ca="1"/>
        <v>17131040-0</v>
      </c>
      <c r="J220" s="50">
        <f ca="1"/>
        <v>44742</v>
      </c>
      <c r="K220">
        <f ca="1"/>
        <v>-3716.18</v>
      </c>
      <c r="L220" t="str">
        <f ca="1"/>
        <v>67899-0</v>
      </c>
      <c r="M220" t="str">
        <f ca="1"/>
        <v>Provis/paiemt audit fees ant</v>
      </c>
      <c r="N220" t="str">
        <f ca="1"/>
        <v>EUR</v>
      </c>
      <c r="O220" t="str">
        <f ca="1"/>
        <v>Uncategorized (Treasury)</v>
      </c>
      <c r="P220" t="str">
        <f ca="1"/>
        <v/>
      </c>
      <c r="Q220" t="str">
        <f ca="1"/>
        <v/>
      </c>
      <c r="R220" t="str">
        <f ca="1"/>
        <v/>
      </c>
      <c r="S220" t="str">
        <f ca="1"/>
        <v/>
      </c>
      <c r="T220" t="str">
        <f ca="1"/>
        <v/>
      </c>
      <c r="U220">
        <f ca="1">IF(LEFT(_xll.BDP($T220,U$2),4)="#N/A",0,_xll.BDP($T220,U$2))</f>
        <v>0</v>
      </c>
      <c r="V220" t="e">
        <f>_xll.BDP(#REF!,V$2)</f>
        <v>#REF!</v>
      </c>
      <c r="W220" t="e">
        <f>_xll.BDP(#REF!,W$2)</f>
        <v>#REF!</v>
      </c>
      <c r="X220" t="e">
        <f>_xll.BDP(#REF!,X$2)</f>
        <v>#REF!</v>
      </c>
      <c r="Y220" t="e">
        <f>_xll.BDP(#REF!,Y$2)</f>
        <v>#REF!</v>
      </c>
      <c r="Z220" t="e">
        <f>_xll.BDP(#REF!,Z$2)</f>
        <v>#REF!</v>
      </c>
      <c r="AA220" t="e">
        <f>_xll.BDP(#REF!,AA$2)</f>
        <v>#REF!</v>
      </c>
      <c r="AD220">
        <f ca="1">IF(LEFT(_xll.BDP($T220,AD$2),4)="#N/A",-1,_xll.BDP($T220,AD$2))</f>
        <v>-1</v>
      </c>
    </row>
    <row r="221" spans="1:30">
      <c r="A221">
        <f ca="1"/>
        <v>149</v>
      </c>
      <c r="B221" t="str">
        <f ca="1"/>
        <v>iW ALTERNATIVE SIF</v>
      </c>
      <c r="C221" t="str">
        <f ca="1"/>
        <v>iW ALTERNATIVE SIF</v>
      </c>
      <c r="D221">
        <f ca="1"/>
        <v>68095</v>
      </c>
      <c r="E221" t="str">
        <f ca="1"/>
        <v>APIS LUCROSA</v>
      </c>
      <c r="F221" t="str">
        <f ca="1"/>
        <v>Apis Lucrosa</v>
      </c>
      <c r="G221">
        <f ca="1"/>
        <v>147</v>
      </c>
      <c r="H221" t="str">
        <f ca="1"/>
        <v>Pictet Fund Accounting</v>
      </c>
      <c r="I221" t="str">
        <f ca="1"/>
        <v>17131049-0</v>
      </c>
      <c r="J221" s="50">
        <f ca="1"/>
        <v>44742</v>
      </c>
      <c r="K221">
        <f ca="1"/>
        <v>-8634.73</v>
      </c>
      <c r="L221" t="str">
        <f ca="1"/>
        <v>67895-0</v>
      </c>
      <c r="M221" t="str">
        <f ca="1"/>
        <v>Provision administration fee</v>
      </c>
      <c r="N221" t="str">
        <f ca="1"/>
        <v>EUR</v>
      </c>
      <c r="O221" t="str">
        <f ca="1"/>
        <v>Uncategorized (Treasury)</v>
      </c>
      <c r="P221" t="str">
        <f ca="1"/>
        <v/>
      </c>
      <c r="Q221" t="str">
        <f ca="1"/>
        <v/>
      </c>
      <c r="R221" t="str">
        <f ca="1"/>
        <v/>
      </c>
      <c r="S221" t="str">
        <f ca="1"/>
        <v/>
      </c>
      <c r="T221" t="str">
        <f ca="1"/>
        <v/>
      </c>
      <c r="U221">
        <f ca="1">IF(LEFT(_xll.BDP($T221,U$2),4)="#N/A",0,_xll.BDP($T221,U$2))</f>
        <v>0</v>
      </c>
      <c r="V221" t="e">
        <f>_xll.BDP(#REF!,V$2)</f>
        <v>#REF!</v>
      </c>
      <c r="W221" t="e">
        <f>_xll.BDP(#REF!,W$2)</f>
        <v>#REF!</v>
      </c>
      <c r="X221" t="e">
        <f>_xll.BDP(#REF!,X$2)</f>
        <v>#REF!</v>
      </c>
      <c r="Y221" t="e">
        <f>_xll.BDP(#REF!,Y$2)</f>
        <v>#REF!</v>
      </c>
      <c r="Z221" t="e">
        <f>_xll.BDP(#REF!,Z$2)</f>
        <v>#REF!</v>
      </c>
      <c r="AA221" t="e">
        <f>_xll.BDP(#REF!,AA$2)</f>
        <v>#REF!</v>
      </c>
      <c r="AD221">
        <f ca="1">IF(LEFT(_xll.BDP($T221,AD$2),4)="#N/A",-1,_xll.BDP($T221,AD$2))</f>
        <v>-1</v>
      </c>
    </row>
    <row r="222" spans="1:30">
      <c r="A222">
        <f ca="1"/>
        <v>149</v>
      </c>
      <c r="B222" t="str">
        <f ca="1"/>
        <v>iW ALTERNATIVE SIF</v>
      </c>
      <c r="C222" t="str">
        <f ca="1"/>
        <v>iW ALTERNATIVE SIF</v>
      </c>
      <c r="D222">
        <f ca="1"/>
        <v>68095</v>
      </c>
      <c r="E222" t="str">
        <f ca="1"/>
        <v>APIS LUCROSA</v>
      </c>
      <c r="F222" t="str">
        <f ca="1"/>
        <v>Apis Lucrosa</v>
      </c>
      <c r="G222">
        <f ca="1"/>
        <v>147</v>
      </c>
      <c r="H222" t="str">
        <f ca="1"/>
        <v>Pictet Fund Accounting</v>
      </c>
      <c r="I222" t="str">
        <f ca="1"/>
        <v>17131047-0</v>
      </c>
      <c r="J222" s="50">
        <f ca="1"/>
        <v>44742</v>
      </c>
      <c r="K222">
        <f ca="1"/>
        <v>-1458.49</v>
      </c>
      <c r="L222" t="str">
        <f ca="1"/>
        <v>67890-0</v>
      </c>
      <c r="M222" t="str">
        <f ca="1"/>
        <v>Provision AIFM Fees</v>
      </c>
      <c r="N222" t="str">
        <f ca="1"/>
        <v>EUR</v>
      </c>
      <c r="O222" t="str">
        <f ca="1"/>
        <v>Uncategorized (Treasury)</v>
      </c>
      <c r="P222" t="str">
        <f ca="1"/>
        <v/>
      </c>
      <c r="Q222" t="str">
        <f ca="1"/>
        <v/>
      </c>
      <c r="R222" t="str">
        <f ca="1"/>
        <v/>
      </c>
      <c r="S222" t="str">
        <f ca="1"/>
        <v/>
      </c>
      <c r="T222" t="str">
        <f ca="1"/>
        <v/>
      </c>
      <c r="U222">
        <f ca="1">IF(LEFT(_xll.BDP($T222,U$2),4)="#N/A",0,_xll.BDP($T222,U$2))</f>
        <v>0</v>
      </c>
      <c r="V222" t="e">
        <f>_xll.BDP(#REF!,V$2)</f>
        <v>#REF!</v>
      </c>
      <c r="W222" t="e">
        <f>_xll.BDP(#REF!,W$2)</f>
        <v>#REF!</v>
      </c>
      <c r="X222" t="e">
        <f>_xll.BDP(#REF!,X$2)</f>
        <v>#REF!</v>
      </c>
      <c r="Y222" t="e">
        <f>_xll.BDP(#REF!,Y$2)</f>
        <v>#REF!</v>
      </c>
      <c r="Z222" t="e">
        <f>_xll.BDP(#REF!,Z$2)</f>
        <v>#REF!</v>
      </c>
      <c r="AA222" t="e">
        <f>_xll.BDP(#REF!,AA$2)</f>
        <v>#REF!</v>
      </c>
      <c r="AD222">
        <f ca="1">IF(LEFT(_xll.BDP($T222,AD$2),4)="#N/A",-1,_xll.BDP($T222,AD$2))</f>
        <v>-1</v>
      </c>
    </row>
    <row r="223" spans="1:30">
      <c r="A223">
        <f ca="1"/>
        <v>149</v>
      </c>
      <c r="B223" t="str">
        <f ca="1"/>
        <v>iW ALTERNATIVE SIF</v>
      </c>
      <c r="C223" t="str">
        <f ca="1"/>
        <v>iW ALTERNATIVE SIF</v>
      </c>
      <c r="D223">
        <f ca="1"/>
        <v>68095</v>
      </c>
      <c r="E223" t="str">
        <f ca="1"/>
        <v>APIS LUCROSA</v>
      </c>
      <c r="F223" t="str">
        <f ca="1"/>
        <v>Apis Lucrosa</v>
      </c>
      <c r="G223">
        <f ca="1"/>
        <v>147</v>
      </c>
      <c r="H223" t="str">
        <f ca="1"/>
        <v>Pictet Fund Accounting</v>
      </c>
      <c r="I223" t="str">
        <f ca="1"/>
        <v>17131055-0</v>
      </c>
      <c r="J223" s="50">
        <f ca="1"/>
        <v>44742</v>
      </c>
      <c r="K223">
        <f ca="1"/>
        <v>-151.11000000000001</v>
      </c>
      <c r="L223" t="str">
        <f ca="1"/>
        <v>123132-0</v>
      </c>
      <c r="M223" t="str">
        <f ca="1"/>
        <v>Provision AIFM Legal Reporting</v>
      </c>
      <c r="N223" t="str">
        <f ca="1"/>
        <v>EUR</v>
      </c>
      <c r="O223" t="str">
        <f ca="1"/>
        <v>Uncategorized (Treasury)</v>
      </c>
      <c r="P223" t="str">
        <f ca="1"/>
        <v/>
      </c>
      <c r="Q223" t="str">
        <f ca="1"/>
        <v/>
      </c>
      <c r="R223" t="str">
        <f ca="1"/>
        <v/>
      </c>
      <c r="S223" t="str">
        <f ca="1"/>
        <v/>
      </c>
      <c r="T223" t="str">
        <f ca="1"/>
        <v/>
      </c>
      <c r="U223">
        <f ca="1">IF(LEFT(_xll.BDP($T223,U$2),4)="#N/A",0,_xll.BDP($T223,U$2))</f>
        <v>0</v>
      </c>
      <c r="V223" t="e">
        <f>_xll.BDP(#REF!,V$2)</f>
        <v>#REF!</v>
      </c>
      <c r="W223" t="e">
        <f>_xll.BDP(#REF!,W$2)</f>
        <v>#REF!</v>
      </c>
      <c r="X223" t="e">
        <f>_xll.BDP(#REF!,X$2)</f>
        <v>#REF!</v>
      </c>
      <c r="Y223" t="e">
        <f>_xll.BDP(#REF!,Y$2)</f>
        <v>#REF!</v>
      </c>
      <c r="Z223" t="e">
        <f>_xll.BDP(#REF!,Z$2)</f>
        <v>#REF!</v>
      </c>
      <c r="AA223" t="e">
        <f>_xll.BDP(#REF!,AA$2)</f>
        <v>#REF!</v>
      </c>
      <c r="AD223">
        <f ca="1">IF(LEFT(_xll.BDP($T223,AD$2),4)="#N/A",-1,_xll.BDP($T223,AD$2))</f>
        <v>-1</v>
      </c>
    </row>
    <row r="224" spans="1:30">
      <c r="A224">
        <f ca="1"/>
        <v>149</v>
      </c>
      <c r="B224" t="str">
        <f ca="1"/>
        <v>iW ALTERNATIVE SIF</v>
      </c>
      <c r="C224" t="str">
        <f ca="1"/>
        <v>iW ALTERNATIVE SIF</v>
      </c>
      <c r="D224">
        <f ca="1"/>
        <v>68095</v>
      </c>
      <c r="E224" t="str">
        <f ca="1"/>
        <v>APIS LUCROSA</v>
      </c>
      <c r="F224" t="str">
        <f ca="1"/>
        <v>Apis Lucrosa</v>
      </c>
      <c r="G224">
        <f ca="1"/>
        <v>147</v>
      </c>
      <c r="H224" t="str">
        <f ca="1"/>
        <v>Pictet Fund Accounting</v>
      </c>
      <c r="I224" t="str">
        <f ca="1"/>
        <v>17131034-0</v>
      </c>
      <c r="J224" s="50">
        <f ca="1"/>
        <v>44742</v>
      </c>
      <c r="K224">
        <f ca="1"/>
        <v>-5247.17</v>
      </c>
      <c r="L224" t="str">
        <f ca="1"/>
        <v>67889-0</v>
      </c>
      <c r="M224" t="str">
        <f ca="1"/>
        <v>Provision audit fees</v>
      </c>
      <c r="N224" t="str">
        <f ca="1"/>
        <v>EUR</v>
      </c>
      <c r="O224" t="str">
        <f ca="1"/>
        <v>Uncategorized (Treasury)</v>
      </c>
      <c r="P224" t="str">
        <f ca="1"/>
        <v/>
      </c>
      <c r="Q224" t="str">
        <f ca="1"/>
        <v/>
      </c>
      <c r="R224" t="str">
        <f ca="1"/>
        <v/>
      </c>
      <c r="S224" t="str">
        <f ca="1"/>
        <v/>
      </c>
      <c r="T224" t="str">
        <f ca="1"/>
        <v/>
      </c>
      <c r="U224">
        <f ca="1">IF(LEFT(_xll.BDP($T224,U$2),4)="#N/A",0,_xll.BDP($T224,U$2))</f>
        <v>0</v>
      </c>
      <c r="V224" t="e">
        <f>_xll.BDP(#REF!,V$2)</f>
        <v>#REF!</v>
      </c>
      <c r="W224" t="e">
        <f>_xll.BDP(#REF!,W$2)</f>
        <v>#REF!</v>
      </c>
      <c r="X224" t="e">
        <f>_xll.BDP(#REF!,X$2)</f>
        <v>#REF!</v>
      </c>
      <c r="Y224" t="e">
        <f>_xll.BDP(#REF!,Y$2)</f>
        <v>#REF!</v>
      </c>
      <c r="Z224" t="e">
        <f>_xll.BDP(#REF!,Z$2)</f>
        <v>#REF!</v>
      </c>
      <c r="AA224" t="e">
        <f>_xll.BDP(#REF!,AA$2)</f>
        <v>#REF!</v>
      </c>
      <c r="AD224">
        <f ca="1">IF(LEFT(_xll.BDP($T224,AD$2),4)="#N/A",-1,_xll.BDP($T224,AD$2))</f>
        <v>-1</v>
      </c>
    </row>
    <row r="225" spans="1:30">
      <c r="A225">
        <f ca="1"/>
        <v>149</v>
      </c>
      <c r="B225" t="str">
        <f ca="1"/>
        <v>iW ALTERNATIVE SIF</v>
      </c>
      <c r="C225" t="str">
        <f ca="1"/>
        <v>iW ALTERNATIVE SIF</v>
      </c>
      <c r="D225">
        <f ca="1"/>
        <v>68095</v>
      </c>
      <c r="E225" t="str">
        <f ca="1"/>
        <v>APIS LUCROSA</v>
      </c>
      <c r="F225" t="str">
        <f ca="1"/>
        <v>Apis Lucrosa</v>
      </c>
      <c r="G225">
        <f ca="1"/>
        <v>147</v>
      </c>
      <c r="H225" t="str">
        <f ca="1"/>
        <v>Pictet Fund Accounting</v>
      </c>
      <c r="I225" t="str">
        <f ca="1"/>
        <v>17131052-0</v>
      </c>
      <c r="J225" s="50">
        <f ca="1"/>
        <v>44742</v>
      </c>
      <c r="K225">
        <f ca="1"/>
        <v>-3885.63</v>
      </c>
      <c r="L225" t="str">
        <f ca="1"/>
        <v>67897-0</v>
      </c>
      <c r="M225" t="str">
        <f ca="1"/>
        <v>Provision custody fee</v>
      </c>
      <c r="N225" t="str">
        <f ca="1"/>
        <v>EUR</v>
      </c>
      <c r="O225" t="str">
        <f ca="1"/>
        <v>Uncategorized (Treasury)</v>
      </c>
      <c r="P225" t="str">
        <f ca="1"/>
        <v/>
      </c>
      <c r="Q225" t="str">
        <f ca="1"/>
        <v/>
      </c>
      <c r="R225" t="str">
        <f ca="1"/>
        <v/>
      </c>
      <c r="S225" t="str">
        <f ca="1"/>
        <v/>
      </c>
      <c r="T225" t="str">
        <f ca="1"/>
        <v/>
      </c>
      <c r="U225">
        <f ca="1">IF(LEFT(_xll.BDP($T225,U$2),4)="#N/A",0,_xll.BDP($T225,U$2))</f>
        <v>0</v>
      </c>
      <c r="V225" t="e">
        <f>_xll.BDP(#REF!,V$2)</f>
        <v>#REF!</v>
      </c>
      <c r="W225" t="e">
        <f>_xll.BDP(#REF!,W$2)</f>
        <v>#REF!</v>
      </c>
      <c r="X225" t="e">
        <f>_xll.BDP(#REF!,X$2)</f>
        <v>#REF!</v>
      </c>
      <c r="Y225" t="e">
        <f>_xll.BDP(#REF!,Y$2)</f>
        <v>#REF!</v>
      </c>
      <c r="Z225" t="e">
        <f>_xll.BDP(#REF!,Z$2)</f>
        <v>#REF!</v>
      </c>
      <c r="AA225" t="e">
        <f>_xll.BDP(#REF!,AA$2)</f>
        <v>#REF!</v>
      </c>
      <c r="AD225">
        <f ca="1">IF(LEFT(_xll.BDP($T225,AD$2),4)="#N/A",-1,_xll.BDP($T225,AD$2))</f>
        <v>-1</v>
      </c>
    </row>
    <row r="226" spans="1:30">
      <c r="A226">
        <f ca="1"/>
        <v>149</v>
      </c>
      <c r="B226" t="str">
        <f ca="1"/>
        <v>iW ALTERNATIVE SIF</v>
      </c>
      <c r="C226" t="str">
        <f ca="1"/>
        <v>iW ALTERNATIVE SIF</v>
      </c>
      <c r="D226">
        <f ca="1"/>
        <v>68095</v>
      </c>
      <c r="E226" t="str">
        <f ca="1"/>
        <v>APIS LUCROSA</v>
      </c>
      <c r="F226" t="str">
        <f ca="1"/>
        <v>Apis Lucrosa</v>
      </c>
      <c r="G226">
        <f ca="1"/>
        <v>147</v>
      </c>
      <c r="H226" t="str">
        <f ca="1"/>
        <v>Pictet Fund Accounting</v>
      </c>
      <c r="I226" t="str">
        <f ca="1"/>
        <v>17131045-0</v>
      </c>
      <c r="J226" s="50">
        <f ca="1"/>
        <v>44742</v>
      </c>
      <c r="K226">
        <f ca="1"/>
        <v>3127.37</v>
      </c>
      <c r="L226" t="str">
        <f ca="1"/>
        <v>67903-0</v>
      </c>
      <c r="M226" t="str">
        <f ca="1"/>
        <v>Provision directors fees</v>
      </c>
      <c r="N226" t="str">
        <f ca="1"/>
        <v>EUR</v>
      </c>
      <c r="O226" t="str">
        <f ca="1"/>
        <v>Uncategorized (Treasury)</v>
      </c>
      <c r="P226" t="str">
        <f ca="1"/>
        <v/>
      </c>
      <c r="Q226" t="str">
        <f ca="1"/>
        <v/>
      </c>
      <c r="R226" t="str">
        <f ca="1"/>
        <v/>
      </c>
      <c r="S226" t="str">
        <f ca="1"/>
        <v/>
      </c>
      <c r="T226" t="str">
        <f ca="1"/>
        <v/>
      </c>
      <c r="U226">
        <f ca="1">IF(LEFT(_xll.BDP($T226,U$2),4)="#N/A",0,_xll.BDP($T226,U$2))</f>
        <v>0</v>
      </c>
      <c r="V226" t="e">
        <f>_xll.BDP(#REF!,V$2)</f>
        <v>#REF!</v>
      </c>
      <c r="W226" t="e">
        <f>_xll.BDP(#REF!,W$2)</f>
        <v>#REF!</v>
      </c>
      <c r="X226" t="e">
        <f>_xll.BDP(#REF!,X$2)</f>
        <v>#REF!</v>
      </c>
      <c r="Y226" t="e">
        <f>_xll.BDP(#REF!,Y$2)</f>
        <v>#REF!</v>
      </c>
      <c r="Z226" t="e">
        <f>_xll.BDP(#REF!,Z$2)</f>
        <v>#REF!</v>
      </c>
      <c r="AA226" t="e">
        <f>_xll.BDP(#REF!,AA$2)</f>
        <v>#REF!</v>
      </c>
      <c r="AD226">
        <f ca="1">IF(LEFT(_xll.BDP($T226,AD$2),4)="#N/A",-1,_xll.BDP($T226,AD$2))</f>
        <v>-1</v>
      </c>
    </row>
    <row r="227" spans="1:30">
      <c r="A227">
        <f ca="1"/>
        <v>149</v>
      </c>
      <c r="B227" t="str">
        <f ca="1"/>
        <v>iW ALTERNATIVE SIF</v>
      </c>
      <c r="C227" t="str">
        <f ca="1"/>
        <v>iW ALTERNATIVE SIF</v>
      </c>
      <c r="D227">
        <f ca="1"/>
        <v>68095</v>
      </c>
      <c r="E227" t="str">
        <f ca="1"/>
        <v>APIS LUCROSA</v>
      </c>
      <c r="F227" t="str">
        <f ca="1"/>
        <v>Apis Lucrosa</v>
      </c>
      <c r="G227">
        <f ca="1"/>
        <v>147</v>
      </c>
      <c r="H227" t="str">
        <f ca="1"/>
        <v>Pictet Fund Accounting</v>
      </c>
      <c r="I227" t="str">
        <f ca="1"/>
        <v>17131048-0</v>
      </c>
      <c r="J227" s="50">
        <f ca="1"/>
        <v>44742</v>
      </c>
      <c r="K227">
        <f ca="1"/>
        <v>-482.71</v>
      </c>
      <c r="L227" t="str">
        <f ca="1"/>
        <v>67893-0</v>
      </c>
      <c r="M227" t="str">
        <f ca="1"/>
        <v>Provision Domiciliation fees</v>
      </c>
      <c r="N227" t="str">
        <f ca="1"/>
        <v>EUR</v>
      </c>
      <c r="O227" t="str">
        <f ca="1"/>
        <v>Uncategorized (Treasury)</v>
      </c>
      <c r="P227" t="str">
        <f ca="1"/>
        <v/>
      </c>
      <c r="Q227" t="str">
        <f ca="1"/>
        <v/>
      </c>
      <c r="R227" t="str">
        <f ca="1"/>
        <v/>
      </c>
      <c r="S227" t="str">
        <f ca="1"/>
        <v/>
      </c>
      <c r="T227" t="str">
        <f ca="1"/>
        <v/>
      </c>
      <c r="U227">
        <f ca="1">IF(LEFT(_xll.BDP($T227,U$2),4)="#N/A",0,_xll.BDP($T227,U$2))</f>
        <v>0</v>
      </c>
      <c r="V227" t="e">
        <f>_xll.BDP(#REF!,V$2)</f>
        <v>#REF!</v>
      </c>
      <c r="W227" t="e">
        <f>_xll.BDP(#REF!,W$2)</f>
        <v>#REF!</v>
      </c>
      <c r="X227" t="e">
        <f>_xll.BDP(#REF!,X$2)</f>
        <v>#REF!</v>
      </c>
      <c r="Y227" t="e">
        <f>_xll.BDP(#REF!,Y$2)</f>
        <v>#REF!</v>
      </c>
      <c r="Z227" t="e">
        <f>_xll.BDP(#REF!,Z$2)</f>
        <v>#REF!</v>
      </c>
      <c r="AA227" t="e">
        <f>_xll.BDP(#REF!,AA$2)</f>
        <v>#REF!</v>
      </c>
      <c r="AD227">
        <f ca="1">IF(LEFT(_xll.BDP($T227,AD$2),4)="#N/A",-1,_xll.BDP($T227,AD$2))</f>
        <v>-1</v>
      </c>
    </row>
    <row r="228" spans="1:30">
      <c r="A228">
        <f ca="1"/>
        <v>149</v>
      </c>
      <c r="B228" t="str">
        <f ca="1"/>
        <v>iW ALTERNATIVE SIF</v>
      </c>
      <c r="C228" t="str">
        <f ca="1"/>
        <v>iW ALTERNATIVE SIF</v>
      </c>
      <c r="D228">
        <f ca="1"/>
        <v>68095</v>
      </c>
      <c r="E228" t="str">
        <f ca="1"/>
        <v>APIS LUCROSA</v>
      </c>
      <c r="F228" t="str">
        <f ca="1"/>
        <v>Apis Lucrosa</v>
      </c>
      <c r="G228">
        <f ca="1"/>
        <v>147</v>
      </c>
      <c r="H228" t="str">
        <f ca="1"/>
        <v>Pictet Fund Accounting</v>
      </c>
      <c r="I228" t="str">
        <f ca="1"/>
        <v>17131050-0</v>
      </c>
      <c r="J228" s="50">
        <f ca="1"/>
        <v>44742</v>
      </c>
      <c r="K228">
        <f ca="1"/>
        <v>-222.73</v>
      </c>
      <c r="L228" t="str">
        <f ca="1"/>
        <v>68796-0</v>
      </c>
      <c r="M228" t="str">
        <f ca="1"/>
        <v>Provision management fee</v>
      </c>
      <c r="N228" t="str">
        <f ca="1"/>
        <v>EUR</v>
      </c>
      <c r="O228" t="str">
        <f ca="1"/>
        <v>Uncategorized (Treasury)</v>
      </c>
      <c r="P228" t="str">
        <f ca="1"/>
        <v/>
      </c>
      <c r="Q228" t="str">
        <f ca="1"/>
        <v/>
      </c>
      <c r="R228" t="str">
        <f ca="1"/>
        <v/>
      </c>
      <c r="S228" t="str">
        <f ca="1"/>
        <v/>
      </c>
      <c r="T228" t="str">
        <f ca="1"/>
        <v/>
      </c>
      <c r="U228">
        <f ca="1">IF(LEFT(_xll.BDP($T228,U$2),4)="#N/A",0,_xll.BDP($T228,U$2))</f>
        <v>0</v>
      </c>
      <c r="V228" t="e">
        <f>_xll.BDP(#REF!,V$2)</f>
        <v>#REF!</v>
      </c>
      <c r="W228" t="e">
        <f>_xll.BDP(#REF!,W$2)</f>
        <v>#REF!</v>
      </c>
      <c r="X228" t="e">
        <f>_xll.BDP(#REF!,X$2)</f>
        <v>#REF!</v>
      </c>
      <c r="Y228" t="e">
        <f>_xll.BDP(#REF!,Y$2)</f>
        <v>#REF!</v>
      </c>
      <c r="Z228" t="e">
        <f>_xll.BDP(#REF!,Z$2)</f>
        <v>#REF!</v>
      </c>
      <c r="AA228" t="e">
        <f>_xll.BDP(#REF!,AA$2)</f>
        <v>#REF!</v>
      </c>
      <c r="AD228">
        <f ca="1">IF(LEFT(_xll.BDP($T228,AD$2),4)="#N/A",-1,_xll.BDP($T228,AD$2))</f>
        <v>-1</v>
      </c>
    </row>
    <row r="229" spans="1:30">
      <c r="A229">
        <f ca="1"/>
        <v>149</v>
      </c>
      <c r="B229" t="str">
        <f ca="1"/>
        <v>iW ALTERNATIVE SIF</v>
      </c>
      <c r="C229" t="str">
        <f ca="1"/>
        <v>iW ALTERNATIVE SIF</v>
      </c>
      <c r="D229">
        <f ca="1"/>
        <v>68095</v>
      </c>
      <c r="E229" t="str">
        <f ca="1"/>
        <v>APIS LUCROSA</v>
      </c>
      <c r="F229" t="str">
        <f ca="1"/>
        <v>Apis Lucrosa</v>
      </c>
      <c r="G229">
        <f ca="1"/>
        <v>147</v>
      </c>
      <c r="H229" t="str">
        <f ca="1"/>
        <v>Pictet Fund Accounting</v>
      </c>
      <c r="I229" t="str">
        <f ca="1"/>
        <v>17131038-0</v>
      </c>
      <c r="J229" s="50">
        <f ca="1"/>
        <v>44742</v>
      </c>
      <c r="K229">
        <f ca="1"/>
        <v>-9595.39</v>
      </c>
      <c r="L229" t="str">
        <f ca="1"/>
        <v>67894-0</v>
      </c>
      <c r="M229" t="str">
        <f ca="1"/>
        <v>Provision Mgt Institutional</v>
      </c>
      <c r="N229" t="str">
        <f ca="1"/>
        <v>EUR</v>
      </c>
      <c r="O229" t="str">
        <f ca="1"/>
        <v>Uncategorized (Treasury)</v>
      </c>
      <c r="P229" t="str">
        <f ca="1"/>
        <v/>
      </c>
      <c r="Q229" t="str">
        <f ca="1"/>
        <v/>
      </c>
      <c r="R229" t="str">
        <f ca="1"/>
        <v/>
      </c>
      <c r="S229" t="str">
        <f ca="1"/>
        <v/>
      </c>
      <c r="T229" t="str">
        <f ca="1"/>
        <v/>
      </c>
      <c r="U229">
        <f ca="1">IF(LEFT(_xll.BDP($T229,U$2),4)="#N/A",0,_xll.BDP($T229,U$2))</f>
        <v>0</v>
      </c>
      <c r="V229" t="e">
        <f>_xll.BDP(#REF!,V$2)</f>
        <v>#REF!</v>
      </c>
      <c r="W229" t="e">
        <f>_xll.BDP(#REF!,W$2)</f>
        <v>#REF!</v>
      </c>
      <c r="X229" t="e">
        <f>_xll.BDP(#REF!,X$2)</f>
        <v>#REF!</v>
      </c>
      <c r="Y229" t="e">
        <f>_xll.BDP(#REF!,Y$2)</f>
        <v>#REF!</v>
      </c>
      <c r="Z229" t="e">
        <f>_xll.BDP(#REF!,Z$2)</f>
        <v>#REF!</v>
      </c>
      <c r="AA229" t="e">
        <f>_xll.BDP(#REF!,AA$2)</f>
        <v>#REF!</v>
      </c>
      <c r="AD229">
        <f ca="1">IF(LEFT(_xll.BDP($T229,AD$2),4)="#N/A",-1,_xll.BDP($T229,AD$2))</f>
        <v>-1</v>
      </c>
    </row>
    <row r="230" spans="1:30">
      <c r="A230">
        <f ca="1"/>
        <v>149</v>
      </c>
      <c r="B230" t="str">
        <f ca="1"/>
        <v>iW ALTERNATIVE SIF</v>
      </c>
      <c r="C230" t="str">
        <f ca="1"/>
        <v>iW ALTERNATIVE SIF</v>
      </c>
      <c r="D230">
        <f ca="1"/>
        <v>68095</v>
      </c>
      <c r="E230" t="str">
        <f ca="1"/>
        <v>APIS LUCROSA</v>
      </c>
      <c r="F230" t="str">
        <f ca="1"/>
        <v>Apis Lucrosa</v>
      </c>
      <c r="G230">
        <f ca="1"/>
        <v>147</v>
      </c>
      <c r="H230" t="str">
        <f ca="1"/>
        <v>Pictet Fund Accounting</v>
      </c>
      <c r="I230" t="str">
        <f ca="1"/>
        <v>17131037-0</v>
      </c>
      <c r="J230" s="50">
        <f ca="1"/>
        <v>44742</v>
      </c>
      <c r="K230">
        <f ca="1"/>
        <v>-232.98</v>
      </c>
      <c r="L230" t="str">
        <f ca="1"/>
        <v>67892-0</v>
      </c>
      <c r="M230" t="str">
        <f ca="1"/>
        <v>Provision Mgt Private</v>
      </c>
      <c r="N230" t="str">
        <f ca="1"/>
        <v>EUR</v>
      </c>
      <c r="O230" t="str">
        <f ca="1"/>
        <v>Uncategorized (Treasury)</v>
      </c>
      <c r="P230" t="str">
        <f ca="1"/>
        <v/>
      </c>
      <c r="Q230" t="str">
        <f ca="1"/>
        <v/>
      </c>
      <c r="R230" t="str">
        <f ca="1"/>
        <v/>
      </c>
      <c r="S230" t="str">
        <f ca="1"/>
        <v/>
      </c>
      <c r="T230" t="str">
        <f ca="1"/>
        <v/>
      </c>
      <c r="U230">
        <f ca="1">IF(LEFT(_xll.BDP($T230,U$2),4)="#N/A",0,_xll.BDP($T230,U$2))</f>
        <v>0</v>
      </c>
      <c r="V230" t="e">
        <f>_xll.BDP(#REF!,V$2)</f>
        <v>#REF!</v>
      </c>
      <c r="W230" t="e">
        <f>_xll.BDP(#REF!,W$2)</f>
        <v>#REF!</v>
      </c>
      <c r="X230" t="e">
        <f>_xll.BDP(#REF!,X$2)</f>
        <v>#REF!</v>
      </c>
      <c r="Y230" t="e">
        <f>_xll.BDP(#REF!,Y$2)</f>
        <v>#REF!</v>
      </c>
      <c r="Z230" t="e">
        <f>_xll.BDP(#REF!,Z$2)</f>
        <v>#REF!</v>
      </c>
      <c r="AA230" t="e">
        <f>_xll.BDP(#REF!,AA$2)</f>
        <v>#REF!</v>
      </c>
      <c r="AD230">
        <f ca="1">IF(LEFT(_xll.BDP($T230,AD$2),4)="#N/A",-1,_xll.BDP($T230,AD$2))</f>
        <v>-1</v>
      </c>
    </row>
    <row r="231" spans="1:30">
      <c r="A231">
        <f ca="1"/>
        <v>149</v>
      </c>
      <c r="B231" t="str">
        <f ca="1"/>
        <v>iW ALTERNATIVE SIF</v>
      </c>
      <c r="C231" t="str">
        <f ca="1"/>
        <v>iW ALTERNATIVE SIF</v>
      </c>
      <c r="D231">
        <f ca="1"/>
        <v>68095</v>
      </c>
      <c r="E231" t="str">
        <f ca="1"/>
        <v>APIS LUCROSA</v>
      </c>
      <c r="F231" t="str">
        <f ca="1"/>
        <v>Apis Lucrosa</v>
      </c>
      <c r="G231">
        <f ca="1"/>
        <v>147</v>
      </c>
      <c r="H231" t="str">
        <f ca="1"/>
        <v>Pictet Fund Accounting</v>
      </c>
      <c r="I231" t="str">
        <f ca="1"/>
        <v>17131057-0</v>
      </c>
      <c r="J231" s="50">
        <f ca="1"/>
        <v>44742</v>
      </c>
      <c r="K231">
        <f ca="1"/>
        <v>-96.63</v>
      </c>
      <c r="L231" t="str">
        <f ca="1"/>
        <v>67902-0</v>
      </c>
      <c r="M231" t="str">
        <f ca="1"/>
        <v>Provision VAT Declaration</v>
      </c>
      <c r="N231" t="str">
        <f ca="1"/>
        <v>EUR</v>
      </c>
      <c r="O231" t="str">
        <f ca="1"/>
        <v>Uncategorized (Treasury)</v>
      </c>
      <c r="P231" t="str">
        <f ca="1"/>
        <v/>
      </c>
      <c r="Q231" t="str">
        <f ca="1"/>
        <v/>
      </c>
      <c r="R231" t="str">
        <f ca="1"/>
        <v/>
      </c>
      <c r="S231" t="str">
        <f ca="1"/>
        <v/>
      </c>
      <c r="T231" t="str">
        <f ca="1"/>
        <v/>
      </c>
      <c r="U231">
        <f ca="1">IF(LEFT(_xll.BDP($T231,U$2),4)="#N/A",0,_xll.BDP($T231,U$2))</f>
        <v>0</v>
      </c>
      <c r="V231" t="e">
        <f>_xll.BDP(#REF!,V$2)</f>
        <v>#REF!</v>
      </c>
      <c r="W231" t="e">
        <f>_xll.BDP(#REF!,W$2)</f>
        <v>#REF!</v>
      </c>
      <c r="X231" t="e">
        <f>_xll.BDP(#REF!,X$2)</f>
        <v>#REF!</v>
      </c>
      <c r="Y231" t="e">
        <f>_xll.BDP(#REF!,Y$2)</f>
        <v>#REF!</v>
      </c>
      <c r="Z231" t="e">
        <f>_xll.BDP(#REF!,Z$2)</f>
        <v>#REF!</v>
      </c>
      <c r="AA231" t="e">
        <f>_xll.BDP(#REF!,AA$2)</f>
        <v>#REF!</v>
      </c>
      <c r="AD231">
        <f ca="1">IF(LEFT(_xll.BDP($T231,AD$2),4)="#N/A",-1,_xll.BDP($T231,AD$2))</f>
        <v>-1</v>
      </c>
    </row>
    <row r="232" spans="1:30">
      <c r="A232">
        <f ca="1"/>
        <v>149</v>
      </c>
      <c r="B232" t="str">
        <f ca="1"/>
        <v>iW ALTERNATIVE SIF</v>
      </c>
      <c r="C232" t="str">
        <f ca="1"/>
        <v>iW ALTERNATIVE SIF</v>
      </c>
      <c r="D232">
        <f ca="1"/>
        <v>68095</v>
      </c>
      <c r="E232" t="str">
        <f ca="1"/>
        <v>APIS LUCROSA</v>
      </c>
      <c r="F232" t="str">
        <f ca="1"/>
        <v>Apis Lucrosa</v>
      </c>
      <c r="G232">
        <f ca="1"/>
        <v>147</v>
      </c>
      <c r="H232" t="str">
        <f ca="1"/>
        <v>Pictet Fund Accounting</v>
      </c>
      <c r="I232" t="str">
        <f ca="1"/>
        <v>17131042-0</v>
      </c>
      <c r="J232" s="50">
        <f ca="1"/>
        <v>44742</v>
      </c>
      <c r="K232">
        <f ca="1"/>
        <v>-32.22</v>
      </c>
      <c r="L232" t="str">
        <f ca="1"/>
        <v>119820-0</v>
      </c>
      <c r="M232" t="str">
        <f ca="1"/>
        <v>Ultimate Beneficial declaratio</v>
      </c>
      <c r="N232" t="str">
        <f ca="1"/>
        <v>EUR</v>
      </c>
      <c r="O232" t="str">
        <f ca="1"/>
        <v>Uncategorized (Treasury)</v>
      </c>
      <c r="P232" t="str">
        <f ca="1"/>
        <v/>
      </c>
      <c r="Q232" t="str">
        <f ca="1"/>
        <v/>
      </c>
      <c r="R232" t="str">
        <f ca="1"/>
        <v/>
      </c>
      <c r="S232" t="str">
        <f ca="1"/>
        <v/>
      </c>
      <c r="T232" t="str">
        <f ca="1"/>
        <v/>
      </c>
      <c r="U232">
        <f ca="1">IF(LEFT(_xll.BDP($T232,U$2),4)="#N/A",0,_xll.BDP($T232,U$2))</f>
        <v>0</v>
      </c>
      <c r="V232" t="e">
        <f>_xll.BDP(#REF!,V$2)</f>
        <v>#REF!</v>
      </c>
      <c r="W232" t="e">
        <f>_xll.BDP(#REF!,W$2)</f>
        <v>#REF!</v>
      </c>
      <c r="X232" t="e">
        <f>_xll.BDP(#REF!,X$2)</f>
        <v>#REF!</v>
      </c>
      <c r="Y232" t="e">
        <f>_xll.BDP(#REF!,Y$2)</f>
        <v>#REF!</v>
      </c>
      <c r="Z232" t="e">
        <f>_xll.BDP(#REF!,Z$2)</f>
        <v>#REF!</v>
      </c>
      <c r="AA232" t="e">
        <f>_xll.BDP(#REF!,AA$2)</f>
        <v>#REF!</v>
      </c>
      <c r="AD232">
        <f ca="1">IF(LEFT(_xll.BDP($T232,AD$2),4)="#N/A",-1,_xll.BDP($T232,AD$2))</f>
        <v>-1</v>
      </c>
    </row>
    <row r="233" spans="1:30">
      <c r="A233">
        <f ca="1"/>
        <v>149</v>
      </c>
      <c r="B233" t="str">
        <f ca="1"/>
        <v>iW ALTERNATIVE SIF</v>
      </c>
      <c r="C233" t="str">
        <f ca="1"/>
        <v>iW ALTERNATIVE SIF</v>
      </c>
      <c r="D233">
        <f ca="1"/>
        <v>67869</v>
      </c>
      <c r="E233" t="str">
        <f ca="1"/>
        <v>COMMODITIES &amp; GOLD EQUITIES</v>
      </c>
      <c r="F233" t="str">
        <f ca="1"/>
        <v>Commodities &amp; Gold Equities</v>
      </c>
      <c r="G233">
        <f ca="1"/>
        <v>147</v>
      </c>
      <c r="H233" t="str">
        <f ca="1"/>
        <v>Pictet Fund Accounting</v>
      </c>
      <c r="I233" t="str">
        <f ca="1"/>
        <v>17509161-0</v>
      </c>
      <c r="J233" s="50">
        <f ca="1"/>
        <v>44775</v>
      </c>
      <c r="K233">
        <f ca="1"/>
        <v>-1497380.18</v>
      </c>
      <c r="L233" t="str">
        <f ca="1"/>
        <v>60587-0</v>
      </c>
      <c r="M233" t="str">
        <f ca="1"/>
        <v>Current account Pictet &amp; Cie (Europe) S.A. @@@</v>
      </c>
      <c r="N233" t="str">
        <f ca="1"/>
        <v>EUR</v>
      </c>
      <c r="O233" t="str">
        <f ca="1"/>
        <v>Cash</v>
      </c>
      <c r="P233" t="str">
        <f ca="1"/>
        <v/>
      </c>
      <c r="Q233" t="str">
        <f ca="1"/>
        <v/>
      </c>
      <c r="R233" t="str">
        <f ca="1"/>
        <v/>
      </c>
      <c r="S233" t="str">
        <f ca="1"/>
        <v/>
      </c>
      <c r="T233" t="str">
        <f ca="1"/>
        <v/>
      </c>
      <c r="U233">
        <f ca="1">IF(LEFT(_xll.BDP($T233,U$2),4)="#N/A",0,_xll.BDP($T233,U$2))</f>
        <v>0</v>
      </c>
      <c r="V233" t="e">
        <f>_xll.BDP(#REF!,V$2)</f>
        <v>#REF!</v>
      </c>
      <c r="W233" t="e">
        <f>_xll.BDP(#REF!,W$2)</f>
        <v>#REF!</v>
      </c>
      <c r="X233" t="e">
        <f>_xll.BDP(#REF!,X$2)</f>
        <v>#REF!</v>
      </c>
      <c r="Y233" t="e">
        <f>_xll.BDP(#REF!,Y$2)</f>
        <v>#REF!</v>
      </c>
      <c r="Z233" t="e">
        <f>_xll.BDP(#REF!,Z$2)</f>
        <v>#REF!</v>
      </c>
      <c r="AA233" t="e">
        <f>_xll.BDP(#REF!,AA$2)</f>
        <v>#REF!</v>
      </c>
      <c r="AD233">
        <f ca="1">IF(LEFT(_xll.BDP($T233,AD$2),4)="#N/A",-1,_xll.BDP($T233,AD$2))</f>
        <v>-1</v>
      </c>
    </row>
    <row r="234" spans="1:30">
      <c r="A234">
        <f ca="1"/>
        <v>149</v>
      </c>
      <c r="B234" t="str">
        <f ca="1"/>
        <v>iW ALTERNATIVE SIF</v>
      </c>
      <c r="C234" t="str">
        <f ca="1"/>
        <v>iW ALTERNATIVE SIF</v>
      </c>
      <c r="D234">
        <f ca="1"/>
        <v>67869</v>
      </c>
      <c r="E234" t="str">
        <f ca="1"/>
        <v>COMMODITIES &amp; GOLD EQUITIES</v>
      </c>
      <c r="F234" t="str">
        <f ca="1"/>
        <v>Commodities &amp; Gold Equities</v>
      </c>
      <c r="G234">
        <f ca="1"/>
        <v>147</v>
      </c>
      <c r="H234" t="str">
        <f ca="1"/>
        <v>Pictet Fund Accounting</v>
      </c>
      <c r="I234" t="str">
        <f ca="1"/>
        <v>17509172-0</v>
      </c>
      <c r="J234" s="50">
        <f ca="1"/>
        <v>44775</v>
      </c>
      <c r="K234">
        <f ca="1"/>
        <v>-213896.01</v>
      </c>
      <c r="L234" t="str">
        <f ca="1"/>
        <v>60601-0</v>
      </c>
      <c r="M234" t="str">
        <f ca="1"/>
        <v>Current account Pictet &amp; Cie (Europe) S.A. @@@</v>
      </c>
      <c r="N234" t="str">
        <f ca="1"/>
        <v>AUD</v>
      </c>
      <c r="O234" t="str">
        <f ca="1"/>
        <v>Cash</v>
      </c>
      <c r="P234" t="str">
        <f ca="1"/>
        <v/>
      </c>
      <c r="Q234" t="str">
        <f ca="1"/>
        <v/>
      </c>
      <c r="R234" t="str">
        <f ca="1"/>
        <v/>
      </c>
      <c r="S234" t="str">
        <f ca="1"/>
        <v/>
      </c>
      <c r="T234" t="str">
        <f ca="1"/>
        <v/>
      </c>
      <c r="U234">
        <f ca="1">IF(LEFT(_xll.BDP($T234,U$2),4)="#N/A",0,_xll.BDP($T234,U$2))</f>
        <v>0</v>
      </c>
      <c r="V234" t="e">
        <f>_xll.BDP(#REF!,V$2)</f>
        <v>#REF!</v>
      </c>
      <c r="W234" t="e">
        <f>_xll.BDP(#REF!,W$2)</f>
        <v>#REF!</v>
      </c>
      <c r="X234" t="e">
        <f>_xll.BDP(#REF!,X$2)</f>
        <v>#REF!</v>
      </c>
      <c r="Y234" t="e">
        <f>_xll.BDP(#REF!,Y$2)</f>
        <v>#REF!</v>
      </c>
      <c r="Z234" t="e">
        <f>_xll.BDP(#REF!,Z$2)</f>
        <v>#REF!</v>
      </c>
      <c r="AA234" t="e">
        <f>_xll.BDP(#REF!,AA$2)</f>
        <v>#REF!</v>
      </c>
      <c r="AD234">
        <f ca="1">IF(LEFT(_xll.BDP($T234,AD$2),4)="#N/A",-1,_xll.BDP($T234,AD$2))</f>
        <v>-1</v>
      </c>
    </row>
    <row r="235" spans="1:30">
      <c r="A235">
        <f ca="1"/>
        <v>149</v>
      </c>
      <c r="B235" t="str">
        <f ca="1"/>
        <v>iW ALTERNATIVE SIF</v>
      </c>
      <c r="C235" t="str">
        <f ca="1"/>
        <v>iW ALTERNATIVE SIF</v>
      </c>
      <c r="D235">
        <f ca="1"/>
        <v>67869</v>
      </c>
      <c r="E235" t="str">
        <f ca="1"/>
        <v>COMMODITIES &amp; GOLD EQUITIES</v>
      </c>
      <c r="F235" t="str">
        <f ca="1"/>
        <v>Commodities &amp; Gold Equities</v>
      </c>
      <c r="G235">
        <f ca="1"/>
        <v>147</v>
      </c>
      <c r="H235" t="str">
        <f ca="1"/>
        <v>Pictet Fund Accounting</v>
      </c>
      <c r="I235" t="str">
        <f ca="1"/>
        <v>17509185-0</v>
      </c>
      <c r="J235" s="50">
        <f ca="1"/>
        <v>44775</v>
      </c>
      <c r="K235">
        <f ca="1"/>
        <v>-2790141.05</v>
      </c>
      <c r="L235" t="str">
        <f ca="1"/>
        <v>60578-0</v>
      </c>
      <c r="M235" t="str">
        <f ca="1"/>
        <v>Current account Pictet &amp; Cie (Europe) S.A. @@@</v>
      </c>
      <c r="N235" t="str">
        <f ca="1"/>
        <v>USD</v>
      </c>
      <c r="O235" t="str">
        <f ca="1"/>
        <v>Cash</v>
      </c>
      <c r="P235" t="str">
        <f ca="1"/>
        <v/>
      </c>
      <c r="Q235" t="str">
        <f ca="1"/>
        <v/>
      </c>
      <c r="R235" t="str">
        <f ca="1"/>
        <v/>
      </c>
      <c r="S235" t="str">
        <f ca="1"/>
        <v/>
      </c>
      <c r="T235" t="str">
        <f ca="1"/>
        <v/>
      </c>
      <c r="U235">
        <f ca="1">IF(LEFT(_xll.BDP($T235,U$2),4)="#N/A",0,_xll.BDP($T235,U$2))</f>
        <v>0</v>
      </c>
      <c r="V235" t="e">
        <f>_xll.BDP(#REF!,V$2)</f>
        <v>#REF!</v>
      </c>
      <c r="W235" t="e">
        <f>_xll.BDP(#REF!,W$2)</f>
        <v>#REF!</v>
      </c>
      <c r="X235" t="e">
        <f>_xll.BDP(#REF!,X$2)</f>
        <v>#REF!</v>
      </c>
      <c r="Y235" t="e">
        <f>_xll.BDP(#REF!,Y$2)</f>
        <v>#REF!</v>
      </c>
      <c r="Z235" t="e">
        <f>_xll.BDP(#REF!,Z$2)</f>
        <v>#REF!</v>
      </c>
      <c r="AA235" t="e">
        <f>_xll.BDP(#REF!,AA$2)</f>
        <v>#REF!</v>
      </c>
      <c r="AD235">
        <f ca="1">IF(LEFT(_xll.BDP($T235,AD$2),4)="#N/A",-1,_xll.BDP($T235,AD$2))</f>
        <v>-1</v>
      </c>
    </row>
    <row r="236" spans="1:30">
      <c r="A236">
        <f ca="1"/>
        <v>149</v>
      </c>
      <c r="B236" t="str">
        <f ca="1"/>
        <v>iW ALTERNATIVE SIF</v>
      </c>
      <c r="C236" t="str">
        <f ca="1"/>
        <v>iW ALTERNATIVE SIF</v>
      </c>
      <c r="D236">
        <f ca="1"/>
        <v>67869</v>
      </c>
      <c r="E236" t="str">
        <f ca="1"/>
        <v>COMMODITIES &amp; GOLD EQUITIES</v>
      </c>
      <c r="F236" t="str">
        <f ca="1"/>
        <v>Commodities &amp; Gold Equities</v>
      </c>
      <c r="G236">
        <f ca="1"/>
        <v>147</v>
      </c>
      <c r="H236" t="str">
        <f ca="1"/>
        <v>Pictet Fund Accounting</v>
      </c>
      <c r="I236" t="str">
        <f ca="1"/>
        <v>17509236-0</v>
      </c>
      <c r="J236" s="50">
        <f ca="1"/>
        <v>44775</v>
      </c>
      <c r="K236">
        <f ca="1"/>
        <v>-468610.01</v>
      </c>
      <c r="L236" t="str">
        <f ca="1"/>
        <v>60596-0</v>
      </c>
      <c r="M236" t="str">
        <f ca="1"/>
        <v>Current account Pictet &amp; Cie (Europe) S.A. @@@</v>
      </c>
      <c r="N236" t="str">
        <f ca="1"/>
        <v>CAD</v>
      </c>
      <c r="O236" t="str">
        <f ca="1"/>
        <v>Cash</v>
      </c>
      <c r="P236" t="str">
        <f ca="1"/>
        <v/>
      </c>
      <c r="Q236" t="str">
        <f ca="1"/>
        <v/>
      </c>
      <c r="R236" t="str">
        <f ca="1"/>
        <v/>
      </c>
      <c r="S236" t="str">
        <f ca="1"/>
        <v/>
      </c>
      <c r="T236" t="str">
        <f ca="1"/>
        <v/>
      </c>
      <c r="U236">
        <f ca="1">IF(LEFT(_xll.BDP($T236,U$2),4)="#N/A",0,_xll.BDP($T236,U$2))</f>
        <v>0</v>
      </c>
      <c r="V236" t="e">
        <f>_xll.BDP(#REF!,V$2)</f>
        <v>#REF!</v>
      </c>
      <c r="W236" t="e">
        <f>_xll.BDP(#REF!,W$2)</f>
        <v>#REF!</v>
      </c>
      <c r="X236" t="e">
        <f>_xll.BDP(#REF!,X$2)</f>
        <v>#REF!</v>
      </c>
      <c r="Y236" t="e">
        <f>_xll.BDP(#REF!,Y$2)</f>
        <v>#REF!</v>
      </c>
      <c r="Z236" t="e">
        <f>_xll.BDP(#REF!,Z$2)</f>
        <v>#REF!</v>
      </c>
      <c r="AA236" t="e">
        <f>_xll.BDP(#REF!,AA$2)</f>
        <v>#REF!</v>
      </c>
      <c r="AD236">
        <f ca="1">IF(LEFT(_xll.BDP($T236,AD$2),4)="#N/A",-1,_xll.BDP($T236,AD$2))</f>
        <v>-1</v>
      </c>
    </row>
    <row r="237" spans="1:30">
      <c r="A237">
        <f ca="1"/>
        <v>149</v>
      </c>
      <c r="B237" t="str">
        <f ca="1"/>
        <v>iW ALTERNATIVE SIF</v>
      </c>
      <c r="C237" t="str">
        <f ca="1"/>
        <v>iW ALTERNATIVE SIF</v>
      </c>
      <c r="D237">
        <f ca="1"/>
        <v>67869</v>
      </c>
      <c r="E237" t="str">
        <f ca="1"/>
        <v>COMMODITIES &amp; GOLD EQUITIES</v>
      </c>
      <c r="F237" t="str">
        <f ca="1"/>
        <v>Commodities &amp; Gold Equities</v>
      </c>
      <c r="G237">
        <f ca="1"/>
        <v>147</v>
      </c>
      <c r="H237" t="str">
        <f ca="1"/>
        <v>Pictet Fund Accounting</v>
      </c>
      <c r="I237" t="str">
        <f ca="1"/>
        <v>17509260-0</v>
      </c>
      <c r="J237" s="50">
        <f ca="1"/>
        <v>44775</v>
      </c>
      <c r="K237">
        <f ca="1"/>
        <v>-91680.25</v>
      </c>
      <c r="L237" t="str">
        <f ca="1"/>
        <v>60594-0</v>
      </c>
      <c r="M237" t="str">
        <f ca="1"/>
        <v>Current account Pictet &amp; Cie (Europe) S.A. @@@</v>
      </c>
      <c r="N237" t="str">
        <f ca="1"/>
        <v>GBP</v>
      </c>
      <c r="O237" t="str">
        <f ca="1"/>
        <v>Cash</v>
      </c>
      <c r="P237" t="str">
        <f ca="1"/>
        <v/>
      </c>
      <c r="Q237" t="str">
        <f ca="1"/>
        <v/>
      </c>
      <c r="R237" t="str">
        <f ca="1"/>
        <v/>
      </c>
      <c r="S237" t="str">
        <f ca="1"/>
        <v/>
      </c>
      <c r="T237" t="str">
        <f ca="1"/>
        <v/>
      </c>
      <c r="U237">
        <f ca="1">IF(LEFT(_xll.BDP($T237,U$2),4)="#N/A",0,_xll.BDP($T237,U$2))</f>
        <v>0</v>
      </c>
      <c r="V237" t="e">
        <f>_xll.BDP(#REF!,V$2)</f>
        <v>#REF!</v>
      </c>
      <c r="W237" t="e">
        <f>_xll.BDP(#REF!,W$2)</f>
        <v>#REF!</v>
      </c>
      <c r="X237" t="e">
        <f>_xll.BDP(#REF!,X$2)</f>
        <v>#REF!</v>
      </c>
      <c r="Y237" t="e">
        <f>_xll.BDP(#REF!,Y$2)</f>
        <v>#REF!</v>
      </c>
      <c r="Z237" t="e">
        <f>_xll.BDP(#REF!,Z$2)</f>
        <v>#REF!</v>
      </c>
      <c r="AA237" t="e">
        <f>_xll.BDP(#REF!,AA$2)</f>
        <v>#REF!</v>
      </c>
      <c r="AD237">
        <f ca="1">IF(LEFT(_xll.BDP($T237,AD$2),4)="#N/A",-1,_xll.BDP($T237,AD$2))</f>
        <v>-1</v>
      </c>
    </row>
    <row r="238" spans="1:30">
      <c r="A238">
        <f ca="1"/>
        <v>149</v>
      </c>
      <c r="B238" t="str">
        <f ca="1"/>
        <v>iW ALTERNATIVE SIF</v>
      </c>
      <c r="C238" t="str">
        <f ca="1"/>
        <v>iW ALTERNATIVE SIF</v>
      </c>
      <c r="D238">
        <f ca="1"/>
        <v>67869</v>
      </c>
      <c r="E238" t="str">
        <f ca="1"/>
        <v>COMMODITIES &amp; GOLD EQUITIES</v>
      </c>
      <c r="F238" t="str">
        <f ca="1"/>
        <v>Commodities &amp; Gold Equities</v>
      </c>
      <c r="G238">
        <f ca="1"/>
        <v>147</v>
      </c>
      <c r="H238" t="str">
        <f ca="1"/>
        <v>Pictet Fund Accounting</v>
      </c>
      <c r="I238" t="str">
        <f ca="1"/>
        <v>17509262-0</v>
      </c>
      <c r="J238" s="50">
        <f ca="1"/>
        <v>44775</v>
      </c>
      <c r="K238">
        <f ca="1"/>
        <v>257176</v>
      </c>
      <c r="L238" t="str">
        <f ca="1"/>
        <v>67991-0</v>
      </c>
      <c r="M238" t="str">
        <f ca="1"/>
        <v>PAN AMERICAN CVR-150129 -NON TRAD.-</v>
      </c>
      <c r="N238" t="str">
        <f ca="1"/>
        <v>USD</v>
      </c>
      <c r="O238" t="str">
        <f ca="1"/>
        <v>Contingent Value Right</v>
      </c>
      <c r="P238" t="str">
        <f ca="1"/>
        <v/>
      </c>
      <c r="Q238" t="str">
        <f ca="1"/>
        <v/>
      </c>
      <c r="R238" t="str">
        <f ca="1"/>
        <v>CA6979001329</v>
      </c>
      <c r="S238" t="str">
        <f ca="1"/>
        <v/>
      </c>
      <c r="T238" t="str">
        <f ca="1"/>
        <v>1700359D CN Equity</v>
      </c>
      <c r="U238">
        <f ca="1">IF(LEFT(_xll.BDP($T238,U$2),4)="#N/A",0,_xll.BDP($T238,U$2))</f>
        <v>0</v>
      </c>
      <c r="V238" t="e">
        <f>_xll.BDP(#REF!,V$2)</f>
        <v>#REF!</v>
      </c>
      <c r="W238" t="e">
        <f>_xll.BDP(#REF!,W$2)</f>
        <v>#REF!</v>
      </c>
      <c r="X238" t="e">
        <f>_xll.BDP(#REF!,X$2)</f>
        <v>#REF!</v>
      </c>
      <c r="Y238" t="e">
        <f>_xll.BDP(#REF!,Y$2)</f>
        <v>#REF!</v>
      </c>
      <c r="Z238" t="e">
        <f>_xll.BDP(#REF!,Z$2)</f>
        <v>#REF!</v>
      </c>
      <c r="AA238" t="e">
        <f>_xll.BDP(#REF!,AA$2)</f>
        <v>#REF!</v>
      </c>
      <c r="AD238">
        <f ca="1">IF(LEFT(_xll.BDP($T238,AD$2),4)="#N/A",-1,_xll.BDP($T238,AD$2))</f>
        <v>-1</v>
      </c>
    </row>
    <row r="239" spans="1:30">
      <c r="A239">
        <f ca="1"/>
        <v>149</v>
      </c>
      <c r="B239" t="str">
        <f ca="1"/>
        <v>iW ALTERNATIVE SIF</v>
      </c>
      <c r="C239" t="str">
        <f ca="1"/>
        <v>iW ALTERNATIVE SIF</v>
      </c>
      <c r="D239">
        <f ca="1"/>
        <v>67869</v>
      </c>
      <c r="E239" t="str">
        <f ca="1"/>
        <v>COMMODITIES &amp; GOLD EQUITIES</v>
      </c>
      <c r="F239" t="str">
        <f ca="1"/>
        <v>Commodities &amp; Gold Equities</v>
      </c>
      <c r="G239">
        <f ca="1"/>
        <v>147</v>
      </c>
      <c r="H239" t="str">
        <f ca="1"/>
        <v>Pictet Fund Accounting</v>
      </c>
      <c r="I239" t="str">
        <f ca="1"/>
        <v>17509165-0</v>
      </c>
      <c r="J239" s="50">
        <f ca="1"/>
        <v>44775</v>
      </c>
      <c r="K239">
        <f ca="1"/>
        <v>13522</v>
      </c>
      <c r="L239" t="str">
        <f ca="1"/>
        <v>67918-0</v>
      </c>
      <c r="M239" t="str">
        <f ca="1"/>
        <v>AGNICO EAGLE MINES</v>
      </c>
      <c r="N239" t="str">
        <f ca="1"/>
        <v>USD</v>
      </c>
      <c r="O239" t="str">
        <f ca="1"/>
        <v>Equity</v>
      </c>
      <c r="P239" t="str">
        <f ca="1"/>
        <v/>
      </c>
      <c r="Q239" t="str">
        <f ca="1"/>
        <v/>
      </c>
      <c r="R239" t="str">
        <f ca="1"/>
        <v>CA0084741085</v>
      </c>
      <c r="S239" t="str">
        <f ca="1"/>
        <v/>
      </c>
      <c r="T239" t="str">
        <f ca="1"/>
        <v>AEM UN Equity</v>
      </c>
      <c r="U239">
        <f ca="1">IF(LEFT(_xll.BDP($T239,U$2),4)="#N/A",0,_xll.BDP($T239,U$2))</f>
        <v>0</v>
      </c>
      <c r="V239" t="e">
        <f>_xll.BDP(#REF!,V$2)</f>
        <v>#REF!</v>
      </c>
      <c r="W239" t="e">
        <f>_xll.BDP(#REF!,W$2)</f>
        <v>#REF!</v>
      </c>
      <c r="X239" t="e">
        <f>_xll.BDP(#REF!,X$2)</f>
        <v>#REF!</v>
      </c>
      <c r="Y239" t="e">
        <f>_xll.BDP(#REF!,Y$2)</f>
        <v>#REF!</v>
      </c>
      <c r="Z239" t="e">
        <f>_xll.BDP(#REF!,Z$2)</f>
        <v>#REF!</v>
      </c>
      <c r="AA239" t="e">
        <f>_xll.BDP(#REF!,AA$2)</f>
        <v>#REF!</v>
      </c>
      <c r="AD239">
        <f ca="1">IF(LEFT(_xll.BDP($T239,AD$2),4)="#N/A",-1,_xll.BDP($T239,AD$2))</f>
        <v>940958.6875</v>
      </c>
    </row>
    <row r="240" spans="1:30">
      <c r="A240">
        <f ca="1"/>
        <v>149</v>
      </c>
      <c r="B240" t="str">
        <f ca="1"/>
        <v>iW ALTERNATIVE SIF</v>
      </c>
      <c r="C240" t="str">
        <f ca="1"/>
        <v>iW ALTERNATIVE SIF</v>
      </c>
      <c r="D240">
        <f ca="1"/>
        <v>67869</v>
      </c>
      <c r="E240" t="str">
        <f ca="1"/>
        <v>COMMODITIES &amp; GOLD EQUITIES</v>
      </c>
      <c r="F240" t="str">
        <f ca="1"/>
        <v>Commodities &amp; Gold Equities</v>
      </c>
      <c r="G240">
        <f ca="1"/>
        <v>147</v>
      </c>
      <c r="H240" t="str">
        <f ca="1"/>
        <v>Pictet Fund Accounting</v>
      </c>
      <c r="I240" t="str">
        <f ca="1"/>
        <v>17509208-0</v>
      </c>
      <c r="J240" s="50">
        <f ca="1"/>
        <v>44775</v>
      </c>
      <c r="K240">
        <f ca="1"/>
        <v>15000</v>
      </c>
      <c r="L240" t="str">
        <f ca="1"/>
        <v>68760-0</v>
      </c>
      <c r="M240" t="str">
        <f ca="1"/>
        <v>ALAMOS GOLD 'A'</v>
      </c>
      <c r="N240" t="str">
        <f ca="1"/>
        <v>USD</v>
      </c>
      <c r="O240" t="str">
        <f ca="1"/>
        <v>Equity</v>
      </c>
      <c r="P240" t="str">
        <f ca="1"/>
        <v/>
      </c>
      <c r="Q240" t="str">
        <f ca="1"/>
        <v/>
      </c>
      <c r="R240" t="str">
        <f ca="1"/>
        <v>CA0115321089</v>
      </c>
      <c r="S240" t="str">
        <f ca="1"/>
        <v/>
      </c>
      <c r="T240" t="str">
        <f ca="1"/>
        <v>AGI UN Equity</v>
      </c>
      <c r="U240">
        <f ca="1">IF(LEFT(_xll.BDP($T240,U$2),4)="#N/A",0,_xll.BDP($T240,U$2))</f>
        <v>0</v>
      </c>
      <c r="V240" t="e">
        <f>_xll.BDP(#REF!,V$2)</f>
        <v>#REF!</v>
      </c>
      <c r="W240" t="e">
        <f>_xll.BDP(#REF!,W$2)</f>
        <v>#REF!</v>
      </c>
      <c r="X240" t="e">
        <f>_xll.BDP(#REF!,X$2)</f>
        <v>#REF!</v>
      </c>
      <c r="Y240" t="e">
        <f>_xll.BDP(#REF!,Y$2)</f>
        <v>#REF!</v>
      </c>
      <c r="Z240" t="e">
        <f>_xll.BDP(#REF!,Z$2)</f>
        <v>#REF!</v>
      </c>
      <c r="AA240" t="e">
        <f>_xll.BDP(#REF!,AA$2)</f>
        <v>#REF!</v>
      </c>
      <c r="AD240">
        <f ca="1">IF(LEFT(_xll.BDP($T240,AD$2),4)="#N/A",-1,_xll.BDP($T240,AD$2))</f>
        <v>905350.625</v>
      </c>
    </row>
    <row r="241" spans="1:30">
      <c r="A241">
        <f ca="1"/>
        <v>149</v>
      </c>
      <c r="B241" t="str">
        <f ca="1"/>
        <v>iW ALTERNATIVE SIF</v>
      </c>
      <c r="C241" t="str">
        <f ca="1"/>
        <v>iW ALTERNATIVE SIF</v>
      </c>
      <c r="D241">
        <f ca="1"/>
        <v>67869</v>
      </c>
      <c r="E241" t="str">
        <f ca="1"/>
        <v>COMMODITIES &amp; GOLD EQUITIES</v>
      </c>
      <c r="F241" t="str">
        <f ca="1"/>
        <v>Commodities &amp; Gold Equities</v>
      </c>
      <c r="G241">
        <f ca="1"/>
        <v>147</v>
      </c>
      <c r="H241" t="str">
        <f ca="1"/>
        <v>Pictet Fund Accounting</v>
      </c>
      <c r="I241" t="str">
        <f ca="1"/>
        <v>17509233-0</v>
      </c>
      <c r="J241" s="50">
        <f ca="1"/>
        <v>44775</v>
      </c>
      <c r="K241">
        <f ca="1"/>
        <v>25000</v>
      </c>
      <c r="L241" t="str">
        <f ca="1"/>
        <v>67967-0</v>
      </c>
      <c r="M241" t="str">
        <f ca="1"/>
        <v>ALEXCO RESOURCE</v>
      </c>
      <c r="N241" t="str">
        <f ca="1"/>
        <v>USD</v>
      </c>
      <c r="O241" t="str">
        <f ca="1"/>
        <v>Equity</v>
      </c>
      <c r="P241" t="str">
        <f ca="1"/>
        <v/>
      </c>
      <c r="Q241" t="str">
        <f ca="1"/>
        <v/>
      </c>
      <c r="R241" t="str">
        <f ca="1"/>
        <v>CA01535P1062</v>
      </c>
      <c r="S241" t="str">
        <f ca="1"/>
        <v/>
      </c>
      <c r="T241" t="str">
        <f ca="1"/>
        <v>AXU UA Equity</v>
      </c>
      <c r="U241">
        <f ca="1">IF(LEFT(_xll.BDP($T241,U$2),4)="#N/A",0,_xll.BDP($T241,U$2))</f>
        <v>0</v>
      </c>
      <c r="V241" t="e">
        <f>_xll.BDP(#REF!,V$2)</f>
        <v>#REF!</v>
      </c>
      <c r="W241" t="e">
        <f>_xll.BDP(#REF!,W$2)</f>
        <v>#REF!</v>
      </c>
      <c r="X241" t="e">
        <f>_xll.BDP(#REF!,X$2)</f>
        <v>#REF!</v>
      </c>
      <c r="Y241" t="e">
        <f>_xll.BDP(#REF!,Y$2)</f>
        <v>#REF!</v>
      </c>
      <c r="Z241" t="e">
        <f>_xll.BDP(#REF!,Z$2)</f>
        <v>#REF!</v>
      </c>
      <c r="AA241" t="e">
        <f>_xll.BDP(#REF!,AA$2)</f>
        <v>#REF!</v>
      </c>
      <c r="AD241">
        <f ca="1">IF(LEFT(_xll.BDP($T241,AD$2),4)="#N/A",-1,_xll.BDP($T241,AD$2))</f>
        <v>129102.203125</v>
      </c>
    </row>
    <row r="242" spans="1:30">
      <c r="A242">
        <f ca="1"/>
        <v>149</v>
      </c>
      <c r="B242" t="str">
        <f ca="1"/>
        <v>iW ALTERNATIVE SIF</v>
      </c>
      <c r="C242" t="str">
        <f ca="1"/>
        <v>iW ALTERNATIVE SIF</v>
      </c>
      <c r="D242">
        <f ca="1"/>
        <v>67869</v>
      </c>
      <c r="E242" t="str">
        <f ca="1"/>
        <v>COMMODITIES &amp; GOLD EQUITIES</v>
      </c>
      <c r="F242" t="str">
        <f ca="1"/>
        <v>Commodities &amp; Gold Equities</v>
      </c>
      <c r="G242">
        <f ca="1"/>
        <v>147</v>
      </c>
      <c r="H242" t="str">
        <f ca="1"/>
        <v>Pictet Fund Accounting</v>
      </c>
      <c r="I242" t="str">
        <f ca="1"/>
        <v>17509209-0</v>
      </c>
      <c r="J242" s="50">
        <f ca="1"/>
        <v>44775</v>
      </c>
      <c r="K242">
        <f ca="1"/>
        <v>10000</v>
      </c>
      <c r="L242" t="str">
        <f ca="1"/>
        <v>67954-0</v>
      </c>
      <c r="M242" t="str">
        <f ca="1"/>
        <v>ALMADEN MINERALS</v>
      </c>
      <c r="N242" t="str">
        <f ca="1"/>
        <v>CAD</v>
      </c>
      <c r="O242" t="str">
        <f ca="1"/>
        <v>Equity</v>
      </c>
      <c r="P242" t="str">
        <f ca="1"/>
        <v/>
      </c>
      <c r="Q242" t="str">
        <f ca="1"/>
        <v/>
      </c>
      <c r="R242" t="str">
        <f ca="1"/>
        <v>CA0202833053</v>
      </c>
      <c r="S242" t="str">
        <f ca="1"/>
        <v/>
      </c>
      <c r="T242" t="str">
        <f ca="1"/>
        <v>AMM CT Equity</v>
      </c>
      <c r="U242">
        <f ca="1">IF(LEFT(_xll.BDP($T242,U$2),4)="#N/A",0,_xll.BDP($T242,U$2))</f>
        <v>0</v>
      </c>
      <c r="V242" t="e">
        <f>_xll.BDP(#REF!,V$2)</f>
        <v>#REF!</v>
      </c>
      <c r="W242" t="e">
        <f>_xll.BDP(#REF!,W$2)</f>
        <v>#REF!</v>
      </c>
      <c r="X242" t="e">
        <f>_xll.BDP(#REF!,X$2)</f>
        <v>#REF!</v>
      </c>
      <c r="Y242" t="e">
        <f>_xll.BDP(#REF!,Y$2)</f>
        <v>#REF!</v>
      </c>
      <c r="Z242" t="e">
        <f>_xll.BDP(#REF!,Z$2)</f>
        <v>#REF!</v>
      </c>
      <c r="AA242" t="e">
        <f>_xll.BDP(#REF!,AA$2)</f>
        <v>#REF!</v>
      </c>
      <c r="AD242">
        <f ca="1">IF(LEFT(_xll.BDP($T242,AD$2),4)="#N/A",-1,_xll.BDP($T242,AD$2))</f>
        <v>12520.1</v>
      </c>
    </row>
    <row r="243" spans="1:30">
      <c r="A243">
        <f ca="1"/>
        <v>149</v>
      </c>
      <c r="B243" t="str">
        <f ca="1"/>
        <v>iW ALTERNATIVE SIF</v>
      </c>
      <c r="C243" t="str">
        <f ca="1"/>
        <v>iW ALTERNATIVE SIF</v>
      </c>
      <c r="D243">
        <f ca="1"/>
        <v>67869</v>
      </c>
      <c r="E243" t="str">
        <f ca="1"/>
        <v>COMMODITIES &amp; GOLD EQUITIES</v>
      </c>
      <c r="F243" t="str">
        <f ca="1"/>
        <v>Commodities &amp; Gold Equities</v>
      </c>
      <c r="G243">
        <f ca="1"/>
        <v>147</v>
      </c>
      <c r="H243" t="str">
        <f ca="1"/>
        <v>Pictet Fund Accounting</v>
      </c>
      <c r="I243" t="str">
        <f ca="1"/>
        <v>17509242-0</v>
      </c>
      <c r="J243" s="50">
        <f ca="1"/>
        <v>44775</v>
      </c>
      <c r="K243">
        <f ca="1"/>
        <v>6000</v>
      </c>
      <c r="L243" t="str">
        <f ca="1"/>
        <v>67974-0</v>
      </c>
      <c r="M243" t="str">
        <f ca="1"/>
        <v>ALMADEX MINERALS</v>
      </c>
      <c r="N243" t="str">
        <f ca="1"/>
        <v>CAD</v>
      </c>
      <c r="O243" t="str">
        <f ca="1"/>
        <v>Equity</v>
      </c>
      <c r="P243" t="str">
        <f ca="1"/>
        <v/>
      </c>
      <c r="Q243" t="str">
        <f ca="1"/>
        <v/>
      </c>
      <c r="R243" t="str">
        <f ca="1"/>
        <v>CA02028L1076</v>
      </c>
      <c r="S243" t="str">
        <f ca="1"/>
        <v/>
      </c>
      <c r="T243" t="str">
        <f ca="1"/>
        <v>DEX CV Equity</v>
      </c>
      <c r="U243">
        <f ca="1">IF(LEFT(_xll.BDP($T243,U$2),4)="#N/A",0,_xll.BDP($T243,U$2))</f>
        <v>0</v>
      </c>
      <c r="V243" t="e">
        <f>_xll.BDP(#REF!,V$2)</f>
        <v>#REF!</v>
      </c>
      <c r="W243" t="e">
        <f>_xll.BDP(#REF!,W$2)</f>
        <v>#REF!</v>
      </c>
      <c r="X243" t="e">
        <f>_xll.BDP(#REF!,X$2)</f>
        <v>#REF!</v>
      </c>
      <c r="Y243" t="e">
        <f>_xll.BDP(#REF!,Y$2)</f>
        <v>#REF!</v>
      </c>
      <c r="Z243" t="e">
        <f>_xll.BDP(#REF!,Z$2)</f>
        <v>#REF!</v>
      </c>
      <c r="AA243" t="e">
        <f>_xll.BDP(#REF!,AA$2)</f>
        <v>#REF!</v>
      </c>
      <c r="AD243">
        <f ca="1">IF(LEFT(_xll.BDP($T243,AD$2),4)="#N/A",-1,_xll.BDP($T243,AD$2))</f>
        <v>27563</v>
      </c>
    </row>
    <row r="244" spans="1:30">
      <c r="A244">
        <f ca="1"/>
        <v>149</v>
      </c>
      <c r="B244" t="str">
        <f ca="1"/>
        <v>iW ALTERNATIVE SIF</v>
      </c>
      <c r="C244" t="str">
        <f ca="1"/>
        <v>iW ALTERNATIVE SIF</v>
      </c>
      <c r="D244">
        <f ca="1"/>
        <v>67869</v>
      </c>
      <c r="E244" t="str">
        <f ca="1"/>
        <v>COMMODITIES &amp; GOLD EQUITIES</v>
      </c>
      <c r="F244" t="str">
        <f ca="1"/>
        <v>Commodities &amp; Gold Equities</v>
      </c>
      <c r="G244">
        <f ca="1"/>
        <v>147</v>
      </c>
      <c r="H244" t="str">
        <f ca="1"/>
        <v>Pictet Fund Accounting</v>
      </c>
      <c r="I244" t="str">
        <f ca="1"/>
        <v>17509183-0</v>
      </c>
      <c r="J244" s="50">
        <f ca="1"/>
        <v>44775</v>
      </c>
      <c r="K244">
        <f ca="1"/>
        <v>571</v>
      </c>
      <c r="L244" t="str">
        <f ca="1"/>
        <v>155266-0</v>
      </c>
      <c r="M244" t="str">
        <f ca="1"/>
        <v>AM FUTURE FUEL</v>
      </c>
      <c r="N244" t="str">
        <f ca="1"/>
        <v>CAD</v>
      </c>
      <c r="O244" t="str">
        <f ca="1"/>
        <v>Equity</v>
      </c>
      <c r="P244" t="str">
        <f ca="1"/>
        <v/>
      </c>
      <c r="Q244" t="str">
        <f ca="1"/>
        <v/>
      </c>
      <c r="R244" t="str">
        <f ca="1"/>
        <v>CA02632Q1046</v>
      </c>
      <c r="S244" t="str">
        <f ca="1"/>
        <v/>
      </c>
      <c r="T244" t="str">
        <f ca="1"/>
        <v>AMPS CN Equity</v>
      </c>
      <c r="U244">
        <f ca="1">IF(LEFT(_xll.BDP($T244,U$2),4)="#N/A",0,_xll.BDP($T244,U$2))</f>
        <v>0</v>
      </c>
      <c r="V244" t="e">
        <f>_xll.BDP(#REF!,V$2)</f>
        <v>#REF!</v>
      </c>
      <c r="W244" t="e">
        <f>_xll.BDP(#REF!,W$2)</f>
        <v>#REF!</v>
      </c>
      <c r="X244" t="e">
        <f>_xll.BDP(#REF!,X$2)</f>
        <v>#REF!</v>
      </c>
      <c r="Y244" t="e">
        <f>_xll.BDP(#REF!,Y$2)</f>
        <v>#REF!</v>
      </c>
      <c r="Z244" t="e">
        <f>_xll.BDP(#REF!,Z$2)</f>
        <v>#REF!</v>
      </c>
      <c r="AA244" t="e">
        <f>_xll.BDP(#REF!,AA$2)</f>
        <v>#REF!</v>
      </c>
      <c r="AD244">
        <f ca="1">IF(LEFT(_xll.BDP($T244,AD$2),4)="#N/A",-1,_xll.BDP($T244,AD$2))</f>
        <v>59052.2</v>
      </c>
    </row>
    <row r="245" spans="1:30">
      <c r="A245">
        <f ca="1"/>
        <v>149</v>
      </c>
      <c r="B245" t="str">
        <f ca="1"/>
        <v>iW ALTERNATIVE SIF</v>
      </c>
      <c r="C245" t="str">
        <f ca="1"/>
        <v>iW ALTERNATIVE SIF</v>
      </c>
      <c r="D245">
        <f ca="1"/>
        <v>67869</v>
      </c>
      <c r="E245" t="str">
        <f ca="1"/>
        <v>COMMODITIES &amp; GOLD EQUITIES</v>
      </c>
      <c r="F245" t="str">
        <f ca="1"/>
        <v>Commodities &amp; Gold Equities</v>
      </c>
      <c r="G245">
        <f ca="1"/>
        <v>147</v>
      </c>
      <c r="H245" t="str">
        <f ca="1"/>
        <v>Pictet Fund Accounting</v>
      </c>
      <c r="I245" t="str">
        <f ca="1"/>
        <v>17509250-0</v>
      </c>
      <c r="J245" s="50">
        <f ca="1"/>
        <v>44775</v>
      </c>
      <c r="K245">
        <f ca="1"/>
        <v>40000</v>
      </c>
      <c r="L245" t="str">
        <f ca="1"/>
        <v>68762-0</v>
      </c>
      <c r="M245" t="str">
        <f ca="1"/>
        <v>AMERICAS GOLD AND SILVER CORP</v>
      </c>
      <c r="N245" t="str">
        <f ca="1"/>
        <v>CAD</v>
      </c>
      <c r="O245" t="str">
        <f ca="1"/>
        <v>Equity</v>
      </c>
      <c r="P245" t="str">
        <f ca="1"/>
        <v/>
      </c>
      <c r="Q245" t="str">
        <f ca="1"/>
        <v/>
      </c>
      <c r="R245" t="str">
        <f ca="1"/>
        <v>CA03062D1006</v>
      </c>
      <c r="S245" t="str">
        <f ca="1"/>
        <v/>
      </c>
      <c r="T245" t="str">
        <f ca="1"/>
        <v>USA CN Equity</v>
      </c>
      <c r="U245">
        <f ca="1">IF(LEFT(_xll.BDP($T245,U$2),4)="#N/A",0,_xll.BDP($T245,U$2))</f>
        <v>0</v>
      </c>
      <c r="V245" t="e">
        <f>_xll.BDP(#REF!,V$2)</f>
        <v>#REF!</v>
      </c>
      <c r="W245" t="e">
        <f>_xll.BDP(#REF!,W$2)</f>
        <v>#REF!</v>
      </c>
      <c r="X245" t="e">
        <f>_xll.BDP(#REF!,X$2)</f>
        <v>#REF!</v>
      </c>
      <c r="Y245" t="e">
        <f>_xll.BDP(#REF!,Y$2)</f>
        <v>#REF!</v>
      </c>
      <c r="Z245" t="e">
        <f>_xll.BDP(#REF!,Z$2)</f>
        <v>#REF!</v>
      </c>
      <c r="AA245" t="e">
        <f>_xll.BDP(#REF!,AA$2)</f>
        <v>#REF!</v>
      </c>
      <c r="AD245">
        <f ca="1">IF(LEFT(_xll.BDP($T245,AD$2),4)="#N/A",-1,_xll.BDP($T245,AD$2))</f>
        <v>511950.3</v>
      </c>
    </row>
    <row r="246" spans="1:30">
      <c r="A246">
        <f ca="1"/>
        <v>149</v>
      </c>
      <c r="B246" t="str">
        <f ca="1"/>
        <v>iW ALTERNATIVE SIF</v>
      </c>
      <c r="C246" t="str">
        <f ca="1"/>
        <v>iW ALTERNATIVE SIF</v>
      </c>
      <c r="D246">
        <f ca="1"/>
        <v>67869</v>
      </c>
      <c r="E246" t="str">
        <f ca="1"/>
        <v>COMMODITIES &amp; GOLD EQUITIES</v>
      </c>
      <c r="F246" t="str">
        <f ca="1"/>
        <v>Commodities &amp; Gold Equities</v>
      </c>
      <c r="G246">
        <f ca="1"/>
        <v>147</v>
      </c>
      <c r="H246" t="str">
        <f ca="1"/>
        <v>Pictet Fund Accounting</v>
      </c>
      <c r="I246" t="str">
        <f ca="1"/>
        <v>17509158-0</v>
      </c>
      <c r="J246" s="50">
        <f ca="1"/>
        <v>44775</v>
      </c>
      <c r="K246">
        <f ca="1"/>
        <v>84585</v>
      </c>
      <c r="L246" t="str">
        <f ca="1"/>
        <v>67909-0</v>
      </c>
      <c r="M246" t="str">
        <f ca="1"/>
        <v>ARGONAUT GOLD</v>
      </c>
      <c r="N246" t="str">
        <f ca="1"/>
        <v>CAD</v>
      </c>
      <c r="O246" t="str">
        <f ca="1"/>
        <v>Equity</v>
      </c>
      <c r="P246" t="str">
        <f ca="1"/>
        <v/>
      </c>
      <c r="Q246" t="str">
        <f ca="1"/>
        <v/>
      </c>
      <c r="R246" t="str">
        <f ca="1"/>
        <v>CA04016A1012</v>
      </c>
      <c r="S246" t="str">
        <f ca="1"/>
        <v/>
      </c>
      <c r="T246" t="str">
        <f ca="1"/>
        <v>AR CT Equity</v>
      </c>
      <c r="U246">
        <f ca="1">IF(LEFT(_xll.BDP($T246,U$2),4)="#N/A",0,_xll.BDP($T246,U$2))</f>
        <v>0</v>
      </c>
      <c r="V246" t="e">
        <f>_xll.BDP(#REF!,V$2)</f>
        <v>#REF!</v>
      </c>
      <c r="W246" t="e">
        <f>_xll.BDP(#REF!,W$2)</f>
        <v>#REF!</v>
      </c>
      <c r="X246" t="e">
        <f>_xll.BDP(#REF!,X$2)</f>
        <v>#REF!</v>
      </c>
      <c r="Y246" t="e">
        <f>_xll.BDP(#REF!,Y$2)</f>
        <v>#REF!</v>
      </c>
      <c r="Z246" t="e">
        <f>_xll.BDP(#REF!,Z$2)</f>
        <v>#REF!</v>
      </c>
      <c r="AA246" t="e">
        <f>_xll.BDP(#REF!,AA$2)</f>
        <v>#REF!</v>
      </c>
      <c r="AD246">
        <f ca="1">IF(LEFT(_xll.BDP($T246,AD$2),4)="#N/A",-1,_xll.BDP($T246,AD$2))</f>
        <v>3247076</v>
      </c>
    </row>
    <row r="247" spans="1:30">
      <c r="A247">
        <f ca="1"/>
        <v>149</v>
      </c>
      <c r="B247" t="str">
        <f ca="1"/>
        <v>iW ALTERNATIVE SIF</v>
      </c>
      <c r="C247" t="str">
        <f ca="1"/>
        <v>iW ALTERNATIVE SIF</v>
      </c>
      <c r="D247">
        <f ca="1"/>
        <v>67869</v>
      </c>
      <c r="E247" t="str">
        <f ca="1"/>
        <v>COMMODITIES &amp; GOLD EQUITIES</v>
      </c>
      <c r="F247" t="str">
        <f ca="1"/>
        <v>Commodities &amp; Gold Equities</v>
      </c>
      <c r="G247">
        <f ca="1"/>
        <v>147</v>
      </c>
      <c r="H247" t="str">
        <f ca="1"/>
        <v>Pictet Fund Accounting</v>
      </c>
      <c r="I247" t="str">
        <f ca="1"/>
        <v>17509276-0</v>
      </c>
      <c r="J247" s="50">
        <f ca="1"/>
        <v>44775</v>
      </c>
      <c r="K247">
        <f ca="1"/>
        <v>20000</v>
      </c>
      <c r="L247" t="str">
        <f ca="1"/>
        <v>68002-0</v>
      </c>
      <c r="M247" t="str">
        <f ca="1"/>
        <v>ATNA RESOURCES</v>
      </c>
      <c r="N247" t="str">
        <f ca="1"/>
        <v>CAD</v>
      </c>
      <c r="O247" t="str">
        <f ca="1"/>
        <v>Equity</v>
      </c>
      <c r="P247" t="str">
        <f ca="1"/>
        <v/>
      </c>
      <c r="Q247" t="str">
        <f ca="1"/>
        <v/>
      </c>
      <c r="R247" t="str">
        <f ca="1"/>
        <v>CA04957F1018</v>
      </c>
      <c r="S247" t="str">
        <f ca="1"/>
        <v/>
      </c>
      <c r="T247" t="str">
        <f ca="1"/>
        <v/>
      </c>
      <c r="U247">
        <f ca="1">IF(LEFT(_xll.BDP($T247,U$2),4)="#N/A",0,_xll.BDP($T247,U$2))</f>
        <v>0</v>
      </c>
      <c r="V247" t="e">
        <f>_xll.BDP(#REF!,V$2)</f>
        <v>#REF!</v>
      </c>
      <c r="W247" t="e">
        <f>_xll.BDP(#REF!,W$2)</f>
        <v>#REF!</v>
      </c>
      <c r="X247" t="e">
        <f>_xll.BDP(#REF!,X$2)</f>
        <v>#REF!</v>
      </c>
      <c r="Y247" t="e">
        <f>_xll.BDP(#REF!,Y$2)</f>
        <v>#REF!</v>
      </c>
      <c r="Z247" t="e">
        <f>_xll.BDP(#REF!,Z$2)</f>
        <v>#REF!</v>
      </c>
      <c r="AA247" t="e">
        <f>_xll.BDP(#REF!,AA$2)</f>
        <v>#REF!</v>
      </c>
      <c r="AD247">
        <f ca="1">IF(LEFT(_xll.BDP($T247,AD$2),4)="#N/A",-1,_xll.BDP($T247,AD$2))</f>
        <v>-1</v>
      </c>
    </row>
    <row r="248" spans="1:30">
      <c r="A248">
        <f ca="1"/>
        <v>149</v>
      </c>
      <c r="B248" t="str">
        <f ca="1"/>
        <v>iW ALTERNATIVE SIF</v>
      </c>
      <c r="C248" t="str">
        <f ca="1"/>
        <v>iW ALTERNATIVE SIF</v>
      </c>
      <c r="D248">
        <f ca="1"/>
        <v>67869</v>
      </c>
      <c r="E248" t="str">
        <f ca="1"/>
        <v>COMMODITIES &amp; GOLD EQUITIES</v>
      </c>
      <c r="F248" t="str">
        <f ca="1"/>
        <v>Commodities &amp; Gold Equities</v>
      </c>
      <c r="G248">
        <f ca="1"/>
        <v>147</v>
      </c>
      <c r="H248" t="str">
        <f ca="1"/>
        <v>Pictet Fund Accounting</v>
      </c>
      <c r="I248" t="str">
        <f ca="1"/>
        <v>17509218-0</v>
      </c>
      <c r="J248" s="50">
        <f ca="1"/>
        <v>44775</v>
      </c>
      <c r="K248">
        <f ca="1"/>
        <v>6360</v>
      </c>
      <c r="L248" t="str">
        <f ca="1"/>
        <v>67960-0</v>
      </c>
      <c r="M248" t="str">
        <f ca="1"/>
        <v>AURA MINERALS</v>
      </c>
      <c r="N248" t="str">
        <f ca="1"/>
        <v>EUR</v>
      </c>
      <c r="O248" t="str">
        <f ca="1"/>
        <v>Equity</v>
      </c>
      <c r="P248" t="str">
        <f ca="1"/>
        <v/>
      </c>
      <c r="Q248" t="str">
        <f ca="1"/>
        <v/>
      </c>
      <c r="R248" t="str">
        <f ca="1"/>
        <v>VGG069731120</v>
      </c>
      <c r="S248" t="str">
        <f ca="1"/>
        <v/>
      </c>
      <c r="T248" t="str">
        <f ca="1"/>
        <v>A531 GB Equity</v>
      </c>
      <c r="U248">
        <f ca="1">IF(LEFT(_xll.BDP($T248,U$2),4)="#N/A",0,_xll.BDP($T248,U$2))</f>
        <v>0</v>
      </c>
      <c r="V248" t="e">
        <f>_xll.BDP(#REF!,V$2)</f>
        <v>#REF!</v>
      </c>
      <c r="W248" t="e">
        <f>_xll.BDP(#REF!,W$2)</f>
        <v>#REF!</v>
      </c>
      <c r="X248" t="e">
        <f>_xll.BDP(#REF!,X$2)</f>
        <v>#REF!</v>
      </c>
      <c r="Y248" t="e">
        <f>_xll.BDP(#REF!,Y$2)</f>
        <v>#REF!</v>
      </c>
      <c r="Z248" t="e">
        <f>_xll.BDP(#REF!,Z$2)</f>
        <v>#REF!</v>
      </c>
      <c r="AA248" t="e">
        <f>_xll.BDP(#REF!,AA$2)</f>
        <v>#REF!</v>
      </c>
      <c r="AD248">
        <f ca="1">IF(LEFT(_xll.BDP($T248,AD$2),4)="#N/A",-1,_xll.BDP($T248,AD$2))</f>
        <v>0</v>
      </c>
    </row>
    <row r="249" spans="1:30">
      <c r="A249">
        <f ca="1"/>
        <v>149</v>
      </c>
      <c r="B249" t="str">
        <f ca="1"/>
        <v>iW ALTERNATIVE SIF</v>
      </c>
      <c r="C249" t="str">
        <f ca="1"/>
        <v>iW ALTERNATIVE SIF</v>
      </c>
      <c r="D249">
        <f ca="1"/>
        <v>67869</v>
      </c>
      <c r="E249" t="str">
        <f ca="1"/>
        <v>COMMODITIES &amp; GOLD EQUITIES</v>
      </c>
      <c r="F249" t="str">
        <f ca="1"/>
        <v>Commodities &amp; Gold Equities</v>
      </c>
      <c r="G249">
        <f ca="1"/>
        <v>147</v>
      </c>
      <c r="H249" t="str">
        <f ca="1"/>
        <v>Pictet Fund Accounting</v>
      </c>
      <c r="I249" t="str">
        <f ca="1"/>
        <v>17509210-0</v>
      </c>
      <c r="J249" s="50">
        <f ca="1"/>
        <v>44775</v>
      </c>
      <c r="K249">
        <f ca="1"/>
        <v>6000</v>
      </c>
      <c r="L249" t="str">
        <f ca="1"/>
        <v>67955-0</v>
      </c>
      <c r="M249" t="str">
        <f ca="1"/>
        <v>AZUCAR MINERALS</v>
      </c>
      <c r="N249" t="str">
        <f ca="1"/>
        <v>CAD</v>
      </c>
      <c r="O249" t="str">
        <f ca="1"/>
        <v>Equity</v>
      </c>
      <c r="P249" t="str">
        <f ca="1"/>
        <v/>
      </c>
      <c r="Q249" t="str">
        <f ca="1"/>
        <v/>
      </c>
      <c r="R249" t="str">
        <f ca="1"/>
        <v>CA05501V1040</v>
      </c>
      <c r="S249" t="str">
        <f ca="1"/>
        <v/>
      </c>
      <c r="T249" t="str">
        <f ca="1"/>
        <v>AMZ CV Equity</v>
      </c>
      <c r="U249">
        <f ca="1">IF(LEFT(_xll.BDP($T249,U$2),4)="#N/A",0,_xll.BDP($T249,U$2))</f>
        <v>0</v>
      </c>
      <c r="V249" t="e">
        <f>_xll.BDP(#REF!,V$2)</f>
        <v>#REF!</v>
      </c>
      <c r="W249" t="e">
        <f>_xll.BDP(#REF!,W$2)</f>
        <v>#REF!</v>
      </c>
      <c r="X249" t="e">
        <f>_xll.BDP(#REF!,X$2)</f>
        <v>#REF!</v>
      </c>
      <c r="Y249" t="e">
        <f>_xll.BDP(#REF!,Y$2)</f>
        <v>#REF!</v>
      </c>
      <c r="Z249" t="e">
        <f>_xll.BDP(#REF!,Z$2)</f>
        <v>#REF!</v>
      </c>
      <c r="AA249" t="e">
        <f>_xll.BDP(#REF!,AA$2)</f>
        <v>#REF!</v>
      </c>
      <c r="AD249">
        <f ca="1">IF(LEFT(_xll.BDP($T249,AD$2),4)="#N/A",-1,_xll.BDP($T249,AD$2))</f>
        <v>15351.05</v>
      </c>
    </row>
    <row r="250" spans="1:30">
      <c r="A250">
        <f ca="1"/>
        <v>149</v>
      </c>
      <c r="B250" t="str">
        <f ca="1"/>
        <v>iW ALTERNATIVE SIF</v>
      </c>
      <c r="C250" t="str">
        <f ca="1"/>
        <v>iW ALTERNATIVE SIF</v>
      </c>
      <c r="D250">
        <f ca="1"/>
        <v>67869</v>
      </c>
      <c r="E250" t="str">
        <f ca="1"/>
        <v>COMMODITIES &amp; GOLD EQUITIES</v>
      </c>
      <c r="F250" t="str">
        <f ca="1"/>
        <v>Commodities &amp; Gold Equities</v>
      </c>
      <c r="G250">
        <f ca="1"/>
        <v>147</v>
      </c>
      <c r="H250" t="str">
        <f ca="1"/>
        <v>Pictet Fund Accounting</v>
      </c>
      <c r="I250" t="str">
        <f ca="1"/>
        <v>17509191-0</v>
      </c>
      <c r="J250" s="50">
        <f ca="1"/>
        <v>44775</v>
      </c>
      <c r="K250">
        <f ca="1"/>
        <v>10000</v>
      </c>
      <c r="L250" t="str">
        <f ca="1"/>
        <v>67937-0</v>
      </c>
      <c r="M250" t="str">
        <f ca="1"/>
        <v>B2GOLD</v>
      </c>
      <c r="N250" t="str">
        <f ca="1"/>
        <v>USD</v>
      </c>
      <c r="O250" t="str">
        <f ca="1"/>
        <v>Equity</v>
      </c>
      <c r="P250" t="str">
        <f ca="1"/>
        <v/>
      </c>
      <c r="Q250" t="str">
        <f ca="1"/>
        <v/>
      </c>
      <c r="R250" t="str">
        <f ca="1"/>
        <v>CA11777Q2099</v>
      </c>
      <c r="S250" t="str">
        <f ca="1"/>
        <v/>
      </c>
      <c r="T250" t="str">
        <f ca="1"/>
        <v>BTG UA Equity</v>
      </c>
      <c r="U250">
        <f ca="1">IF(LEFT(_xll.BDP($T250,U$2),4)="#N/A",0,_xll.BDP($T250,U$2))</f>
        <v>0</v>
      </c>
      <c r="V250" t="e">
        <f>_xll.BDP(#REF!,V$2)</f>
        <v>#REF!</v>
      </c>
      <c r="W250" t="e">
        <f>_xll.BDP(#REF!,W$2)</f>
        <v>#REF!</v>
      </c>
      <c r="X250" t="e">
        <f>_xll.BDP(#REF!,X$2)</f>
        <v>#REF!</v>
      </c>
      <c r="Y250" t="e">
        <f>_xll.BDP(#REF!,Y$2)</f>
        <v>#REF!</v>
      </c>
      <c r="Z250" t="e">
        <f>_xll.BDP(#REF!,Z$2)</f>
        <v>#REF!</v>
      </c>
      <c r="AA250" t="e">
        <f>_xll.BDP(#REF!,AA$2)</f>
        <v>#REF!</v>
      </c>
      <c r="AD250">
        <f ca="1">IF(LEFT(_xll.BDP($T250,AD$2),4)="#N/A",-1,_xll.BDP($T250,AD$2))</f>
        <v>383547.9375</v>
      </c>
    </row>
    <row r="251" spans="1:30">
      <c r="A251">
        <f ca="1"/>
        <v>149</v>
      </c>
      <c r="B251" t="str">
        <f ca="1"/>
        <v>iW ALTERNATIVE SIF</v>
      </c>
      <c r="C251" t="str">
        <f ca="1"/>
        <v>iW ALTERNATIVE SIF</v>
      </c>
      <c r="D251">
        <f ca="1"/>
        <v>67869</v>
      </c>
      <c r="E251" t="str">
        <f ca="1"/>
        <v>COMMODITIES &amp; GOLD EQUITIES</v>
      </c>
      <c r="F251" t="str">
        <f ca="1"/>
        <v>Commodities &amp; Gold Equities</v>
      </c>
      <c r="G251">
        <f ca="1"/>
        <v>147</v>
      </c>
      <c r="H251" t="str">
        <f ca="1"/>
        <v>Pictet Fund Accounting</v>
      </c>
      <c r="I251" t="str">
        <f ca="1"/>
        <v>17509223-0</v>
      </c>
      <c r="J251" s="50">
        <f ca="1"/>
        <v>44775</v>
      </c>
      <c r="K251">
        <f ca="1"/>
        <v>60000</v>
      </c>
      <c r="L251" t="str">
        <f ca="1"/>
        <v>67962-0</v>
      </c>
      <c r="M251" t="str">
        <f ca="1"/>
        <v>B2GOLD</v>
      </c>
      <c r="N251" t="str">
        <f ca="1"/>
        <v>CAD</v>
      </c>
      <c r="O251" t="str">
        <f ca="1"/>
        <v>Equity</v>
      </c>
      <c r="P251" t="str">
        <f ca="1"/>
        <v/>
      </c>
      <c r="Q251" t="str">
        <f ca="1"/>
        <v/>
      </c>
      <c r="R251" t="str">
        <f ca="1"/>
        <v>CA11777Q2099</v>
      </c>
      <c r="S251" t="str">
        <f ca="1"/>
        <v/>
      </c>
      <c r="T251" t="str">
        <f ca="1"/>
        <v>BTO CN Equity</v>
      </c>
      <c r="U251">
        <f ca="1">IF(LEFT(_xll.BDP($T251,U$2),4)="#N/A",0,_xll.BDP($T251,U$2))</f>
        <v>0</v>
      </c>
      <c r="V251" t="e">
        <f>_xll.BDP(#REF!,V$2)</f>
        <v>#REF!</v>
      </c>
      <c r="W251" t="e">
        <f>_xll.BDP(#REF!,W$2)</f>
        <v>#REF!</v>
      </c>
      <c r="X251" t="e">
        <f>_xll.BDP(#REF!,X$2)</f>
        <v>#REF!</v>
      </c>
      <c r="Y251" t="e">
        <f>_xll.BDP(#REF!,Y$2)</f>
        <v>#REF!</v>
      </c>
      <c r="Z251" t="e">
        <f>_xll.BDP(#REF!,Z$2)</f>
        <v>#REF!</v>
      </c>
      <c r="AA251" t="e">
        <f>_xll.BDP(#REF!,AA$2)</f>
        <v>#REF!</v>
      </c>
      <c r="AD251">
        <f ca="1">IF(LEFT(_xll.BDP($T251,AD$2),4)="#N/A",-1,_xll.BDP($T251,AD$2))</f>
        <v>5090887</v>
      </c>
    </row>
    <row r="252" spans="1:30">
      <c r="A252">
        <f ca="1"/>
        <v>149</v>
      </c>
      <c r="B252" t="str">
        <f ca="1"/>
        <v>iW ALTERNATIVE SIF</v>
      </c>
      <c r="C252" t="str">
        <f ca="1"/>
        <v>iW ALTERNATIVE SIF</v>
      </c>
      <c r="D252">
        <f ca="1"/>
        <v>67869</v>
      </c>
      <c r="E252" t="str">
        <f ca="1"/>
        <v>COMMODITIES &amp; GOLD EQUITIES</v>
      </c>
      <c r="F252" t="str">
        <f ca="1"/>
        <v>Commodities &amp; Gold Equities</v>
      </c>
      <c r="G252">
        <f ca="1"/>
        <v>147</v>
      </c>
      <c r="H252" t="str">
        <f ca="1"/>
        <v>Pictet Fund Accounting</v>
      </c>
      <c r="I252" t="str">
        <f ca="1"/>
        <v>17509173-0</v>
      </c>
      <c r="J252" s="50">
        <f ca="1"/>
        <v>44775</v>
      </c>
      <c r="K252">
        <f ca="1"/>
        <v>15000</v>
      </c>
      <c r="L252" t="str">
        <f ca="1"/>
        <v>67924-0</v>
      </c>
      <c r="M252" t="str">
        <f ca="1"/>
        <v>BARRICK GOLD</v>
      </c>
      <c r="N252" t="str">
        <f ca="1"/>
        <v>USD</v>
      </c>
      <c r="O252" t="str">
        <f ca="1"/>
        <v>Equity</v>
      </c>
      <c r="P252" t="str">
        <f ca="1"/>
        <v/>
      </c>
      <c r="Q252" t="str">
        <f ca="1"/>
        <v/>
      </c>
      <c r="R252" t="str">
        <f ca="1"/>
        <v>CA0679011084</v>
      </c>
      <c r="S252" t="str">
        <f ca="1"/>
        <v/>
      </c>
      <c r="T252" t="str">
        <f ca="1"/>
        <v>GOLD UN Equity</v>
      </c>
      <c r="U252">
        <f ca="1">IF(LEFT(_xll.BDP($T252,U$2),4)="#N/A",0,_xll.BDP($T252,U$2))</f>
        <v>-0.63212056013145523</v>
      </c>
      <c r="V252" t="e">
        <f>_xll.BDP(#REF!,V$2)</f>
        <v>#REF!</v>
      </c>
      <c r="W252" t="e">
        <f>_xll.BDP(#REF!,W$2)</f>
        <v>#REF!</v>
      </c>
      <c r="X252" t="e">
        <f>_xll.BDP(#REF!,X$2)</f>
        <v>#REF!</v>
      </c>
      <c r="Y252" t="e">
        <f>_xll.BDP(#REF!,Y$2)</f>
        <v>#REF!</v>
      </c>
      <c r="Z252" t="e">
        <f>_xll.BDP(#REF!,Z$2)</f>
        <v>#REF!</v>
      </c>
      <c r="AA252" t="e">
        <f>_xll.BDP(#REF!,AA$2)</f>
        <v>#REF!</v>
      </c>
      <c r="AD252">
        <f ca="1">IF(LEFT(_xll.BDP($T252,AD$2),4)="#N/A",-1,_xll.BDP($T252,AD$2))</f>
        <v>3920411.75</v>
      </c>
    </row>
    <row r="253" spans="1:30">
      <c r="A253">
        <f ca="1"/>
        <v>149</v>
      </c>
      <c r="B253" t="str">
        <f ca="1"/>
        <v>iW ALTERNATIVE SIF</v>
      </c>
      <c r="C253" t="str">
        <f ca="1"/>
        <v>iW ALTERNATIVE SIF</v>
      </c>
      <c r="D253">
        <f ca="1"/>
        <v>67869</v>
      </c>
      <c r="E253" t="str">
        <f ca="1"/>
        <v>COMMODITIES &amp; GOLD EQUITIES</v>
      </c>
      <c r="F253" t="str">
        <f ca="1"/>
        <v>Commodities &amp; Gold Equities</v>
      </c>
      <c r="G253">
        <f ca="1"/>
        <v>147</v>
      </c>
      <c r="H253" t="str">
        <f ca="1"/>
        <v>Pictet Fund Accounting</v>
      </c>
      <c r="I253" t="str">
        <f ca="1"/>
        <v>17509222-0</v>
      </c>
      <c r="J253" s="50">
        <f ca="1"/>
        <v>44775</v>
      </c>
      <c r="K253">
        <f ca="1"/>
        <v>47700</v>
      </c>
      <c r="L253" t="str">
        <f ca="1"/>
        <v>67961-0</v>
      </c>
      <c r="M253" t="str">
        <f ca="1"/>
        <v>CHESAPEAKE GOLD</v>
      </c>
      <c r="N253" t="str">
        <f ca="1"/>
        <v>CAD</v>
      </c>
      <c r="O253" t="str">
        <f ca="1"/>
        <v>Equity</v>
      </c>
      <c r="P253" t="str">
        <f ca="1"/>
        <v/>
      </c>
      <c r="Q253" t="str">
        <f ca="1"/>
        <v/>
      </c>
      <c r="R253" t="str">
        <f ca="1"/>
        <v>CA1651841027</v>
      </c>
      <c r="S253" t="str">
        <f ca="1"/>
        <v/>
      </c>
      <c r="T253" t="str">
        <f ca="1"/>
        <v>CKG CV Equity</v>
      </c>
      <c r="U253">
        <f ca="1">IF(LEFT(_xll.BDP($T253,U$2),4)="#N/A",0,_xll.BDP($T253,U$2))</f>
        <v>0</v>
      </c>
      <c r="V253" t="e">
        <f>_xll.BDP(#REF!,V$2)</f>
        <v>#REF!</v>
      </c>
      <c r="W253" t="e">
        <f>_xll.BDP(#REF!,W$2)</f>
        <v>#REF!</v>
      </c>
      <c r="X253" t="e">
        <f>_xll.BDP(#REF!,X$2)</f>
        <v>#REF!</v>
      </c>
      <c r="Y253" t="e">
        <f>_xll.BDP(#REF!,Y$2)</f>
        <v>#REF!</v>
      </c>
      <c r="Z253" t="e">
        <f>_xll.BDP(#REF!,Z$2)</f>
        <v>#REF!</v>
      </c>
      <c r="AA253" t="e">
        <f>_xll.BDP(#REF!,AA$2)</f>
        <v>#REF!</v>
      </c>
      <c r="AD253">
        <f ca="1">IF(LEFT(_xll.BDP($T253,AD$2),4)="#N/A",-1,_xll.BDP($T253,AD$2))</f>
        <v>14104.85</v>
      </c>
    </row>
    <row r="254" spans="1:30">
      <c r="A254">
        <f ca="1"/>
        <v>149</v>
      </c>
      <c r="B254" t="str">
        <f ca="1"/>
        <v>iW ALTERNATIVE SIF</v>
      </c>
      <c r="C254" t="str">
        <f ca="1"/>
        <v>iW ALTERNATIVE SIF</v>
      </c>
      <c r="D254">
        <f ca="1"/>
        <v>67869</v>
      </c>
      <c r="E254" t="str">
        <f ca="1"/>
        <v>COMMODITIES &amp; GOLD EQUITIES</v>
      </c>
      <c r="F254" t="str">
        <f ca="1"/>
        <v>Commodities &amp; Gold Equities</v>
      </c>
      <c r="G254">
        <f ca="1"/>
        <v>147</v>
      </c>
      <c r="H254" t="str">
        <f ca="1"/>
        <v>Pictet Fund Accounting</v>
      </c>
      <c r="I254" t="str">
        <f ca="1"/>
        <v>17509181-0</v>
      </c>
      <c r="J254" s="50">
        <f ca="1"/>
        <v>44775</v>
      </c>
      <c r="K254">
        <f ca="1"/>
        <v>17500</v>
      </c>
      <c r="L254" t="str">
        <f ca="1"/>
        <v>67932-0</v>
      </c>
      <c r="M254" t="str">
        <f ca="1"/>
        <v>CHINA GOLD INTL RESOURCES</v>
      </c>
      <c r="N254" t="str">
        <f ca="1"/>
        <v>CAD</v>
      </c>
      <c r="O254" t="str">
        <f ca="1"/>
        <v>Equity</v>
      </c>
      <c r="P254" t="str">
        <f ca="1"/>
        <v/>
      </c>
      <c r="Q254" t="str">
        <f ca="1"/>
        <v/>
      </c>
      <c r="R254" t="str">
        <f ca="1"/>
        <v>CA16890P1036</v>
      </c>
      <c r="S254" t="str">
        <f ca="1"/>
        <v/>
      </c>
      <c r="T254" t="str">
        <f ca="1"/>
        <v>CGG CN Equity</v>
      </c>
      <c r="U254">
        <f ca="1">IF(LEFT(_xll.BDP($T254,U$2),4)="#N/A",0,_xll.BDP($T254,U$2))</f>
        <v>0</v>
      </c>
      <c r="V254" t="e">
        <f>_xll.BDP(#REF!,V$2)</f>
        <v>#REF!</v>
      </c>
      <c r="W254" t="e">
        <f>_xll.BDP(#REF!,W$2)</f>
        <v>#REF!</v>
      </c>
      <c r="X254" t="e">
        <f>_xll.BDP(#REF!,X$2)</f>
        <v>#REF!</v>
      </c>
      <c r="Y254" t="e">
        <f>_xll.BDP(#REF!,Y$2)</f>
        <v>#REF!</v>
      </c>
      <c r="Z254" t="e">
        <f>_xll.BDP(#REF!,Z$2)</f>
        <v>#REF!</v>
      </c>
      <c r="AA254" t="e">
        <f>_xll.BDP(#REF!,AA$2)</f>
        <v>#REF!</v>
      </c>
      <c r="AD254">
        <f ca="1">IF(LEFT(_xll.BDP($T254,AD$2),4)="#N/A",-1,_xll.BDP($T254,AD$2))</f>
        <v>10414.049999999999</v>
      </c>
    </row>
    <row r="255" spans="1:30">
      <c r="A255">
        <f ca="1"/>
        <v>149</v>
      </c>
      <c r="B255" t="str">
        <f ca="1"/>
        <v>iW ALTERNATIVE SIF</v>
      </c>
      <c r="C255" t="str">
        <f ca="1"/>
        <v>iW ALTERNATIVE SIF</v>
      </c>
      <c r="D255">
        <f ca="1"/>
        <v>67869</v>
      </c>
      <c r="E255" t="str">
        <f ca="1"/>
        <v>COMMODITIES &amp; GOLD EQUITIES</v>
      </c>
      <c r="F255" t="str">
        <f ca="1"/>
        <v>Commodities &amp; Gold Equities</v>
      </c>
      <c r="G255">
        <f ca="1"/>
        <v>147</v>
      </c>
      <c r="H255" t="str">
        <f ca="1"/>
        <v>Pictet Fund Accounting</v>
      </c>
      <c r="I255" t="str">
        <f ca="1"/>
        <v>17509246-0</v>
      </c>
      <c r="J255" s="50">
        <f ca="1"/>
        <v>44775</v>
      </c>
      <c r="K255">
        <f ca="1"/>
        <v>32500</v>
      </c>
      <c r="L255" t="str">
        <f ca="1"/>
        <v>67978-0</v>
      </c>
      <c r="M255" t="str">
        <f ca="1"/>
        <v>COEUR MINING</v>
      </c>
      <c r="N255" t="str">
        <f ca="1"/>
        <v>USD</v>
      </c>
      <c r="O255" t="str">
        <f ca="1"/>
        <v>Equity</v>
      </c>
      <c r="P255" t="str">
        <f ca="1"/>
        <v/>
      </c>
      <c r="Q255" t="str">
        <f ca="1"/>
        <v/>
      </c>
      <c r="R255" t="str">
        <f ca="1"/>
        <v>US1921085049</v>
      </c>
      <c r="S255" t="str">
        <f ca="1"/>
        <v/>
      </c>
      <c r="T255" t="str">
        <f ca="1"/>
        <v>CDE UN Equity</v>
      </c>
      <c r="U255">
        <f ca="1">IF(LEFT(_xll.BDP($T255,U$2),4)="#N/A",0,_xll.BDP($T255,U$2))</f>
        <v>0</v>
      </c>
      <c r="V255" t="e">
        <f>_xll.BDP(#REF!,V$2)</f>
        <v>#REF!</v>
      </c>
      <c r="W255" t="e">
        <f>_xll.BDP(#REF!,W$2)</f>
        <v>#REF!</v>
      </c>
      <c r="X255" t="e">
        <f>_xll.BDP(#REF!,X$2)</f>
        <v>#REF!</v>
      </c>
      <c r="Y255" t="e">
        <f>_xll.BDP(#REF!,Y$2)</f>
        <v>#REF!</v>
      </c>
      <c r="Z255" t="e">
        <f>_xll.BDP(#REF!,Z$2)</f>
        <v>#REF!</v>
      </c>
      <c r="AA255" t="e">
        <f>_xll.BDP(#REF!,AA$2)</f>
        <v>#REF!</v>
      </c>
      <c r="AD255">
        <f ca="1">IF(LEFT(_xll.BDP($T255,AD$2),4)="#N/A",-1,_xll.BDP($T255,AD$2))</f>
        <v>784203.0625</v>
      </c>
    </row>
    <row r="256" spans="1:30">
      <c r="A256">
        <f ca="1"/>
        <v>149</v>
      </c>
      <c r="B256" t="str">
        <f ca="1"/>
        <v>iW ALTERNATIVE SIF</v>
      </c>
      <c r="C256" t="str">
        <f ca="1"/>
        <v>iW ALTERNATIVE SIF</v>
      </c>
      <c r="D256">
        <f ca="1"/>
        <v>67869</v>
      </c>
      <c r="E256" t="str">
        <f ca="1"/>
        <v>COMMODITIES &amp; GOLD EQUITIES</v>
      </c>
      <c r="F256" t="str">
        <f ca="1"/>
        <v>Commodities &amp; Gold Equities</v>
      </c>
      <c r="G256">
        <f ca="1"/>
        <v>147</v>
      </c>
      <c r="H256" t="str">
        <f ca="1"/>
        <v>Pictet Fund Accounting</v>
      </c>
      <c r="I256" t="str">
        <f ca="1"/>
        <v>17509199-0</v>
      </c>
      <c r="J256" s="50">
        <f ca="1"/>
        <v>44775</v>
      </c>
      <c r="K256">
        <f ca="1"/>
        <v>96000</v>
      </c>
      <c r="L256" t="str">
        <f ca="1"/>
        <v>132387-0</v>
      </c>
      <c r="M256" t="str">
        <f ca="1"/>
        <v>COPPERNICO MTLS</v>
      </c>
      <c r="N256" t="str">
        <f ca="1"/>
        <v>CAD</v>
      </c>
      <c r="O256" t="str">
        <f ca="1"/>
        <v>Equity</v>
      </c>
      <c r="P256" t="str">
        <f ca="1"/>
        <v/>
      </c>
      <c r="Q256" t="str">
        <f ca="1"/>
        <v/>
      </c>
      <c r="R256" t="str">
        <f ca="1"/>
        <v>CA2176611077</v>
      </c>
      <c r="S256" t="str">
        <f ca="1"/>
        <v/>
      </c>
      <c r="T256" t="str">
        <f ca="1"/>
        <v>1818681D CN Equity</v>
      </c>
      <c r="U256">
        <f ca="1">IF(LEFT(_xll.BDP($T256,U$2),4)="#N/A",0,_xll.BDP($T256,U$2))</f>
        <v>0</v>
      </c>
      <c r="V256" t="e">
        <f>_xll.BDP(#REF!,V$2)</f>
        <v>#REF!</v>
      </c>
      <c r="W256" t="e">
        <f>_xll.BDP(#REF!,W$2)</f>
        <v>#REF!</v>
      </c>
      <c r="X256" t="e">
        <f>_xll.BDP(#REF!,X$2)</f>
        <v>#REF!</v>
      </c>
      <c r="Y256" t="e">
        <f>_xll.BDP(#REF!,Y$2)</f>
        <v>#REF!</v>
      </c>
      <c r="Z256" t="e">
        <f>_xll.BDP(#REF!,Z$2)</f>
        <v>#REF!</v>
      </c>
      <c r="AA256" t="e">
        <f>_xll.BDP(#REF!,AA$2)</f>
        <v>#REF!</v>
      </c>
      <c r="AD256">
        <f ca="1">IF(LEFT(_xll.BDP($T256,AD$2),4)="#N/A",-1,_xll.BDP($T256,AD$2))</f>
        <v>-1</v>
      </c>
    </row>
    <row r="257" spans="1:30">
      <c r="A257">
        <f ca="1"/>
        <v>149</v>
      </c>
      <c r="B257" t="str">
        <f ca="1"/>
        <v>iW ALTERNATIVE SIF</v>
      </c>
      <c r="C257" t="str">
        <f ca="1"/>
        <v>iW ALTERNATIVE SIF</v>
      </c>
      <c r="D257">
        <f ca="1"/>
        <v>67869</v>
      </c>
      <c r="E257" t="str">
        <f ca="1"/>
        <v>COMMODITIES &amp; GOLD EQUITIES</v>
      </c>
      <c r="F257" t="str">
        <f ca="1"/>
        <v>Commodities &amp; Gold Equities</v>
      </c>
      <c r="G257">
        <f ca="1"/>
        <v>147</v>
      </c>
      <c r="H257" t="str">
        <f ca="1"/>
        <v>Pictet Fund Accounting</v>
      </c>
      <c r="I257" t="str">
        <f ca="1"/>
        <v>17509226-0</v>
      </c>
      <c r="J257" s="50">
        <f ca="1"/>
        <v>44775</v>
      </c>
      <c r="K257">
        <f ca="1"/>
        <v>37766</v>
      </c>
      <c r="L257" t="str">
        <f ca="1"/>
        <v>67963-0</v>
      </c>
      <c r="M257" t="str">
        <f ca="1"/>
        <v>EAST AFRICA METALS</v>
      </c>
      <c r="N257" t="str">
        <f ca="1"/>
        <v>CAD</v>
      </c>
      <c r="O257" t="str">
        <f ca="1"/>
        <v>Equity</v>
      </c>
      <c r="P257" t="str">
        <f ca="1"/>
        <v/>
      </c>
      <c r="Q257" t="str">
        <f ca="1"/>
        <v/>
      </c>
      <c r="R257" t="str">
        <f ca="1"/>
        <v>CA2704101039</v>
      </c>
      <c r="S257" t="str">
        <f ca="1"/>
        <v/>
      </c>
      <c r="T257" t="str">
        <f ca="1"/>
        <v>EAM CV Equity</v>
      </c>
      <c r="U257">
        <f ca="1">IF(LEFT(_xll.BDP($T257,U$2),4)="#N/A",0,_xll.BDP($T257,U$2))</f>
        <v>0</v>
      </c>
      <c r="V257" t="e">
        <f>_xll.BDP(#REF!,V$2)</f>
        <v>#REF!</v>
      </c>
      <c r="W257" t="e">
        <f>_xll.BDP(#REF!,W$2)</f>
        <v>#REF!</v>
      </c>
      <c r="X257" t="e">
        <f>_xll.BDP(#REF!,X$2)</f>
        <v>#REF!</v>
      </c>
      <c r="Y257" t="e">
        <f>_xll.BDP(#REF!,Y$2)</f>
        <v>#REF!</v>
      </c>
      <c r="Z257" t="e">
        <f>_xll.BDP(#REF!,Z$2)</f>
        <v>#REF!</v>
      </c>
      <c r="AA257" t="e">
        <f>_xll.BDP(#REF!,AA$2)</f>
        <v>#REF!</v>
      </c>
      <c r="AD257">
        <f ca="1">IF(LEFT(_xll.BDP($T257,AD$2),4)="#N/A",-1,_xll.BDP($T257,AD$2))</f>
        <v>18725.55</v>
      </c>
    </row>
    <row r="258" spans="1:30">
      <c r="A258">
        <f ca="1"/>
        <v>149</v>
      </c>
      <c r="B258" t="str">
        <f ca="1"/>
        <v>iW ALTERNATIVE SIF</v>
      </c>
      <c r="C258" t="str">
        <f ca="1"/>
        <v>iW ALTERNATIVE SIF</v>
      </c>
      <c r="D258">
        <f ca="1"/>
        <v>67869</v>
      </c>
      <c r="E258" t="str">
        <f ca="1"/>
        <v>COMMODITIES &amp; GOLD EQUITIES</v>
      </c>
      <c r="F258" t="str">
        <f ca="1"/>
        <v>Commodities &amp; Gold Equities</v>
      </c>
      <c r="G258">
        <f ca="1"/>
        <v>147</v>
      </c>
      <c r="H258" t="str">
        <f ca="1"/>
        <v>Pictet Fund Accounting</v>
      </c>
      <c r="I258" t="str">
        <f ca="1"/>
        <v>17509216-0</v>
      </c>
      <c r="J258" s="50">
        <f ca="1"/>
        <v>44775</v>
      </c>
      <c r="K258">
        <f ca="1"/>
        <v>110000</v>
      </c>
      <c r="L258" t="str">
        <f ca="1"/>
        <v>67958-0</v>
      </c>
      <c r="M258" t="str">
        <f ca="1"/>
        <v>ECO ORO MINERALS</v>
      </c>
      <c r="N258" t="str">
        <f ca="1"/>
        <v>CAD</v>
      </c>
      <c r="O258" t="str">
        <f ca="1"/>
        <v>Equity</v>
      </c>
      <c r="P258" t="str">
        <f ca="1"/>
        <v/>
      </c>
      <c r="Q258" t="str">
        <f ca="1"/>
        <v/>
      </c>
      <c r="R258" t="str">
        <f ca="1"/>
        <v>CA27887T1075</v>
      </c>
      <c r="S258" t="str">
        <f ca="1"/>
        <v/>
      </c>
      <c r="T258" t="str">
        <f ca="1"/>
        <v>EOM CF Equity</v>
      </c>
      <c r="U258">
        <f ca="1">IF(LEFT(_xll.BDP($T258,U$2),4)="#N/A",0,_xll.BDP($T258,U$2))</f>
        <v>0</v>
      </c>
      <c r="V258" t="e">
        <f>_xll.BDP(#REF!,V$2)</f>
        <v>#REF!</v>
      </c>
      <c r="W258" t="e">
        <f>_xll.BDP(#REF!,W$2)</f>
        <v>#REF!</v>
      </c>
      <c r="X258" t="e">
        <f>_xll.BDP(#REF!,X$2)</f>
        <v>#REF!</v>
      </c>
      <c r="Y258" t="e">
        <f>_xll.BDP(#REF!,Y$2)</f>
        <v>#REF!</v>
      </c>
      <c r="Z258" t="e">
        <f>_xll.BDP(#REF!,Z$2)</f>
        <v>#REF!</v>
      </c>
      <c r="AA258" t="e">
        <f>_xll.BDP(#REF!,AA$2)</f>
        <v>#REF!</v>
      </c>
      <c r="AD258">
        <f ca="1">IF(LEFT(_xll.BDP($T258,AD$2),4)="#N/A",-1,_xll.BDP($T258,AD$2))</f>
        <v>1722.95</v>
      </c>
    </row>
    <row r="259" spans="1:30">
      <c r="A259">
        <f ca="1"/>
        <v>149</v>
      </c>
      <c r="B259" t="str">
        <f ca="1"/>
        <v>iW ALTERNATIVE SIF</v>
      </c>
      <c r="C259" t="str">
        <f ca="1"/>
        <v>iW ALTERNATIVE SIF</v>
      </c>
      <c r="D259">
        <f ca="1"/>
        <v>67869</v>
      </c>
      <c r="E259" t="str">
        <f ca="1"/>
        <v>COMMODITIES &amp; GOLD EQUITIES</v>
      </c>
      <c r="F259" t="str">
        <f ca="1"/>
        <v>Commodities &amp; Gold Equities</v>
      </c>
      <c r="G259">
        <f ca="1"/>
        <v>147</v>
      </c>
      <c r="H259" t="str">
        <f ca="1"/>
        <v>Pictet Fund Accounting</v>
      </c>
      <c r="I259" t="str">
        <f ca="1"/>
        <v>17509217-0</v>
      </c>
      <c r="J259" s="50">
        <f ca="1"/>
        <v>44775</v>
      </c>
      <c r="K259">
        <f ca="1"/>
        <v>19940</v>
      </c>
      <c r="L259" t="str">
        <f ca="1"/>
        <v>67959-0</v>
      </c>
      <c r="M259" t="str">
        <f ca="1"/>
        <v>ELDORADO GOLD</v>
      </c>
      <c r="N259" t="str">
        <f ca="1"/>
        <v>USD</v>
      </c>
      <c r="O259" t="str">
        <f ca="1"/>
        <v>Equity</v>
      </c>
      <c r="P259" t="str">
        <f ca="1"/>
        <v/>
      </c>
      <c r="Q259" t="str">
        <f ca="1"/>
        <v/>
      </c>
      <c r="R259" t="str">
        <f ca="1"/>
        <v>CA2849025093</v>
      </c>
      <c r="S259" t="str">
        <f ca="1"/>
        <v/>
      </c>
      <c r="T259" t="str">
        <f ca="1"/>
        <v>EGO UN Equity</v>
      </c>
      <c r="U259">
        <f ca="1">IF(LEFT(_xll.BDP($T259,U$2),4)="#N/A",0,_xll.BDP($T259,U$2))</f>
        <v>0</v>
      </c>
      <c r="V259" t="e">
        <f>_xll.BDP(#REF!,V$2)</f>
        <v>#REF!</v>
      </c>
      <c r="W259" t="e">
        <f>_xll.BDP(#REF!,W$2)</f>
        <v>#REF!</v>
      </c>
      <c r="X259" t="e">
        <f>_xll.BDP(#REF!,X$2)</f>
        <v>#REF!</v>
      </c>
      <c r="Y259" t="e">
        <f>_xll.BDP(#REF!,Y$2)</f>
        <v>#REF!</v>
      </c>
      <c r="Z259" t="e">
        <f>_xll.BDP(#REF!,Z$2)</f>
        <v>#REF!</v>
      </c>
      <c r="AA259" t="e">
        <f>_xll.BDP(#REF!,AA$2)</f>
        <v>#REF!</v>
      </c>
      <c r="AD259">
        <f ca="1">IF(LEFT(_xll.BDP($T259,AD$2),4)="#N/A",-1,_xll.BDP($T259,AD$2))</f>
        <v>570681.25</v>
      </c>
    </row>
    <row r="260" spans="1:30">
      <c r="A260">
        <f ca="1"/>
        <v>149</v>
      </c>
      <c r="B260" t="str">
        <f ca="1"/>
        <v>iW ALTERNATIVE SIF</v>
      </c>
      <c r="C260" t="str">
        <f ca="1"/>
        <v>iW ALTERNATIVE SIF</v>
      </c>
      <c r="D260">
        <f ca="1"/>
        <v>67869</v>
      </c>
      <c r="E260" t="str">
        <f ca="1"/>
        <v>COMMODITIES &amp; GOLD EQUITIES</v>
      </c>
      <c r="F260" t="str">
        <f ca="1"/>
        <v>Commodities &amp; Gold Equities</v>
      </c>
      <c r="G260">
        <f ca="1"/>
        <v>147</v>
      </c>
      <c r="H260" t="str">
        <f ca="1"/>
        <v>Pictet Fund Accounting</v>
      </c>
      <c r="I260" t="str">
        <f ca="1"/>
        <v>17509273-0</v>
      </c>
      <c r="J260" s="50">
        <f ca="1"/>
        <v>44775</v>
      </c>
      <c r="K260">
        <f ca="1"/>
        <v>20000</v>
      </c>
      <c r="L260" t="str">
        <f ca="1"/>
        <v>146463-0</v>
      </c>
      <c r="M260" t="str">
        <f ca="1"/>
        <v>ELORO RESOURCES</v>
      </c>
      <c r="N260" t="str">
        <f ca="1"/>
        <v>CAD</v>
      </c>
      <c r="O260" t="str">
        <f ca="1"/>
        <v>Equity</v>
      </c>
      <c r="P260" t="str">
        <f ca="1"/>
        <v/>
      </c>
      <c r="Q260" t="str">
        <f ca="1"/>
        <v/>
      </c>
      <c r="R260" t="str">
        <f ca="1"/>
        <v>CA2899003008</v>
      </c>
      <c r="S260" t="str">
        <f ca="1"/>
        <v/>
      </c>
      <c r="T260" t="str">
        <f ca="1"/>
        <v>ELO CV Equity</v>
      </c>
      <c r="U260">
        <f ca="1">IF(LEFT(_xll.BDP($T260,U$2),4)="#N/A",0,_xll.BDP($T260,U$2))</f>
        <v>0</v>
      </c>
      <c r="V260" t="e">
        <f>_xll.BDP(#REF!,V$2)</f>
        <v>#REF!</v>
      </c>
      <c r="W260" t="e">
        <f>_xll.BDP(#REF!,W$2)</f>
        <v>#REF!</v>
      </c>
      <c r="X260" t="e">
        <f>_xll.BDP(#REF!,X$2)</f>
        <v>#REF!</v>
      </c>
      <c r="Y260" t="e">
        <f>_xll.BDP(#REF!,Y$2)</f>
        <v>#REF!</v>
      </c>
      <c r="Z260" t="e">
        <f>_xll.BDP(#REF!,Z$2)</f>
        <v>#REF!</v>
      </c>
      <c r="AA260" t="e">
        <f>_xll.BDP(#REF!,AA$2)</f>
        <v>#REF!</v>
      </c>
      <c r="AD260">
        <f ca="1">IF(LEFT(_xll.BDP($T260,AD$2),4)="#N/A",-1,_xll.BDP($T260,AD$2))</f>
        <v>93520.1</v>
      </c>
    </row>
    <row r="261" spans="1:30">
      <c r="A261">
        <f ca="1"/>
        <v>149</v>
      </c>
      <c r="B261" t="str">
        <f ca="1"/>
        <v>iW ALTERNATIVE SIF</v>
      </c>
      <c r="C261" t="str">
        <f ca="1"/>
        <v>iW ALTERNATIVE SIF</v>
      </c>
      <c r="D261">
        <f ca="1"/>
        <v>67869</v>
      </c>
      <c r="E261" t="str">
        <f ca="1"/>
        <v>COMMODITIES &amp; GOLD EQUITIES</v>
      </c>
      <c r="F261" t="str">
        <f ca="1"/>
        <v>Commodities &amp; Gold Equities</v>
      </c>
      <c r="G261">
        <f ca="1"/>
        <v>147</v>
      </c>
      <c r="H261" t="str">
        <f ca="1"/>
        <v>Pictet Fund Accounting</v>
      </c>
      <c r="I261" t="str">
        <f ca="1"/>
        <v>17509238-0</v>
      </c>
      <c r="J261" s="50">
        <f ca="1"/>
        <v>44775</v>
      </c>
      <c r="K261">
        <f ca="1"/>
        <v>16000</v>
      </c>
      <c r="L261" t="str">
        <f ca="1"/>
        <v>111315-0</v>
      </c>
      <c r="M261" t="str">
        <f ca="1"/>
        <v>ENDEAVOUR MINING</v>
      </c>
      <c r="N261" t="str">
        <f ca="1"/>
        <v>CAD</v>
      </c>
      <c r="O261" t="str">
        <f ca="1"/>
        <v>Equity</v>
      </c>
      <c r="P261" t="str">
        <f ca="1"/>
        <v/>
      </c>
      <c r="Q261" t="str">
        <f ca="1"/>
        <v/>
      </c>
      <c r="R261" t="str">
        <f ca="1"/>
        <v>GB00BL6K5J42</v>
      </c>
      <c r="S261" t="str">
        <f ca="1"/>
        <v/>
      </c>
      <c r="T261" t="str">
        <f ca="1"/>
        <v>EDV CT Equity</v>
      </c>
      <c r="U261">
        <f ca="1">IF(LEFT(_xll.BDP($T261,U$2),4)="#N/A",0,_xll.BDP($T261,U$2))</f>
        <v>0.18306441286055372</v>
      </c>
      <c r="V261" t="e">
        <f>_xll.BDP(#REF!,V$2)</f>
        <v>#REF!</v>
      </c>
      <c r="W261" t="e">
        <f>_xll.BDP(#REF!,W$2)</f>
        <v>#REF!</v>
      </c>
      <c r="X261" t="e">
        <f>_xll.BDP(#REF!,X$2)</f>
        <v>#REF!</v>
      </c>
      <c r="Y261" t="e">
        <f>_xll.BDP(#REF!,Y$2)</f>
        <v>#REF!</v>
      </c>
      <c r="Z261" t="e">
        <f>_xll.BDP(#REF!,Z$2)</f>
        <v>#REF!</v>
      </c>
      <c r="AA261" t="e">
        <f>_xll.BDP(#REF!,AA$2)</f>
        <v>#REF!</v>
      </c>
      <c r="AD261">
        <f ca="1">IF(LEFT(_xll.BDP($T261,AD$2),4)="#N/A",-1,_xll.BDP($T261,AD$2))</f>
        <v>449184.2</v>
      </c>
    </row>
    <row r="262" spans="1:30">
      <c r="A262">
        <f ca="1"/>
        <v>149</v>
      </c>
      <c r="B262" t="str">
        <f ca="1"/>
        <v>iW ALTERNATIVE SIF</v>
      </c>
      <c r="C262" t="str">
        <f ca="1"/>
        <v>iW ALTERNATIVE SIF</v>
      </c>
      <c r="D262">
        <f ca="1"/>
        <v>67869</v>
      </c>
      <c r="E262" t="str">
        <f ca="1"/>
        <v>COMMODITIES &amp; GOLD EQUITIES</v>
      </c>
      <c r="F262" t="str">
        <f ca="1"/>
        <v>Commodities &amp; Gold Equities</v>
      </c>
      <c r="G262">
        <f ca="1"/>
        <v>147</v>
      </c>
      <c r="H262" t="str">
        <f ca="1"/>
        <v>Pictet Fund Accounting</v>
      </c>
      <c r="I262" t="str">
        <f ca="1"/>
        <v>17509206-0</v>
      </c>
      <c r="J262" s="50">
        <f ca="1"/>
        <v>44775</v>
      </c>
      <c r="K262">
        <f ca="1"/>
        <v>83077</v>
      </c>
      <c r="L262" t="str">
        <f ca="1"/>
        <v>67952-0</v>
      </c>
      <c r="M262" t="str">
        <f ca="1"/>
        <v>EQUINOX GOLD</v>
      </c>
      <c r="N262" t="str">
        <f ca="1"/>
        <v>CAD</v>
      </c>
      <c r="O262" t="str">
        <f ca="1"/>
        <v>Equity</v>
      </c>
      <c r="P262" t="str">
        <f ca="1"/>
        <v/>
      </c>
      <c r="Q262" t="str">
        <f ca="1"/>
        <v/>
      </c>
      <c r="R262" t="str">
        <f ca="1"/>
        <v>CA29446Y5020</v>
      </c>
      <c r="S262" t="str">
        <f ca="1"/>
        <v/>
      </c>
      <c r="T262" t="str">
        <f ca="1"/>
        <v>EQX CT Equity</v>
      </c>
      <c r="U262">
        <f ca="1">IF(LEFT(_xll.BDP($T262,U$2),4)="#N/A",0,_xll.BDP($T262,U$2))</f>
        <v>0</v>
      </c>
      <c r="V262" t="e">
        <f>_xll.BDP(#REF!,V$2)</f>
        <v>#REF!</v>
      </c>
      <c r="W262" t="e">
        <f>_xll.BDP(#REF!,W$2)</f>
        <v>#REF!</v>
      </c>
      <c r="X262" t="e">
        <f>_xll.BDP(#REF!,X$2)</f>
        <v>#REF!</v>
      </c>
      <c r="Y262" t="e">
        <f>_xll.BDP(#REF!,Y$2)</f>
        <v>#REF!</v>
      </c>
      <c r="Z262" t="e">
        <f>_xll.BDP(#REF!,Z$2)</f>
        <v>#REF!</v>
      </c>
      <c r="AA262" t="e">
        <f>_xll.BDP(#REF!,AA$2)</f>
        <v>#REF!</v>
      </c>
      <c r="AD262">
        <f ca="1">IF(LEFT(_xll.BDP($T262,AD$2),4)="#N/A",-1,_xll.BDP($T262,AD$2))</f>
        <v>642813.30000000005</v>
      </c>
    </row>
    <row r="263" spans="1:30">
      <c r="A263">
        <f ca="1"/>
        <v>149</v>
      </c>
      <c r="B263" t="str">
        <f ca="1"/>
        <v>iW ALTERNATIVE SIF</v>
      </c>
      <c r="C263" t="str">
        <f ca="1"/>
        <v>iW ALTERNATIVE SIF</v>
      </c>
      <c r="D263">
        <f ca="1"/>
        <v>67869</v>
      </c>
      <c r="E263" t="str">
        <f ca="1"/>
        <v>COMMODITIES &amp; GOLD EQUITIES</v>
      </c>
      <c r="F263" t="str">
        <f ca="1"/>
        <v>Commodities &amp; Gold Equities</v>
      </c>
      <c r="G263">
        <f ca="1"/>
        <v>147</v>
      </c>
      <c r="H263" t="str">
        <f ca="1"/>
        <v>Pictet Fund Accounting</v>
      </c>
      <c r="I263" t="str">
        <f ca="1"/>
        <v>17509184-0</v>
      </c>
      <c r="J263" s="50">
        <f ca="1"/>
        <v>44775</v>
      </c>
      <c r="K263">
        <f ca="1"/>
        <v>15139</v>
      </c>
      <c r="L263" t="str">
        <f ca="1"/>
        <v>67933-0</v>
      </c>
      <c r="M263" t="str">
        <f ca="1"/>
        <v>EURO SUN MINING</v>
      </c>
      <c r="N263" t="str">
        <f ca="1"/>
        <v>CAD</v>
      </c>
      <c r="O263" t="str">
        <f ca="1"/>
        <v>Equity</v>
      </c>
      <c r="P263" t="str">
        <f ca="1"/>
        <v/>
      </c>
      <c r="Q263" t="str">
        <f ca="1"/>
        <v/>
      </c>
      <c r="R263" t="str">
        <f ca="1"/>
        <v>CA29872L2066</v>
      </c>
      <c r="S263" t="str">
        <f ca="1"/>
        <v/>
      </c>
      <c r="T263" t="str">
        <f ca="1"/>
        <v>ESM CT Equity</v>
      </c>
      <c r="U263">
        <f ca="1">IF(LEFT(_xll.BDP($T263,U$2),4)="#N/A",0,_xll.BDP($T263,U$2))</f>
        <v>0</v>
      </c>
      <c r="V263" t="e">
        <f>_xll.BDP(#REF!,V$2)</f>
        <v>#REF!</v>
      </c>
      <c r="W263" t="e">
        <f>_xll.BDP(#REF!,W$2)</f>
        <v>#REF!</v>
      </c>
      <c r="X263" t="e">
        <f>_xll.BDP(#REF!,X$2)</f>
        <v>#REF!</v>
      </c>
      <c r="Y263" t="e">
        <f>_xll.BDP(#REF!,Y$2)</f>
        <v>#REF!</v>
      </c>
      <c r="Z263" t="e">
        <f>_xll.BDP(#REF!,Z$2)</f>
        <v>#REF!</v>
      </c>
      <c r="AA263" t="e">
        <f>_xll.BDP(#REF!,AA$2)</f>
        <v>#REF!</v>
      </c>
      <c r="AD263">
        <f ca="1">IF(LEFT(_xll.BDP($T263,AD$2),4)="#N/A",-1,_xll.BDP($T263,AD$2))</f>
        <v>117512.7</v>
      </c>
    </row>
    <row r="264" spans="1:30">
      <c r="A264">
        <f ca="1"/>
        <v>149</v>
      </c>
      <c r="B264" t="str">
        <f ca="1"/>
        <v>iW ALTERNATIVE SIF</v>
      </c>
      <c r="C264" t="str">
        <f ca="1"/>
        <v>iW ALTERNATIVE SIF</v>
      </c>
      <c r="D264">
        <f ca="1"/>
        <v>67869</v>
      </c>
      <c r="E264" t="str">
        <f ca="1"/>
        <v>COMMODITIES &amp; GOLD EQUITIES</v>
      </c>
      <c r="F264" t="str">
        <f ca="1"/>
        <v>Commodities &amp; Gold Equities</v>
      </c>
      <c r="G264">
        <f ca="1"/>
        <v>147</v>
      </c>
      <c r="H264" t="str">
        <f ca="1"/>
        <v>Pictet Fund Accounting</v>
      </c>
      <c r="I264" t="str">
        <f ca="1"/>
        <v>17509219-0</v>
      </c>
      <c r="J264" s="50">
        <f ca="1"/>
        <v>44775</v>
      </c>
      <c r="K264">
        <f ca="1"/>
        <v>40000</v>
      </c>
      <c r="L264" t="str">
        <f ca="1"/>
        <v>146508-0</v>
      </c>
      <c r="M264" t="str">
        <f ca="1"/>
        <v>EVOLUTION MINING</v>
      </c>
      <c r="N264" t="str">
        <f ca="1"/>
        <v>AUD</v>
      </c>
      <c r="O264" t="str">
        <f ca="1"/>
        <v>Equity</v>
      </c>
      <c r="P264" t="str">
        <f ca="1"/>
        <v/>
      </c>
      <c r="Q264" t="str">
        <f ca="1"/>
        <v/>
      </c>
      <c r="R264" t="str">
        <f ca="1"/>
        <v>AU000000EVN4</v>
      </c>
      <c r="S264" t="str">
        <f ca="1"/>
        <v/>
      </c>
      <c r="T264" t="str">
        <f ca="1"/>
        <v>EVN AU Equity</v>
      </c>
      <c r="U264">
        <f ca="1">IF(LEFT(_xll.BDP($T264,U$2),4)="#N/A",0,_xll.BDP($T264,U$2))</f>
        <v>0</v>
      </c>
      <c r="V264" t="e">
        <f>_xll.BDP(#REF!,V$2)</f>
        <v>#REF!</v>
      </c>
      <c r="W264" t="e">
        <f>_xll.BDP(#REF!,W$2)</f>
        <v>#REF!</v>
      </c>
      <c r="X264" t="e">
        <f>_xll.BDP(#REF!,X$2)</f>
        <v>#REF!</v>
      </c>
      <c r="Y264" t="e">
        <f>_xll.BDP(#REF!,Y$2)</f>
        <v>#REF!</v>
      </c>
      <c r="Z264" t="e">
        <f>_xll.BDP(#REF!,Z$2)</f>
        <v>#REF!</v>
      </c>
      <c r="AA264" t="e">
        <f>_xll.BDP(#REF!,AA$2)</f>
        <v>#REF!</v>
      </c>
      <c r="AD264">
        <f ca="1">IF(LEFT(_xll.BDP($T264,AD$2),4)="#N/A",-1,_xll.BDP($T264,AD$2))</f>
        <v>18037190</v>
      </c>
    </row>
    <row r="265" spans="1:30">
      <c r="A265">
        <f ca="1"/>
        <v>149</v>
      </c>
      <c r="B265" t="str">
        <f ca="1"/>
        <v>iW ALTERNATIVE SIF</v>
      </c>
      <c r="C265" t="str">
        <f ca="1"/>
        <v>iW ALTERNATIVE SIF</v>
      </c>
      <c r="D265">
        <f ca="1"/>
        <v>67869</v>
      </c>
      <c r="E265" t="str">
        <f ca="1"/>
        <v>COMMODITIES &amp; GOLD EQUITIES</v>
      </c>
      <c r="F265" t="str">
        <f ca="1"/>
        <v>Commodities &amp; Gold Equities</v>
      </c>
      <c r="G265">
        <f ca="1"/>
        <v>147</v>
      </c>
      <c r="H265" t="str">
        <f ca="1"/>
        <v>Pictet Fund Accounting</v>
      </c>
      <c r="I265" t="str">
        <f ca="1"/>
        <v>17509257-0</v>
      </c>
      <c r="J265" s="50">
        <f ca="1"/>
        <v>44775</v>
      </c>
      <c r="K265">
        <f ca="1"/>
        <v>130000</v>
      </c>
      <c r="L265" t="str">
        <f ca="1"/>
        <v>67989-0</v>
      </c>
      <c r="M265" t="str">
        <f ca="1"/>
        <v>FALCO RESOURCES</v>
      </c>
      <c r="N265" t="str">
        <f ca="1"/>
        <v>CAD</v>
      </c>
      <c r="O265" t="str">
        <f ca="1"/>
        <v>Equity</v>
      </c>
      <c r="P265" t="str">
        <f ca="1"/>
        <v/>
      </c>
      <c r="Q265" t="str">
        <f ca="1"/>
        <v/>
      </c>
      <c r="R265" t="str">
        <f ca="1"/>
        <v>CA30606C1086</v>
      </c>
      <c r="S265" t="str">
        <f ca="1"/>
        <v/>
      </c>
      <c r="T265" t="str">
        <f ca="1"/>
        <v>FPC CV Equity</v>
      </c>
      <c r="U265">
        <f ca="1">IF(LEFT(_xll.BDP($T265,U$2),4)="#N/A",0,_xll.BDP($T265,U$2))</f>
        <v>0</v>
      </c>
      <c r="V265" t="e">
        <f>_xll.BDP(#REF!,V$2)</f>
        <v>#REF!</v>
      </c>
      <c r="W265" t="e">
        <f>_xll.BDP(#REF!,W$2)</f>
        <v>#REF!</v>
      </c>
      <c r="X265" t="e">
        <f>_xll.BDP(#REF!,X$2)</f>
        <v>#REF!</v>
      </c>
      <c r="Y265" t="e">
        <f>_xll.BDP(#REF!,Y$2)</f>
        <v>#REF!</v>
      </c>
      <c r="Z265" t="e">
        <f>_xll.BDP(#REF!,Z$2)</f>
        <v>#REF!</v>
      </c>
      <c r="AA265" t="e">
        <f>_xll.BDP(#REF!,AA$2)</f>
        <v>#REF!</v>
      </c>
      <c r="AD265">
        <f ca="1">IF(LEFT(_xll.BDP($T265,AD$2),4)="#N/A",-1,_xll.BDP($T265,AD$2))</f>
        <v>84838.7</v>
      </c>
    </row>
    <row r="266" spans="1:30">
      <c r="A266">
        <f ca="1"/>
        <v>149</v>
      </c>
      <c r="B266" t="str">
        <f ca="1"/>
        <v>iW ALTERNATIVE SIF</v>
      </c>
      <c r="C266" t="str">
        <f ca="1"/>
        <v>iW ALTERNATIVE SIF</v>
      </c>
      <c r="D266">
        <f ca="1"/>
        <v>67869</v>
      </c>
      <c r="E266" t="str">
        <f ca="1"/>
        <v>COMMODITIES &amp; GOLD EQUITIES</v>
      </c>
      <c r="F266" t="str">
        <f ca="1"/>
        <v>Commodities &amp; Gold Equities</v>
      </c>
      <c r="G266">
        <f ca="1"/>
        <v>147</v>
      </c>
      <c r="H266" t="str">
        <f ca="1"/>
        <v>Pictet Fund Accounting</v>
      </c>
      <c r="I266" t="str">
        <f ca="1"/>
        <v>17509198-0</v>
      </c>
      <c r="J266" s="50">
        <f ca="1"/>
        <v>44775</v>
      </c>
      <c r="K266">
        <f ca="1"/>
        <v>200000</v>
      </c>
      <c r="L266" t="str">
        <f ca="1"/>
        <v>68909-0</v>
      </c>
      <c r="M266" t="str">
        <f ca="1"/>
        <v>FALCON GOLD</v>
      </c>
      <c r="N266" t="str">
        <f ca="1"/>
        <v>CAD</v>
      </c>
      <c r="O266" t="str">
        <f ca="1"/>
        <v>Equity</v>
      </c>
      <c r="P266" t="str">
        <f ca="1"/>
        <v/>
      </c>
      <c r="Q266" t="str">
        <f ca="1"/>
        <v/>
      </c>
      <c r="R266" t="str">
        <f ca="1"/>
        <v>CA3060442074</v>
      </c>
      <c r="S266" t="str">
        <f ca="1"/>
        <v/>
      </c>
      <c r="T266" t="str">
        <f ca="1"/>
        <v>FG CN Equity</v>
      </c>
      <c r="U266">
        <f ca="1">IF(LEFT(_xll.BDP($T266,U$2),4)="#N/A",0,_xll.BDP($T266,U$2))</f>
        <v>0</v>
      </c>
      <c r="V266" t="e">
        <f>_xll.BDP(#REF!,V$2)</f>
        <v>#REF!</v>
      </c>
      <c r="W266" t="e">
        <f>_xll.BDP(#REF!,W$2)</f>
        <v>#REF!</v>
      </c>
      <c r="X266" t="e">
        <f>_xll.BDP(#REF!,X$2)</f>
        <v>#REF!</v>
      </c>
      <c r="Y266" t="e">
        <f>_xll.BDP(#REF!,Y$2)</f>
        <v>#REF!</v>
      </c>
      <c r="Z266" t="e">
        <f>_xll.BDP(#REF!,Z$2)</f>
        <v>#REF!</v>
      </c>
      <c r="AA266" t="e">
        <f>_xll.BDP(#REF!,AA$2)</f>
        <v>#REF!</v>
      </c>
      <c r="AD266">
        <f ca="1">IF(LEFT(_xll.BDP($T266,AD$2),4)="#N/A",-1,_xll.BDP($T266,AD$2))</f>
        <v>152832.70000000001</v>
      </c>
    </row>
    <row r="267" spans="1:30">
      <c r="A267">
        <f ca="1"/>
        <v>149</v>
      </c>
      <c r="B267" t="str">
        <f ca="1"/>
        <v>iW ALTERNATIVE SIF</v>
      </c>
      <c r="C267" t="str">
        <f ca="1"/>
        <v>iW ALTERNATIVE SIF</v>
      </c>
      <c r="D267">
        <f ca="1"/>
        <v>67869</v>
      </c>
      <c r="E267" t="str">
        <f ca="1"/>
        <v>COMMODITIES &amp; GOLD EQUITIES</v>
      </c>
      <c r="F267" t="str">
        <f ca="1"/>
        <v>Commodities &amp; Gold Equities</v>
      </c>
      <c r="G267">
        <f ca="1"/>
        <v>147</v>
      </c>
      <c r="H267" t="str">
        <f ca="1"/>
        <v>Pictet Fund Accounting</v>
      </c>
      <c r="I267" t="str">
        <f ca="1"/>
        <v>17509244-0</v>
      </c>
      <c r="J267" s="50">
        <f ca="1"/>
        <v>44775</v>
      </c>
      <c r="K267">
        <f ca="1"/>
        <v>20000</v>
      </c>
      <c r="L267" t="str">
        <f ca="1"/>
        <v>67977-0</v>
      </c>
      <c r="M267" t="str">
        <f ca="1"/>
        <v>FIRST MAJESTIC SILVER</v>
      </c>
      <c r="N267" t="str">
        <f ca="1"/>
        <v>CAD</v>
      </c>
      <c r="O267" t="str">
        <f ca="1"/>
        <v>Equity</v>
      </c>
      <c r="P267" t="str">
        <f ca="1"/>
        <v/>
      </c>
      <c r="Q267" t="str">
        <f ca="1"/>
        <v/>
      </c>
      <c r="R267" t="str">
        <f ca="1"/>
        <v>CA32076V1031</v>
      </c>
      <c r="S267" t="str">
        <f ca="1"/>
        <v/>
      </c>
      <c r="T267" t="str">
        <f ca="1"/>
        <v>FR CT Equity</v>
      </c>
      <c r="U267">
        <f ca="1">IF(LEFT(_xll.BDP($T267,U$2),4)="#N/A",0,_xll.BDP($T267,U$2))</f>
        <v>0</v>
      </c>
      <c r="V267" t="e">
        <f>_xll.BDP(#REF!,V$2)</f>
        <v>#REF!</v>
      </c>
      <c r="W267" t="e">
        <f>_xll.BDP(#REF!,W$2)</f>
        <v>#REF!</v>
      </c>
      <c r="X267" t="e">
        <f>_xll.BDP(#REF!,X$2)</f>
        <v>#REF!</v>
      </c>
      <c r="Y267" t="e">
        <f>_xll.BDP(#REF!,Y$2)</f>
        <v>#REF!</v>
      </c>
      <c r="Z267" t="e">
        <f>_xll.BDP(#REF!,Z$2)</f>
        <v>#REF!</v>
      </c>
      <c r="AA267" t="e">
        <f>_xll.BDP(#REF!,AA$2)</f>
        <v>#REF!</v>
      </c>
      <c r="AD267">
        <f ca="1">IF(LEFT(_xll.BDP($T267,AD$2),4)="#N/A",-1,_xll.BDP($T267,AD$2))</f>
        <v>714961.9</v>
      </c>
    </row>
    <row r="268" spans="1:30">
      <c r="A268">
        <f ca="1"/>
        <v>149</v>
      </c>
      <c r="B268" t="str">
        <f ca="1"/>
        <v>iW ALTERNATIVE SIF</v>
      </c>
      <c r="C268" t="str">
        <f ca="1"/>
        <v>iW ALTERNATIVE SIF</v>
      </c>
      <c r="D268">
        <f ca="1"/>
        <v>67869</v>
      </c>
      <c r="E268" t="str">
        <f ca="1"/>
        <v>COMMODITIES &amp; GOLD EQUITIES</v>
      </c>
      <c r="F268" t="str">
        <f ca="1"/>
        <v>Commodities &amp; Gold Equities</v>
      </c>
      <c r="G268">
        <f ca="1"/>
        <v>147</v>
      </c>
      <c r="H268" t="str">
        <f ca="1"/>
        <v>Pictet Fund Accounting</v>
      </c>
      <c r="I268" t="str">
        <f ca="1"/>
        <v>17509166-0</v>
      </c>
      <c r="J268" s="50">
        <f ca="1"/>
        <v>44775</v>
      </c>
      <c r="K268">
        <f ca="1"/>
        <v>1300000</v>
      </c>
      <c r="L268" t="str">
        <f ca="1"/>
        <v>67919-0</v>
      </c>
      <c r="M268" t="str">
        <f ca="1"/>
        <v>FIRST MINING GOLD</v>
      </c>
      <c r="N268" t="str">
        <f ca="1"/>
        <v>CAD</v>
      </c>
      <c r="O268" t="str">
        <f ca="1"/>
        <v>Equity</v>
      </c>
      <c r="P268" t="str">
        <f ca="1"/>
        <v/>
      </c>
      <c r="Q268" t="str">
        <f ca="1"/>
        <v/>
      </c>
      <c r="R268" t="str">
        <f ca="1"/>
        <v>CA3208901064</v>
      </c>
      <c r="S268" t="str">
        <f ca="1"/>
        <v/>
      </c>
      <c r="T268" t="str">
        <f ca="1"/>
        <v>FF CT Equity</v>
      </c>
      <c r="U268">
        <f ca="1">IF(LEFT(_xll.BDP($T268,U$2),4)="#N/A",0,_xll.BDP($T268,U$2))</f>
        <v>0</v>
      </c>
      <c r="V268" t="e">
        <f>_xll.BDP(#REF!,V$2)</f>
        <v>#REF!</v>
      </c>
      <c r="W268" t="e">
        <f>_xll.BDP(#REF!,W$2)</f>
        <v>#REF!</v>
      </c>
      <c r="X268" t="e">
        <f>_xll.BDP(#REF!,X$2)</f>
        <v>#REF!</v>
      </c>
      <c r="Y268" t="e">
        <f>_xll.BDP(#REF!,Y$2)</f>
        <v>#REF!</v>
      </c>
      <c r="Z268" t="e">
        <f>_xll.BDP(#REF!,Z$2)</f>
        <v>#REF!</v>
      </c>
      <c r="AA268" t="e">
        <f>_xll.BDP(#REF!,AA$2)</f>
        <v>#REF!</v>
      </c>
      <c r="AD268">
        <f ca="1">IF(LEFT(_xll.BDP($T268,AD$2),4)="#N/A",-1,_xll.BDP($T268,AD$2))</f>
        <v>269593</v>
      </c>
    </row>
    <row r="269" spans="1:30">
      <c r="A269">
        <f ca="1"/>
        <v>149</v>
      </c>
      <c r="B269" t="str">
        <f ca="1"/>
        <v>iW ALTERNATIVE SIF</v>
      </c>
      <c r="C269" t="str">
        <f ca="1"/>
        <v>iW ALTERNATIVE SIF</v>
      </c>
      <c r="D269">
        <f ca="1"/>
        <v>67869</v>
      </c>
      <c r="E269" t="str">
        <f ca="1"/>
        <v>COMMODITIES &amp; GOLD EQUITIES</v>
      </c>
      <c r="F269" t="str">
        <f ca="1"/>
        <v>Commodities &amp; Gold Equities</v>
      </c>
      <c r="G269">
        <f ca="1"/>
        <v>147</v>
      </c>
      <c r="H269" t="str">
        <f ca="1"/>
        <v>Pictet Fund Accounting</v>
      </c>
      <c r="I269" t="str">
        <f ca="1"/>
        <v>17509212-0</v>
      </c>
      <c r="J269" s="50">
        <f ca="1"/>
        <v>44775</v>
      </c>
      <c r="K269">
        <f ca="1"/>
        <v>27000</v>
      </c>
      <c r="L269" t="str">
        <f ca="1"/>
        <v>106534-0</v>
      </c>
      <c r="M269" t="str">
        <f ca="1"/>
        <v>FRESNILLO</v>
      </c>
      <c r="N269" t="str">
        <f ca="1"/>
        <v>GBP</v>
      </c>
      <c r="O269" t="str">
        <f ca="1"/>
        <v>Equity</v>
      </c>
      <c r="P269" t="str">
        <f ca="1"/>
        <v/>
      </c>
      <c r="Q269" t="str">
        <f ca="1"/>
        <v/>
      </c>
      <c r="R269" t="str">
        <f ca="1"/>
        <v>GB00B2QPKJ12</v>
      </c>
      <c r="S269" t="str">
        <f ca="1"/>
        <v/>
      </c>
      <c r="T269" t="str">
        <f ca="1"/>
        <v>FRES LN Equity</v>
      </c>
      <c r="U269">
        <f ca="1">IF(LEFT(_xll.BDP($T269,U$2),4)="#N/A",0,_xll.BDP($T269,U$2))</f>
        <v>0</v>
      </c>
      <c r="V269" t="e">
        <f>_xll.BDP(#REF!,V$2)</f>
        <v>#REF!</v>
      </c>
      <c r="W269" t="e">
        <f>_xll.BDP(#REF!,W$2)</f>
        <v>#REF!</v>
      </c>
      <c r="X269" t="e">
        <f>_xll.BDP(#REF!,X$2)</f>
        <v>#REF!</v>
      </c>
      <c r="Y269" t="e">
        <f>_xll.BDP(#REF!,Y$2)</f>
        <v>#REF!</v>
      </c>
      <c r="Z269" t="e">
        <f>_xll.BDP(#REF!,Z$2)</f>
        <v>#REF!</v>
      </c>
      <c r="AA269" t="e">
        <f>_xll.BDP(#REF!,AA$2)</f>
        <v>#REF!</v>
      </c>
      <c r="AD269">
        <f ca="1">IF(LEFT(_xll.BDP($T269,AD$2),4)="#N/A",-1,_xll.BDP($T269,AD$2))</f>
        <v>771143.7</v>
      </c>
    </row>
    <row r="270" spans="1:30">
      <c r="A270">
        <f ca="1"/>
        <v>149</v>
      </c>
      <c r="B270" t="str">
        <f ca="1"/>
        <v>iW ALTERNATIVE SIF</v>
      </c>
      <c r="C270" t="str">
        <f ca="1"/>
        <v>iW ALTERNATIVE SIF</v>
      </c>
      <c r="D270">
        <f ca="1"/>
        <v>67869</v>
      </c>
      <c r="E270" t="str">
        <f ca="1"/>
        <v>COMMODITIES &amp; GOLD EQUITIES</v>
      </c>
      <c r="F270" t="str">
        <f ca="1"/>
        <v>Commodities &amp; Gold Equities</v>
      </c>
      <c r="G270">
        <f ca="1"/>
        <v>147</v>
      </c>
      <c r="H270" t="str">
        <f ca="1"/>
        <v>Pictet Fund Accounting</v>
      </c>
      <c r="I270" t="str">
        <f ca="1"/>
        <v>17509201-0</v>
      </c>
      <c r="J270" s="50">
        <f ca="1"/>
        <v>44775</v>
      </c>
      <c r="K270">
        <f ca="1"/>
        <v>49996</v>
      </c>
      <c r="L270" t="str">
        <f ca="1"/>
        <v>74792-0</v>
      </c>
      <c r="M270" t="str">
        <f ca="1"/>
        <v>FURY GOLD MINES</v>
      </c>
      <c r="N270" t="str">
        <f ca="1"/>
        <v>USD</v>
      </c>
      <c r="O270" t="str">
        <f ca="1"/>
        <v>Equity</v>
      </c>
      <c r="P270" t="str">
        <f ca="1"/>
        <v/>
      </c>
      <c r="Q270" t="str">
        <f ca="1"/>
        <v/>
      </c>
      <c r="R270" t="str">
        <f ca="1"/>
        <v>CA36117T1003</v>
      </c>
      <c r="S270" t="str">
        <f ca="1"/>
        <v/>
      </c>
      <c r="T270" t="str">
        <f ca="1"/>
        <v>FURY UA Equity</v>
      </c>
      <c r="U270">
        <f ca="1">IF(LEFT(_xll.BDP($T270,U$2),4)="#N/A",0,_xll.BDP($T270,U$2))</f>
        <v>0</v>
      </c>
      <c r="V270" t="e">
        <f>_xll.BDP(#REF!,V$2)</f>
        <v>#REF!</v>
      </c>
      <c r="W270" t="e">
        <f>_xll.BDP(#REF!,W$2)</f>
        <v>#REF!</v>
      </c>
      <c r="X270" t="e">
        <f>_xll.BDP(#REF!,X$2)</f>
        <v>#REF!</v>
      </c>
      <c r="Y270" t="e">
        <f>_xll.BDP(#REF!,Y$2)</f>
        <v>#REF!</v>
      </c>
      <c r="Z270" t="e">
        <f>_xll.BDP(#REF!,Z$2)</f>
        <v>#REF!</v>
      </c>
      <c r="AA270" t="e">
        <f>_xll.BDP(#REF!,AA$2)</f>
        <v>#REF!</v>
      </c>
      <c r="AD270">
        <f ca="1">IF(LEFT(_xll.BDP($T270,AD$2),4)="#N/A",-1,_xll.BDP($T270,AD$2))</f>
        <v>7607</v>
      </c>
    </row>
    <row r="271" spans="1:30">
      <c r="A271">
        <f ca="1"/>
        <v>149</v>
      </c>
      <c r="B271" t="str">
        <f ca="1"/>
        <v>iW ALTERNATIVE SIF</v>
      </c>
      <c r="C271" t="str">
        <f ca="1"/>
        <v>iW ALTERNATIVE SIF</v>
      </c>
      <c r="D271">
        <f ca="1"/>
        <v>67869</v>
      </c>
      <c r="E271" t="str">
        <f ca="1"/>
        <v>COMMODITIES &amp; GOLD EQUITIES</v>
      </c>
      <c r="F271" t="str">
        <f ca="1"/>
        <v>Commodities &amp; Gold Equities</v>
      </c>
      <c r="G271">
        <f ca="1"/>
        <v>147</v>
      </c>
      <c r="H271" t="str">
        <f ca="1"/>
        <v>Pictet Fund Accounting</v>
      </c>
      <c r="I271" t="str">
        <f ca="1"/>
        <v>17509203-0</v>
      </c>
      <c r="J271" s="50">
        <f ca="1"/>
        <v>44775</v>
      </c>
      <c r="K271">
        <f ca="1"/>
        <v>14863</v>
      </c>
      <c r="L271" t="str">
        <f ca="1"/>
        <v>74793-0</v>
      </c>
      <c r="M271" t="str">
        <f ca="1"/>
        <v>FURY GOLD MINES</v>
      </c>
      <c r="N271" t="str">
        <f ca="1"/>
        <v>CAD</v>
      </c>
      <c r="O271" t="str">
        <f ca="1"/>
        <v>Equity</v>
      </c>
      <c r="P271" t="str">
        <f ca="1"/>
        <v/>
      </c>
      <c r="Q271" t="str">
        <f ca="1"/>
        <v/>
      </c>
      <c r="R271" t="str">
        <f ca="1"/>
        <v>CA36117T1003</v>
      </c>
      <c r="S271" t="str">
        <f ca="1"/>
        <v/>
      </c>
      <c r="T271" t="str">
        <f ca="1"/>
        <v>FURY CN Equity</v>
      </c>
      <c r="U271">
        <f ca="1">IF(LEFT(_xll.BDP($T271,U$2),4)="#N/A",0,_xll.BDP($T271,U$2))</f>
        <v>0</v>
      </c>
      <c r="V271" t="e">
        <f>_xll.BDP(#REF!,V$2)</f>
        <v>#REF!</v>
      </c>
      <c r="W271" t="e">
        <f>_xll.BDP(#REF!,W$2)</f>
        <v>#REF!</v>
      </c>
      <c r="X271" t="e">
        <f>_xll.BDP(#REF!,X$2)</f>
        <v>#REF!</v>
      </c>
      <c r="Y271" t="e">
        <f>_xll.BDP(#REF!,Y$2)</f>
        <v>#REF!</v>
      </c>
      <c r="Z271" t="e">
        <f>_xll.BDP(#REF!,Z$2)</f>
        <v>#REF!</v>
      </c>
      <c r="AA271" t="e">
        <f>_xll.BDP(#REF!,AA$2)</f>
        <v>#REF!</v>
      </c>
      <c r="AD271">
        <f ca="1">IF(LEFT(_xll.BDP($T271,AD$2),4)="#N/A",-1,_xll.BDP($T271,AD$2))</f>
        <v>74836.399999999994</v>
      </c>
    </row>
    <row r="272" spans="1:30">
      <c r="A272">
        <f ca="1"/>
        <v>149</v>
      </c>
      <c r="B272" t="str">
        <f ca="1"/>
        <v>iW ALTERNATIVE SIF</v>
      </c>
      <c r="C272" t="str">
        <f ca="1"/>
        <v>iW ALTERNATIVE SIF</v>
      </c>
      <c r="D272">
        <f ca="1"/>
        <v>67869</v>
      </c>
      <c r="E272" t="str">
        <f ca="1"/>
        <v>COMMODITIES &amp; GOLD EQUITIES</v>
      </c>
      <c r="F272" t="str">
        <f ca="1"/>
        <v>Commodities &amp; Gold Equities</v>
      </c>
      <c r="G272">
        <f ca="1"/>
        <v>147</v>
      </c>
      <c r="H272" t="str">
        <f ca="1"/>
        <v>Pictet Fund Accounting</v>
      </c>
      <c r="I272" t="str">
        <f ca="1"/>
        <v>17509267-0</v>
      </c>
      <c r="J272" s="50">
        <f ca="1"/>
        <v>44775</v>
      </c>
      <c r="K272">
        <f ca="1"/>
        <v>63875</v>
      </c>
      <c r="L272" t="str">
        <f ca="1"/>
        <v>67995-0</v>
      </c>
      <c r="M272" t="str">
        <f ca="1"/>
        <v>GALIANO GOLD</v>
      </c>
      <c r="N272" t="str">
        <f ca="1"/>
        <v>CAD</v>
      </c>
      <c r="O272" t="str">
        <f ca="1"/>
        <v>Equity</v>
      </c>
      <c r="P272" t="str">
        <f ca="1"/>
        <v/>
      </c>
      <c r="Q272" t="str">
        <f ca="1"/>
        <v/>
      </c>
      <c r="R272" t="str">
        <f ca="1"/>
        <v>CA36352H1001</v>
      </c>
      <c r="S272" t="str">
        <f ca="1"/>
        <v/>
      </c>
      <c r="T272" t="str">
        <f ca="1"/>
        <v>GAU CN Equity</v>
      </c>
      <c r="U272">
        <f ca="1">IF(LEFT(_xll.BDP($T272,U$2),4)="#N/A",0,_xll.BDP($T272,U$2))</f>
        <v>0</v>
      </c>
      <c r="V272" t="e">
        <f>_xll.BDP(#REF!,V$2)</f>
        <v>#REF!</v>
      </c>
      <c r="W272" t="e">
        <f>_xll.BDP(#REF!,W$2)</f>
        <v>#REF!</v>
      </c>
      <c r="X272" t="e">
        <f>_xll.BDP(#REF!,X$2)</f>
        <v>#REF!</v>
      </c>
      <c r="Y272" t="e">
        <f>_xll.BDP(#REF!,Y$2)</f>
        <v>#REF!</v>
      </c>
      <c r="Z272" t="e">
        <f>_xll.BDP(#REF!,Z$2)</f>
        <v>#REF!</v>
      </c>
      <c r="AA272" t="e">
        <f>_xll.BDP(#REF!,AA$2)</f>
        <v>#REF!</v>
      </c>
      <c r="AD272">
        <f ca="1">IF(LEFT(_xll.BDP($T272,AD$2),4)="#N/A",-1,_xll.BDP($T272,AD$2))</f>
        <v>29134.55</v>
      </c>
    </row>
    <row r="273" spans="1:30">
      <c r="A273">
        <f ca="1"/>
        <v>149</v>
      </c>
      <c r="B273" t="str">
        <f ca="1"/>
        <v>iW ALTERNATIVE SIF</v>
      </c>
      <c r="C273" t="str">
        <f ca="1"/>
        <v>iW ALTERNATIVE SIF</v>
      </c>
      <c r="D273">
        <f ca="1"/>
        <v>67869</v>
      </c>
      <c r="E273" t="str">
        <f ca="1"/>
        <v>COMMODITIES &amp; GOLD EQUITIES</v>
      </c>
      <c r="F273" t="str">
        <f ca="1"/>
        <v>Commodities &amp; Gold Equities</v>
      </c>
      <c r="G273">
        <f ca="1"/>
        <v>147</v>
      </c>
      <c r="H273" t="str">
        <f ca="1"/>
        <v>Pictet Fund Accounting</v>
      </c>
      <c r="I273" t="str">
        <f ca="1"/>
        <v>17509193-0</v>
      </c>
      <c r="J273" s="50">
        <f ca="1"/>
        <v>44775</v>
      </c>
      <c r="K273">
        <f ca="1"/>
        <v>62500</v>
      </c>
      <c r="L273" t="str">
        <f ca="1"/>
        <v>67939-0</v>
      </c>
      <c r="M273" t="str">
        <f ca="1"/>
        <v>GALWAY GOLD</v>
      </c>
      <c r="N273" t="str">
        <f ca="1"/>
        <v>CAD</v>
      </c>
      <c r="O273" t="str">
        <f ca="1"/>
        <v>Equity</v>
      </c>
      <c r="P273" t="str">
        <f ca="1"/>
        <v/>
      </c>
      <c r="Q273" t="str">
        <f ca="1"/>
        <v/>
      </c>
      <c r="R273" t="str">
        <f ca="1"/>
        <v>CA3645842012</v>
      </c>
      <c r="S273" t="str">
        <f ca="1"/>
        <v/>
      </c>
      <c r="T273" t="str">
        <f ca="1"/>
        <v>GLW CV Equity</v>
      </c>
      <c r="U273">
        <f ca="1">IF(LEFT(_xll.BDP($T273,U$2),4)="#N/A",0,_xll.BDP($T273,U$2))</f>
        <v>0</v>
      </c>
      <c r="V273" t="e">
        <f>_xll.BDP(#REF!,V$2)</f>
        <v>#REF!</v>
      </c>
      <c r="W273" t="e">
        <f>_xll.BDP(#REF!,W$2)</f>
        <v>#REF!</v>
      </c>
      <c r="X273" t="e">
        <f>_xll.BDP(#REF!,X$2)</f>
        <v>#REF!</v>
      </c>
      <c r="Y273" t="e">
        <f>_xll.BDP(#REF!,Y$2)</f>
        <v>#REF!</v>
      </c>
      <c r="Z273" t="e">
        <f>_xll.BDP(#REF!,Z$2)</f>
        <v>#REF!</v>
      </c>
      <c r="AA273" t="e">
        <f>_xll.BDP(#REF!,AA$2)</f>
        <v>#REF!</v>
      </c>
      <c r="AD273">
        <f ca="1">IF(LEFT(_xll.BDP($T273,AD$2),4)="#N/A",-1,_xll.BDP($T273,AD$2))</f>
        <v>1945</v>
      </c>
    </row>
    <row r="274" spans="1:30">
      <c r="A274">
        <f ca="1"/>
        <v>149</v>
      </c>
      <c r="B274" t="str">
        <f ca="1"/>
        <v>iW ALTERNATIVE SIF</v>
      </c>
      <c r="C274" t="str">
        <f ca="1"/>
        <v>iW ALTERNATIVE SIF</v>
      </c>
      <c r="D274">
        <f ca="1"/>
        <v>67869</v>
      </c>
      <c r="E274" t="str">
        <f ca="1"/>
        <v>COMMODITIES &amp; GOLD EQUITIES</v>
      </c>
      <c r="F274" t="str">
        <f ca="1"/>
        <v>Commodities &amp; Gold Equities</v>
      </c>
      <c r="G274">
        <f ca="1"/>
        <v>147</v>
      </c>
      <c r="H274" t="str">
        <f ca="1"/>
        <v>Pictet Fund Accounting</v>
      </c>
      <c r="I274" t="str">
        <f ca="1"/>
        <v>17509231-0</v>
      </c>
      <c r="J274" s="50">
        <f ca="1"/>
        <v>44775</v>
      </c>
      <c r="K274">
        <f ca="1"/>
        <v>56667</v>
      </c>
      <c r="L274" t="str">
        <f ca="1"/>
        <v>67965-0</v>
      </c>
      <c r="M274" t="str">
        <f ca="1"/>
        <v>GALWAY METALS</v>
      </c>
      <c r="N274" t="str">
        <f ca="1"/>
        <v>CAD</v>
      </c>
      <c r="O274" t="str">
        <f ca="1"/>
        <v>Equity</v>
      </c>
      <c r="P274" t="str">
        <f ca="1"/>
        <v/>
      </c>
      <c r="Q274" t="str">
        <f ca="1"/>
        <v/>
      </c>
      <c r="R274" t="str">
        <f ca="1"/>
        <v>CA3645852086</v>
      </c>
      <c r="S274" t="str">
        <f ca="1"/>
        <v/>
      </c>
      <c r="T274" t="str">
        <f ca="1"/>
        <v>GWM CV Equity</v>
      </c>
      <c r="U274">
        <f ca="1">IF(LEFT(_xll.BDP($T274,U$2),4)="#N/A",0,_xll.BDP($T274,U$2))</f>
        <v>0</v>
      </c>
      <c r="V274" t="e">
        <f>_xll.BDP(#REF!,V$2)</f>
        <v>#REF!</v>
      </c>
      <c r="W274" t="e">
        <f>_xll.BDP(#REF!,W$2)</f>
        <v>#REF!</v>
      </c>
      <c r="X274" t="e">
        <f>_xll.BDP(#REF!,X$2)</f>
        <v>#REF!</v>
      </c>
      <c r="Y274" t="e">
        <f>_xll.BDP(#REF!,Y$2)</f>
        <v>#REF!</v>
      </c>
      <c r="Z274" t="e">
        <f>_xll.BDP(#REF!,Z$2)</f>
        <v>#REF!</v>
      </c>
      <c r="AA274" t="e">
        <f>_xll.BDP(#REF!,AA$2)</f>
        <v>#REF!</v>
      </c>
      <c r="AD274">
        <f ca="1">IF(LEFT(_xll.BDP($T274,AD$2),4)="#N/A",-1,_xll.BDP($T274,AD$2))</f>
        <v>55237</v>
      </c>
    </row>
    <row r="275" spans="1:30">
      <c r="A275">
        <f ca="1"/>
        <v>149</v>
      </c>
      <c r="B275" t="str">
        <f ca="1"/>
        <v>iW ALTERNATIVE SIF</v>
      </c>
      <c r="C275" t="str">
        <f ca="1"/>
        <v>iW ALTERNATIVE SIF</v>
      </c>
      <c r="D275">
        <f ca="1"/>
        <v>67869</v>
      </c>
      <c r="E275" t="str">
        <f ca="1"/>
        <v>COMMODITIES &amp; GOLD EQUITIES</v>
      </c>
      <c r="F275" t="str">
        <f ca="1"/>
        <v>Commodities &amp; Gold Equities</v>
      </c>
      <c r="G275">
        <f ca="1"/>
        <v>147</v>
      </c>
      <c r="H275" t="str">
        <f ca="1"/>
        <v>Pictet Fund Accounting</v>
      </c>
      <c r="I275" t="str">
        <f ca="1"/>
        <v>17509207-0</v>
      </c>
      <c r="J275" s="50">
        <f ca="1"/>
        <v>44775</v>
      </c>
      <c r="K275">
        <f ca="1"/>
        <v>2000</v>
      </c>
      <c r="L275" t="str">
        <f ca="1"/>
        <v>133845-0</v>
      </c>
      <c r="M275" t="str">
        <f ca="1"/>
        <v>GOLD FIELDS -ADR SPONS.-</v>
      </c>
      <c r="N275" t="str">
        <f ca="1"/>
        <v>USD</v>
      </c>
      <c r="O275" t="str">
        <f ca="1"/>
        <v>Equity</v>
      </c>
      <c r="P275" t="str">
        <f ca="1"/>
        <v/>
      </c>
      <c r="Q275" t="str">
        <f ca="1"/>
        <v/>
      </c>
      <c r="R275" t="str">
        <f ca="1"/>
        <v>US38059T1060</v>
      </c>
      <c r="S275" t="str">
        <f ca="1"/>
        <v/>
      </c>
      <c r="T275" t="str">
        <f ca="1"/>
        <v>GFI UN Equity</v>
      </c>
      <c r="U275">
        <f ca="1">IF(LEFT(_xll.BDP($T275,U$2),4)="#N/A",0,_xll.BDP($T275,U$2))</f>
        <v>0</v>
      </c>
      <c r="V275" t="e">
        <f>_xll.BDP(#REF!,V$2)</f>
        <v>#REF!</v>
      </c>
      <c r="W275" t="e">
        <f>_xll.BDP(#REF!,W$2)</f>
        <v>#REF!</v>
      </c>
      <c r="X275" t="e">
        <f>_xll.BDP(#REF!,X$2)</f>
        <v>#REF!</v>
      </c>
      <c r="Y275" t="e">
        <f>_xll.BDP(#REF!,Y$2)</f>
        <v>#REF!</v>
      </c>
      <c r="Z275" t="e">
        <f>_xll.BDP(#REF!,Z$2)</f>
        <v>#REF!</v>
      </c>
      <c r="AA275" t="e">
        <f>_xll.BDP(#REF!,AA$2)</f>
        <v>#REF!</v>
      </c>
      <c r="AD275">
        <f ca="1">IF(LEFT(_xll.BDP($T275,AD$2),4)="#N/A",-1,_xll.BDP($T275,AD$2))</f>
        <v>1102417.25</v>
      </c>
    </row>
    <row r="276" spans="1:30">
      <c r="A276">
        <f ca="1"/>
        <v>149</v>
      </c>
      <c r="B276" t="str">
        <f ca="1"/>
        <v>iW ALTERNATIVE SIF</v>
      </c>
      <c r="C276" t="str">
        <f ca="1"/>
        <v>iW ALTERNATIVE SIF</v>
      </c>
      <c r="D276">
        <f ca="1"/>
        <v>67869</v>
      </c>
      <c r="E276" t="str">
        <f ca="1"/>
        <v>COMMODITIES &amp; GOLD EQUITIES</v>
      </c>
      <c r="F276" t="str">
        <f ca="1"/>
        <v>Commodities &amp; Gold Equities</v>
      </c>
      <c r="G276">
        <f ca="1"/>
        <v>147</v>
      </c>
      <c r="H276" t="str">
        <f ca="1"/>
        <v>Pictet Fund Accounting</v>
      </c>
      <c r="I276" t="str">
        <f ca="1"/>
        <v>17509164-0</v>
      </c>
      <c r="J276" s="50">
        <f ca="1"/>
        <v>44775</v>
      </c>
      <c r="K276">
        <f ca="1"/>
        <v>3192</v>
      </c>
      <c r="L276" t="str">
        <f ca="1"/>
        <v>132300-0</v>
      </c>
      <c r="M276" t="str">
        <f ca="1"/>
        <v>GOLD RESOURCE</v>
      </c>
      <c r="N276" t="str">
        <f ca="1"/>
        <v>USD</v>
      </c>
      <c r="O276" t="str">
        <f ca="1"/>
        <v>Equity</v>
      </c>
      <c r="P276" t="str">
        <f ca="1"/>
        <v/>
      </c>
      <c r="Q276" t="str">
        <f ca="1"/>
        <v/>
      </c>
      <c r="R276" t="str">
        <f ca="1"/>
        <v>US38068T1051</v>
      </c>
      <c r="S276" t="str">
        <f ca="1"/>
        <v/>
      </c>
      <c r="T276" t="str">
        <f ca="1"/>
        <v>GORO UA Equity</v>
      </c>
      <c r="U276">
        <f ca="1">IF(LEFT(_xll.BDP($T276,U$2),4)="#N/A",0,_xll.BDP($T276,U$2))</f>
        <v>0</v>
      </c>
      <c r="V276" t="e">
        <f>_xll.BDP(#REF!,V$2)</f>
        <v>#REF!</v>
      </c>
      <c r="W276" t="e">
        <f>_xll.BDP(#REF!,W$2)</f>
        <v>#REF!</v>
      </c>
      <c r="X276" t="e">
        <f>_xll.BDP(#REF!,X$2)</f>
        <v>#REF!</v>
      </c>
      <c r="Y276" t="e">
        <f>_xll.BDP(#REF!,Y$2)</f>
        <v>#REF!</v>
      </c>
      <c r="Z276" t="e">
        <f>_xll.BDP(#REF!,Z$2)</f>
        <v>#REF!</v>
      </c>
      <c r="AA276" t="e">
        <f>_xll.BDP(#REF!,AA$2)</f>
        <v>#REF!</v>
      </c>
      <c r="AD276">
        <f ca="1">IF(LEFT(_xll.BDP($T276,AD$2),4)="#N/A",-1,_xll.BDP($T276,AD$2))</f>
        <v>56656.8984375</v>
      </c>
    </row>
    <row r="277" spans="1:30">
      <c r="A277">
        <f ca="1"/>
        <v>149</v>
      </c>
      <c r="B277" t="str">
        <f ca="1"/>
        <v>iW ALTERNATIVE SIF</v>
      </c>
      <c r="C277" t="str">
        <f ca="1"/>
        <v>iW ALTERNATIVE SIF</v>
      </c>
      <c r="D277">
        <f ca="1"/>
        <v>67869</v>
      </c>
      <c r="E277" t="str">
        <f ca="1"/>
        <v>COMMODITIES &amp; GOLD EQUITIES</v>
      </c>
      <c r="F277" t="str">
        <f ca="1"/>
        <v>Commodities &amp; Gold Equities</v>
      </c>
      <c r="G277">
        <f ca="1"/>
        <v>147</v>
      </c>
      <c r="H277" t="str">
        <f ca="1"/>
        <v>Pictet Fund Accounting</v>
      </c>
      <c r="I277" t="str">
        <f ca="1"/>
        <v>17509268-0</v>
      </c>
      <c r="J277" s="50">
        <f ca="1"/>
        <v>44775</v>
      </c>
      <c r="K277">
        <f ca="1"/>
        <v>25000</v>
      </c>
      <c r="L277" t="str">
        <f ca="1"/>
        <v>146462-0</v>
      </c>
      <c r="M277" t="str">
        <f ca="1"/>
        <v>GOLD ROYALTY</v>
      </c>
      <c r="N277" t="str">
        <f ca="1"/>
        <v>USD</v>
      </c>
      <c r="O277" t="str">
        <f ca="1"/>
        <v>Equity</v>
      </c>
      <c r="P277" t="str">
        <f ca="1"/>
        <v/>
      </c>
      <c r="Q277" t="str">
        <f ca="1"/>
        <v/>
      </c>
      <c r="R277" t="str">
        <f ca="1"/>
        <v>CA38071H1064</v>
      </c>
      <c r="S277" t="str">
        <f ca="1"/>
        <v/>
      </c>
      <c r="T277" t="str">
        <f ca="1"/>
        <v/>
      </c>
      <c r="U277">
        <f ca="1">IF(LEFT(_xll.BDP($T277,U$2),4)="#N/A",0,_xll.BDP($T277,U$2))</f>
        <v>0</v>
      </c>
      <c r="V277" t="e">
        <f>_xll.BDP(#REF!,V$2)</f>
        <v>#REF!</v>
      </c>
      <c r="W277" t="e">
        <f>_xll.BDP(#REF!,W$2)</f>
        <v>#REF!</v>
      </c>
      <c r="X277" t="e">
        <f>_xll.BDP(#REF!,X$2)</f>
        <v>#REF!</v>
      </c>
      <c r="Y277" t="e">
        <f>_xll.BDP(#REF!,Y$2)</f>
        <v>#REF!</v>
      </c>
      <c r="Z277" t="e">
        <f>_xll.BDP(#REF!,Z$2)</f>
        <v>#REF!</v>
      </c>
      <c r="AA277" t="e">
        <f>_xll.BDP(#REF!,AA$2)</f>
        <v>#REF!</v>
      </c>
      <c r="AD277">
        <f ca="1">IF(LEFT(_xll.BDP($T277,AD$2),4)="#N/A",-1,_xll.BDP($T277,AD$2))</f>
        <v>-1</v>
      </c>
    </row>
    <row r="278" spans="1:30">
      <c r="A278">
        <f ca="1"/>
        <v>149</v>
      </c>
      <c r="B278" t="str">
        <f ca="1"/>
        <v>iW ALTERNATIVE SIF</v>
      </c>
      <c r="C278" t="str">
        <f ca="1"/>
        <v>iW ALTERNATIVE SIF</v>
      </c>
      <c r="D278">
        <f ca="1"/>
        <v>67869</v>
      </c>
      <c r="E278" t="str">
        <f ca="1"/>
        <v>COMMODITIES &amp; GOLD EQUITIES</v>
      </c>
      <c r="F278" t="str">
        <f ca="1"/>
        <v>Commodities &amp; Gold Equities</v>
      </c>
      <c r="G278">
        <f ca="1"/>
        <v>147</v>
      </c>
      <c r="H278" t="str">
        <f ca="1"/>
        <v>Pictet Fund Accounting</v>
      </c>
      <c r="I278" t="str">
        <f ca="1"/>
        <v>17509192-0</v>
      </c>
      <c r="J278" s="50">
        <f ca="1"/>
        <v>44775</v>
      </c>
      <c r="K278">
        <f ca="1"/>
        <v>104796</v>
      </c>
      <c r="L278" t="str">
        <f ca="1"/>
        <v>67938-0</v>
      </c>
      <c r="M278" t="str">
        <f ca="1"/>
        <v>GOLDEN MINERALS</v>
      </c>
      <c r="N278" t="str">
        <f ca="1"/>
        <v>USD</v>
      </c>
      <c r="O278" t="str">
        <f ca="1"/>
        <v>Equity</v>
      </c>
      <c r="P278" t="str">
        <f ca="1"/>
        <v/>
      </c>
      <c r="Q278" t="str">
        <f ca="1"/>
        <v/>
      </c>
      <c r="R278" t="str">
        <f ca="1"/>
        <v>US3811191069</v>
      </c>
      <c r="S278" t="str">
        <f ca="1"/>
        <v/>
      </c>
      <c r="T278" t="str">
        <f ca="1"/>
        <v>AUMN UA Equity</v>
      </c>
      <c r="U278">
        <f ca="1">IF(LEFT(_xll.BDP($T278,U$2),4)="#N/A",0,_xll.BDP($T278,U$2))</f>
        <v>0</v>
      </c>
      <c r="V278" t="e">
        <f>_xll.BDP(#REF!,V$2)</f>
        <v>#REF!</v>
      </c>
      <c r="W278" t="e">
        <f>_xll.BDP(#REF!,W$2)</f>
        <v>#REF!</v>
      </c>
      <c r="X278" t="e">
        <f>_xll.BDP(#REF!,X$2)</f>
        <v>#REF!</v>
      </c>
      <c r="Y278" t="e">
        <f>_xll.BDP(#REF!,Y$2)</f>
        <v>#REF!</v>
      </c>
      <c r="Z278" t="e">
        <f>_xll.BDP(#REF!,Z$2)</f>
        <v>#REF!</v>
      </c>
      <c r="AA278" t="e">
        <f>_xll.BDP(#REF!,AA$2)</f>
        <v>#REF!</v>
      </c>
      <c r="AD278">
        <f ca="1">IF(LEFT(_xll.BDP($T278,AD$2),4)="#N/A",-1,_xll.BDP($T278,AD$2))</f>
        <v>46760.05078125</v>
      </c>
    </row>
    <row r="279" spans="1:30">
      <c r="A279">
        <f ca="1"/>
        <v>149</v>
      </c>
      <c r="B279" t="str">
        <f ca="1"/>
        <v>iW ALTERNATIVE SIF</v>
      </c>
      <c r="C279" t="str">
        <f ca="1"/>
        <v>iW ALTERNATIVE SIF</v>
      </c>
      <c r="D279">
        <f ca="1"/>
        <v>67869</v>
      </c>
      <c r="E279" t="str">
        <f ca="1"/>
        <v>COMMODITIES &amp; GOLD EQUITIES</v>
      </c>
      <c r="F279" t="str">
        <f ca="1"/>
        <v>Commodities &amp; Gold Equities</v>
      </c>
      <c r="G279">
        <f ca="1"/>
        <v>147</v>
      </c>
      <c r="H279" t="str">
        <f ca="1"/>
        <v>Pictet Fund Accounting</v>
      </c>
      <c r="I279" t="str">
        <f ca="1"/>
        <v>17509215-0</v>
      </c>
      <c r="J279" s="50">
        <f ca="1"/>
        <v>44775</v>
      </c>
      <c r="K279">
        <f ca="1"/>
        <v>130000</v>
      </c>
      <c r="L279" t="str">
        <f ca="1"/>
        <v>67957-0</v>
      </c>
      <c r="M279" t="str">
        <f ca="1"/>
        <v>GOLDEN TAG RESOURCES</v>
      </c>
      <c r="N279" t="str">
        <f ca="1"/>
        <v>CAD</v>
      </c>
      <c r="O279" t="str">
        <f ca="1"/>
        <v>Equity</v>
      </c>
      <c r="P279" t="str">
        <f ca="1"/>
        <v/>
      </c>
      <c r="Q279" t="str">
        <f ca="1"/>
        <v/>
      </c>
      <c r="R279" t="str">
        <f ca="1"/>
        <v>CA38121P1080</v>
      </c>
      <c r="S279" t="str">
        <f ca="1"/>
        <v/>
      </c>
      <c r="T279" t="str">
        <f ca="1"/>
        <v>GOG CV Equity</v>
      </c>
      <c r="U279">
        <f ca="1">IF(LEFT(_xll.BDP($T279,U$2),4)="#N/A",0,_xll.BDP($T279,U$2))</f>
        <v>0</v>
      </c>
      <c r="V279" t="e">
        <f>_xll.BDP(#REF!,V$2)</f>
        <v>#REF!</v>
      </c>
      <c r="W279" t="e">
        <f>_xll.BDP(#REF!,W$2)</f>
        <v>#REF!</v>
      </c>
      <c r="X279" t="e">
        <f>_xll.BDP(#REF!,X$2)</f>
        <v>#REF!</v>
      </c>
      <c r="Y279" t="e">
        <f>_xll.BDP(#REF!,Y$2)</f>
        <v>#REF!</v>
      </c>
      <c r="Z279" t="e">
        <f>_xll.BDP(#REF!,Z$2)</f>
        <v>#REF!</v>
      </c>
      <c r="AA279" t="e">
        <f>_xll.BDP(#REF!,AA$2)</f>
        <v>#REF!</v>
      </c>
      <c r="AD279">
        <f ca="1">IF(LEFT(_xll.BDP($T279,AD$2),4)="#N/A",-1,_xll.BDP($T279,AD$2))</f>
        <v>104281.5</v>
      </c>
    </row>
    <row r="280" spans="1:30">
      <c r="A280">
        <f ca="1"/>
        <v>149</v>
      </c>
      <c r="B280" t="str">
        <f ca="1"/>
        <v>iW ALTERNATIVE SIF</v>
      </c>
      <c r="C280" t="str">
        <f ca="1"/>
        <v>iW ALTERNATIVE SIF</v>
      </c>
      <c r="D280">
        <f ca="1"/>
        <v>67869</v>
      </c>
      <c r="E280" t="str">
        <f ca="1"/>
        <v>COMMODITIES &amp; GOLD EQUITIES</v>
      </c>
      <c r="F280" t="str">
        <f ca="1"/>
        <v>Commodities &amp; Gold Equities</v>
      </c>
      <c r="G280">
        <f ca="1"/>
        <v>147</v>
      </c>
      <c r="H280" t="str">
        <f ca="1"/>
        <v>Pictet Fund Accounting</v>
      </c>
      <c r="I280" t="str">
        <f ca="1"/>
        <v>17509243-0</v>
      </c>
      <c r="J280" s="50">
        <f ca="1"/>
        <v>44775</v>
      </c>
      <c r="K280">
        <f ca="1"/>
        <v>115000</v>
      </c>
      <c r="L280" t="str">
        <f ca="1"/>
        <v>67975-0</v>
      </c>
      <c r="M280" t="str">
        <f ca="1"/>
        <v>GREAT BASIN GOLD</v>
      </c>
      <c r="N280" t="str">
        <f ca="1"/>
        <v>USD</v>
      </c>
      <c r="O280" t="str">
        <f ca="1"/>
        <v>Equity</v>
      </c>
      <c r="P280" t="str">
        <f ca="1"/>
        <v/>
      </c>
      <c r="Q280" t="str">
        <f ca="1"/>
        <v/>
      </c>
      <c r="R280" t="str">
        <f ca="1"/>
        <v>CA3901241057</v>
      </c>
      <c r="S280" t="str">
        <f ca="1"/>
        <v/>
      </c>
      <c r="T280" t="str">
        <f ca="1"/>
        <v>GBGLF UV Equity</v>
      </c>
      <c r="U280">
        <f ca="1">IF(LEFT(_xll.BDP($T280,U$2),4)="#N/A",0,_xll.BDP($T280,U$2))</f>
        <v>0</v>
      </c>
      <c r="V280" t="e">
        <f>_xll.BDP(#REF!,V$2)</f>
        <v>#REF!</v>
      </c>
      <c r="W280" t="e">
        <f>_xll.BDP(#REF!,W$2)</f>
        <v>#REF!</v>
      </c>
      <c r="X280" t="e">
        <f>_xll.BDP(#REF!,X$2)</f>
        <v>#REF!</v>
      </c>
      <c r="Y280" t="e">
        <f>_xll.BDP(#REF!,Y$2)</f>
        <v>#REF!</v>
      </c>
      <c r="Z280" t="e">
        <f>_xll.BDP(#REF!,Z$2)</f>
        <v>#REF!</v>
      </c>
      <c r="AA280" t="e">
        <f>_xll.BDP(#REF!,AA$2)</f>
        <v>#REF!</v>
      </c>
      <c r="AD280">
        <f ca="1">IF(LEFT(_xll.BDP($T280,AD$2),4)="#N/A",-1,_xll.BDP($T280,AD$2))</f>
        <v>-1</v>
      </c>
    </row>
    <row r="281" spans="1:30">
      <c r="A281">
        <f ca="1"/>
        <v>149</v>
      </c>
      <c r="B281" t="str">
        <f ca="1"/>
        <v>iW ALTERNATIVE SIF</v>
      </c>
      <c r="C281" t="str">
        <f ca="1"/>
        <v>iW ALTERNATIVE SIF</v>
      </c>
      <c r="D281">
        <f ca="1"/>
        <v>67869</v>
      </c>
      <c r="E281" t="str">
        <f ca="1"/>
        <v>COMMODITIES &amp; GOLD EQUITIES</v>
      </c>
      <c r="F281" t="str">
        <f ca="1"/>
        <v>Commodities &amp; Gold Equities</v>
      </c>
      <c r="G281">
        <f ca="1"/>
        <v>147</v>
      </c>
      <c r="H281" t="str">
        <f ca="1"/>
        <v>Pictet Fund Accounting</v>
      </c>
      <c r="I281" t="str">
        <f ca="1"/>
        <v>17509239-0</v>
      </c>
      <c r="J281" s="50">
        <f ca="1"/>
        <v>44775</v>
      </c>
      <c r="K281">
        <f ca="1"/>
        <v>30300</v>
      </c>
      <c r="L281" t="str">
        <f ca="1"/>
        <v>76738-0</v>
      </c>
      <c r="M281" t="str">
        <f ca="1"/>
        <v>HARMONY GOLD MINING -ADR SPONS.-</v>
      </c>
      <c r="N281" t="str">
        <f ca="1"/>
        <v>USD</v>
      </c>
      <c r="O281" t="str">
        <f ca="1"/>
        <v>Equity</v>
      </c>
      <c r="P281" t="str">
        <f ca="1"/>
        <v/>
      </c>
      <c r="Q281" t="str">
        <f ca="1"/>
        <v/>
      </c>
      <c r="R281" t="str">
        <f ca="1"/>
        <v>US4132163001</v>
      </c>
      <c r="S281" t="str">
        <f ca="1"/>
        <v/>
      </c>
      <c r="T281" t="str">
        <f ca="1"/>
        <v>HMY UN Equity</v>
      </c>
      <c r="U281">
        <f ca="1">IF(LEFT(_xll.BDP($T281,U$2),4)="#N/A",0,_xll.BDP($T281,U$2))</f>
        <v>0</v>
      </c>
      <c r="V281" t="e">
        <f>_xll.BDP(#REF!,V$2)</f>
        <v>#REF!</v>
      </c>
      <c r="W281" t="e">
        <f>_xll.BDP(#REF!,W$2)</f>
        <v>#REF!</v>
      </c>
      <c r="X281" t="e">
        <f>_xll.BDP(#REF!,X$2)</f>
        <v>#REF!</v>
      </c>
      <c r="Y281" t="e">
        <f>_xll.BDP(#REF!,Y$2)</f>
        <v>#REF!</v>
      </c>
      <c r="Z281" t="e">
        <f>_xll.BDP(#REF!,Z$2)</f>
        <v>#REF!</v>
      </c>
      <c r="AA281" t="e">
        <f>_xll.BDP(#REF!,AA$2)</f>
        <v>#REF!</v>
      </c>
      <c r="AD281">
        <f ca="1">IF(LEFT(_xll.BDP($T281,AD$2),4)="#N/A",-1,_xll.BDP($T281,AD$2))</f>
        <v>969672.6875</v>
      </c>
    </row>
    <row r="282" spans="1:30">
      <c r="A282">
        <f ca="1"/>
        <v>149</v>
      </c>
      <c r="B282" t="str">
        <f ca="1"/>
        <v>iW ALTERNATIVE SIF</v>
      </c>
      <c r="C282" t="str">
        <f ca="1"/>
        <v>iW ALTERNATIVE SIF</v>
      </c>
      <c r="D282">
        <f ca="1"/>
        <v>67869</v>
      </c>
      <c r="E282" t="str">
        <f ca="1"/>
        <v>COMMODITIES &amp; GOLD EQUITIES</v>
      </c>
      <c r="F282" t="str">
        <f ca="1"/>
        <v>Commodities &amp; Gold Equities</v>
      </c>
      <c r="G282">
        <f ca="1"/>
        <v>147</v>
      </c>
      <c r="H282" t="str">
        <f ca="1"/>
        <v>Pictet Fund Accounting</v>
      </c>
      <c r="I282" t="str">
        <f ca="1"/>
        <v>17509194-0</v>
      </c>
      <c r="J282" s="50">
        <f ca="1"/>
        <v>44775</v>
      </c>
      <c r="K282">
        <f ca="1"/>
        <v>20000</v>
      </c>
      <c r="L282" t="str">
        <f ca="1"/>
        <v>146461-0</v>
      </c>
      <c r="M282" t="str">
        <f ca="1"/>
        <v>HECLA MINING</v>
      </c>
      <c r="N282" t="str">
        <f ca="1"/>
        <v>USD</v>
      </c>
      <c r="O282" t="str">
        <f ca="1"/>
        <v>Equity</v>
      </c>
      <c r="P282" t="str">
        <f ca="1"/>
        <v/>
      </c>
      <c r="Q282" t="str">
        <f ca="1"/>
        <v/>
      </c>
      <c r="R282" t="str">
        <f ca="1"/>
        <v>US4227041062</v>
      </c>
      <c r="S282" t="str">
        <f ca="1"/>
        <v/>
      </c>
      <c r="T282" t="str">
        <f ca="1"/>
        <v>HL UN Equity</v>
      </c>
      <c r="U282">
        <f ca="1">IF(LEFT(_xll.BDP($T282,U$2),4)="#N/A",0,_xll.BDP($T282,U$2))</f>
        <v>0</v>
      </c>
      <c r="V282" t="e">
        <f>_xll.BDP(#REF!,V$2)</f>
        <v>#REF!</v>
      </c>
      <c r="W282" t="e">
        <f>_xll.BDP(#REF!,W$2)</f>
        <v>#REF!</v>
      </c>
      <c r="X282" t="e">
        <f>_xll.BDP(#REF!,X$2)</f>
        <v>#REF!</v>
      </c>
      <c r="Y282" t="e">
        <f>_xll.BDP(#REF!,Y$2)</f>
        <v>#REF!</v>
      </c>
      <c r="Z282" t="e">
        <f>_xll.BDP(#REF!,Z$2)</f>
        <v>#REF!</v>
      </c>
      <c r="AA282" t="e">
        <f>_xll.BDP(#REF!,AA$2)</f>
        <v>#REF!</v>
      </c>
      <c r="AD282">
        <f ca="1">IF(LEFT(_xll.BDP($T282,AD$2),4)="#N/A",-1,_xll.BDP($T282,AD$2))</f>
        <v>1370427.75</v>
      </c>
    </row>
    <row r="283" spans="1:30">
      <c r="A283">
        <f ca="1"/>
        <v>149</v>
      </c>
      <c r="B283" t="str">
        <f ca="1"/>
        <v>iW ALTERNATIVE SIF</v>
      </c>
      <c r="C283" t="str">
        <f ca="1"/>
        <v>iW ALTERNATIVE SIF</v>
      </c>
      <c r="D283">
        <f ca="1"/>
        <v>67869</v>
      </c>
      <c r="E283" t="str">
        <f ca="1"/>
        <v>COMMODITIES &amp; GOLD EQUITIES</v>
      </c>
      <c r="F283" t="str">
        <f ca="1"/>
        <v>Commodities &amp; Gold Equities</v>
      </c>
      <c r="G283">
        <f ca="1"/>
        <v>147</v>
      </c>
      <c r="H283" t="str">
        <f ca="1"/>
        <v>Pictet Fund Accounting</v>
      </c>
      <c r="I283" t="str">
        <f ca="1"/>
        <v>17509163-0</v>
      </c>
      <c r="J283" s="50">
        <f ca="1"/>
        <v>44775</v>
      </c>
      <c r="K283">
        <f ca="1"/>
        <v>128050</v>
      </c>
      <c r="L283" t="str">
        <f ca="1"/>
        <v>104985-0</v>
      </c>
      <c r="M283" t="str">
        <f ca="1"/>
        <v>I-80 GOLD</v>
      </c>
      <c r="N283" t="str">
        <f ca="1"/>
        <v>CAD</v>
      </c>
      <c r="O283" t="str">
        <f ca="1"/>
        <v>Equity</v>
      </c>
      <c r="P283" t="str">
        <f ca="1"/>
        <v/>
      </c>
      <c r="Q283" t="str">
        <f ca="1"/>
        <v/>
      </c>
      <c r="R283" t="str">
        <f ca="1"/>
        <v>CA44955L1067</v>
      </c>
      <c r="S283" t="str">
        <f ca="1"/>
        <v/>
      </c>
      <c r="T283" t="str">
        <f ca="1"/>
        <v>IAU CN Equity</v>
      </c>
      <c r="U283">
        <f ca="1">IF(LEFT(_xll.BDP($T283,U$2),4)="#N/A",0,_xll.BDP($T283,U$2))</f>
        <v>0</v>
      </c>
      <c r="V283" t="e">
        <f>_xll.BDP(#REF!,V$2)</f>
        <v>#REF!</v>
      </c>
      <c r="W283" t="e">
        <f>_xll.BDP(#REF!,W$2)</f>
        <v>#REF!</v>
      </c>
      <c r="X283" t="e">
        <f>_xll.BDP(#REF!,X$2)</f>
        <v>#REF!</v>
      </c>
      <c r="Y283" t="e">
        <f>_xll.BDP(#REF!,Y$2)</f>
        <v>#REF!</v>
      </c>
      <c r="Z283" t="e">
        <f>_xll.BDP(#REF!,Z$2)</f>
        <v>#REF!</v>
      </c>
      <c r="AA283" t="e">
        <f>_xll.BDP(#REF!,AA$2)</f>
        <v>#REF!</v>
      </c>
      <c r="AD283">
        <f ca="1">IF(LEFT(_xll.BDP($T283,AD$2),4)="#N/A",-1,_xll.BDP($T283,AD$2))</f>
        <v>682284.4</v>
      </c>
    </row>
    <row r="284" spans="1:30">
      <c r="A284">
        <f ca="1"/>
        <v>149</v>
      </c>
      <c r="B284" t="str">
        <f ca="1"/>
        <v>iW ALTERNATIVE SIF</v>
      </c>
      <c r="C284" t="str">
        <f ca="1"/>
        <v>iW ALTERNATIVE SIF</v>
      </c>
      <c r="D284">
        <f ca="1"/>
        <v>67869</v>
      </c>
      <c r="E284" t="str">
        <f ca="1"/>
        <v>COMMODITIES &amp; GOLD EQUITIES</v>
      </c>
      <c r="F284" t="str">
        <f ca="1"/>
        <v>Commodities &amp; Gold Equities</v>
      </c>
      <c r="G284">
        <f ca="1"/>
        <v>147</v>
      </c>
      <c r="H284" t="str">
        <f ca="1"/>
        <v>Pictet Fund Accounting</v>
      </c>
      <c r="I284" t="str">
        <f ca="1"/>
        <v>17509237-0</v>
      </c>
      <c r="J284" s="50">
        <f ca="1"/>
        <v>44775</v>
      </c>
      <c r="K284">
        <f ca="1"/>
        <v>27300</v>
      </c>
      <c r="L284" t="str">
        <f ca="1"/>
        <v>67970-0</v>
      </c>
      <c r="M284" t="str">
        <f ca="1"/>
        <v>IAMGOLD</v>
      </c>
      <c r="N284" t="str">
        <f ca="1"/>
        <v>USD</v>
      </c>
      <c r="O284" t="str">
        <f ca="1"/>
        <v>Equity</v>
      </c>
      <c r="P284" t="str">
        <f ca="1"/>
        <v/>
      </c>
      <c r="Q284" t="str">
        <f ca="1"/>
        <v/>
      </c>
      <c r="R284" t="str">
        <f ca="1"/>
        <v>CA4509131088</v>
      </c>
      <c r="S284" t="str">
        <f ca="1"/>
        <v/>
      </c>
      <c r="T284" t="str">
        <f ca="1"/>
        <v>IAG UN Equity</v>
      </c>
      <c r="U284">
        <f ca="1">IF(LEFT(_xll.BDP($T284,U$2),4)="#N/A",0,_xll.BDP($T284,U$2))</f>
        <v>0</v>
      </c>
      <c r="V284" t="e">
        <f>_xll.BDP(#REF!,V$2)</f>
        <v>#REF!</v>
      </c>
      <c r="W284" t="e">
        <f>_xll.BDP(#REF!,W$2)</f>
        <v>#REF!</v>
      </c>
      <c r="X284" t="e">
        <f>_xll.BDP(#REF!,X$2)</f>
        <v>#REF!</v>
      </c>
      <c r="Y284" t="e">
        <f>_xll.BDP(#REF!,Y$2)</f>
        <v>#REF!</v>
      </c>
      <c r="Z284" t="e">
        <f>_xll.BDP(#REF!,Z$2)</f>
        <v>#REF!</v>
      </c>
      <c r="AA284" t="e">
        <f>_xll.BDP(#REF!,AA$2)</f>
        <v>#REF!</v>
      </c>
      <c r="AD284">
        <f ca="1">IF(LEFT(_xll.BDP($T284,AD$2),4)="#N/A",-1,_xll.BDP($T284,AD$2))</f>
        <v>761084.875</v>
      </c>
    </row>
    <row r="285" spans="1:30">
      <c r="A285">
        <f ca="1"/>
        <v>149</v>
      </c>
      <c r="B285" t="str">
        <f ca="1"/>
        <v>iW ALTERNATIVE SIF</v>
      </c>
      <c r="C285" t="str">
        <f ca="1"/>
        <v>iW ALTERNATIVE SIF</v>
      </c>
      <c r="D285">
        <f ca="1"/>
        <v>67869</v>
      </c>
      <c r="E285" t="str">
        <f ca="1"/>
        <v>COMMODITIES &amp; GOLD EQUITIES</v>
      </c>
      <c r="F285" t="str">
        <f ca="1"/>
        <v>Commodities &amp; Gold Equities</v>
      </c>
      <c r="G285">
        <f ca="1"/>
        <v>147</v>
      </c>
      <c r="H285" t="str">
        <f ca="1"/>
        <v>Pictet Fund Accounting</v>
      </c>
      <c r="I285" t="str">
        <f ca="1"/>
        <v>17509221-0</v>
      </c>
      <c r="J285" s="50">
        <f ca="1"/>
        <v>44775</v>
      </c>
      <c r="K285">
        <f ca="1"/>
        <v>300</v>
      </c>
      <c r="L285" t="str">
        <f ca="1"/>
        <v>70423-0</v>
      </c>
      <c r="M285" t="str">
        <f ca="1"/>
        <v>JAGUAR MINING</v>
      </c>
      <c r="N285" t="str">
        <f ca="1"/>
        <v>CAD</v>
      </c>
      <c r="O285" t="str">
        <f ca="1"/>
        <v>Equity</v>
      </c>
      <c r="P285" t="str">
        <f ca="1"/>
        <v/>
      </c>
      <c r="Q285" t="str">
        <f ca="1"/>
        <v/>
      </c>
      <c r="R285" t="str">
        <f ca="1"/>
        <v>CA47009M8896</v>
      </c>
      <c r="S285" t="str">
        <f ca="1"/>
        <v/>
      </c>
      <c r="T285" t="str">
        <f ca="1"/>
        <v>JAG CT Equity</v>
      </c>
      <c r="U285">
        <f ca="1">IF(LEFT(_xll.BDP($T285,U$2),4)="#N/A",0,_xll.BDP($T285,U$2))</f>
        <v>0</v>
      </c>
      <c r="V285" t="e">
        <f>_xll.BDP(#REF!,V$2)</f>
        <v>#REF!</v>
      </c>
      <c r="W285" t="e">
        <f>_xll.BDP(#REF!,W$2)</f>
        <v>#REF!</v>
      </c>
      <c r="X285" t="e">
        <f>_xll.BDP(#REF!,X$2)</f>
        <v>#REF!</v>
      </c>
      <c r="Y285" t="e">
        <f>_xll.BDP(#REF!,Y$2)</f>
        <v>#REF!</v>
      </c>
      <c r="Z285" t="e">
        <f>_xll.BDP(#REF!,Z$2)</f>
        <v>#REF!</v>
      </c>
      <c r="AA285" t="e">
        <f>_xll.BDP(#REF!,AA$2)</f>
        <v>#REF!</v>
      </c>
      <c r="AD285">
        <f ca="1">IF(LEFT(_xll.BDP($T285,AD$2),4)="#N/A",-1,_xll.BDP($T285,AD$2))</f>
        <v>55754.9</v>
      </c>
    </row>
    <row r="286" spans="1:30">
      <c r="A286">
        <f ca="1"/>
        <v>149</v>
      </c>
      <c r="B286" t="str">
        <f ca="1"/>
        <v>iW ALTERNATIVE SIF</v>
      </c>
      <c r="C286" t="str">
        <f ca="1"/>
        <v>iW ALTERNATIVE SIF</v>
      </c>
      <c r="D286">
        <f ca="1"/>
        <v>67869</v>
      </c>
      <c r="E286" t="str">
        <f ca="1"/>
        <v>COMMODITIES &amp; GOLD EQUITIES</v>
      </c>
      <c r="F286" t="str">
        <f ca="1"/>
        <v>Commodities &amp; Gold Equities</v>
      </c>
      <c r="G286">
        <f ca="1"/>
        <v>147</v>
      </c>
      <c r="H286" t="str">
        <f ca="1"/>
        <v>Pictet Fund Accounting</v>
      </c>
      <c r="I286" t="str">
        <f ca="1"/>
        <v>17509157-0</v>
      </c>
      <c r="J286" s="50">
        <f ca="1"/>
        <v>44775</v>
      </c>
      <c r="K286">
        <f ca="1"/>
        <v>50000</v>
      </c>
      <c r="L286" t="str">
        <f ca="1"/>
        <v>67908-0</v>
      </c>
      <c r="M286" t="str">
        <f ca="1"/>
        <v>KINROSS GOLD</v>
      </c>
      <c r="N286" t="str">
        <f ca="1"/>
        <v>USD</v>
      </c>
      <c r="O286" t="str">
        <f ca="1"/>
        <v>Equity</v>
      </c>
      <c r="P286" t="str">
        <f ca="1"/>
        <v/>
      </c>
      <c r="Q286" t="str">
        <f ca="1"/>
        <v/>
      </c>
      <c r="R286" t="str">
        <f ca="1"/>
        <v>CA4969024047</v>
      </c>
      <c r="S286" t="str">
        <f ca="1"/>
        <v/>
      </c>
      <c r="T286" t="str">
        <f ca="1"/>
        <v>K CT Equity</v>
      </c>
      <c r="U286">
        <f ca="1">IF(LEFT(_xll.BDP($T286,U$2),4)="#N/A",0,_xll.BDP($T286,U$2))</f>
        <v>0</v>
      </c>
      <c r="V286" t="e">
        <f>_xll.BDP(#REF!,V$2)</f>
        <v>#REF!</v>
      </c>
      <c r="W286" t="e">
        <f>_xll.BDP(#REF!,W$2)</f>
        <v>#REF!</v>
      </c>
      <c r="X286" t="e">
        <f>_xll.BDP(#REF!,X$2)</f>
        <v>#REF!</v>
      </c>
      <c r="Y286" t="e">
        <f>_xll.BDP(#REF!,Y$2)</f>
        <v>#REF!</v>
      </c>
      <c r="Z286" t="e">
        <f>_xll.BDP(#REF!,Z$2)</f>
        <v>#REF!</v>
      </c>
      <c r="AA286" t="e">
        <f>_xll.BDP(#REF!,AA$2)</f>
        <v>#REF!</v>
      </c>
      <c r="AD286">
        <f ca="1">IF(LEFT(_xll.BDP($T286,AD$2),4)="#N/A",-1,_xll.BDP($T286,AD$2))</f>
        <v>4029704</v>
      </c>
    </row>
    <row r="287" spans="1:30">
      <c r="A287">
        <f ca="1"/>
        <v>149</v>
      </c>
      <c r="B287" t="str">
        <f ca="1"/>
        <v>iW ALTERNATIVE SIF</v>
      </c>
      <c r="C287" t="str">
        <f ca="1"/>
        <v>iW ALTERNATIVE SIF</v>
      </c>
      <c r="D287">
        <f ca="1"/>
        <v>67869</v>
      </c>
      <c r="E287" t="str">
        <f ca="1"/>
        <v>COMMODITIES &amp; GOLD EQUITIES</v>
      </c>
      <c r="F287" t="str">
        <f ca="1"/>
        <v>Commodities &amp; Gold Equities</v>
      </c>
      <c r="G287">
        <f ca="1"/>
        <v>147</v>
      </c>
      <c r="H287" t="str">
        <f ca="1"/>
        <v>Pictet Fund Accounting</v>
      </c>
      <c r="I287" t="str">
        <f ca="1"/>
        <v>17509211-0</v>
      </c>
      <c r="J287" s="50">
        <f ca="1"/>
        <v>44775</v>
      </c>
      <c r="K287">
        <f ca="1"/>
        <v>50000</v>
      </c>
      <c r="L287" t="str">
        <f ca="1"/>
        <v>68885-0</v>
      </c>
      <c r="M287" t="str">
        <f ca="1"/>
        <v>LION ONE METALS</v>
      </c>
      <c r="N287" t="str">
        <f ca="1"/>
        <v>CAD</v>
      </c>
      <c r="O287" t="str">
        <f ca="1"/>
        <v>Equity</v>
      </c>
      <c r="P287" t="str">
        <f ca="1"/>
        <v/>
      </c>
      <c r="Q287" t="str">
        <f ca="1"/>
        <v/>
      </c>
      <c r="R287" t="str">
        <f ca="1"/>
        <v>CA5362161047</v>
      </c>
      <c r="S287" t="str">
        <f ca="1"/>
        <v/>
      </c>
      <c r="T287" t="str">
        <f ca="1"/>
        <v>LIO CV Equity</v>
      </c>
      <c r="U287">
        <f ca="1">IF(LEFT(_xll.BDP($T287,U$2),4)="#N/A",0,_xll.BDP($T287,U$2))</f>
        <v>0</v>
      </c>
      <c r="V287" t="e">
        <f>_xll.BDP(#REF!,V$2)</f>
        <v>#REF!</v>
      </c>
      <c r="W287" t="e">
        <f>_xll.BDP(#REF!,W$2)</f>
        <v>#REF!</v>
      </c>
      <c r="X287" t="e">
        <f>_xll.BDP(#REF!,X$2)</f>
        <v>#REF!</v>
      </c>
      <c r="Y287" t="e">
        <f>_xll.BDP(#REF!,Y$2)</f>
        <v>#REF!</v>
      </c>
      <c r="Z287" t="e">
        <f>_xll.BDP(#REF!,Z$2)</f>
        <v>#REF!</v>
      </c>
      <c r="AA287" t="e">
        <f>_xll.BDP(#REF!,AA$2)</f>
        <v>#REF!</v>
      </c>
      <c r="AD287">
        <f ca="1">IF(LEFT(_xll.BDP($T287,AD$2),4)="#N/A",-1,_xll.BDP($T287,AD$2))</f>
        <v>147746</v>
      </c>
    </row>
    <row r="288" spans="1:30">
      <c r="A288">
        <f ca="1"/>
        <v>149</v>
      </c>
      <c r="B288" t="str">
        <f ca="1"/>
        <v>iW ALTERNATIVE SIF</v>
      </c>
      <c r="C288" t="str">
        <f ca="1"/>
        <v>iW ALTERNATIVE SIF</v>
      </c>
      <c r="D288">
        <f ca="1"/>
        <v>67869</v>
      </c>
      <c r="E288" t="str">
        <f ca="1"/>
        <v>COMMODITIES &amp; GOLD EQUITIES</v>
      </c>
      <c r="F288" t="str">
        <f ca="1"/>
        <v>Commodities &amp; Gold Equities</v>
      </c>
      <c r="G288">
        <f ca="1"/>
        <v>147</v>
      </c>
      <c r="H288" t="str">
        <f ca="1"/>
        <v>Pictet Fund Accounting</v>
      </c>
      <c r="I288" t="str">
        <f ca="1"/>
        <v>17509278-0</v>
      </c>
      <c r="J288" s="50">
        <f ca="1"/>
        <v>44775</v>
      </c>
      <c r="K288">
        <f ca="1"/>
        <v>23000</v>
      </c>
      <c r="L288" t="str">
        <f ca="1"/>
        <v>68765-0</v>
      </c>
      <c r="M288" t="str">
        <f ca="1"/>
        <v>LUNDIN GOLD INC.</v>
      </c>
      <c r="N288" t="str">
        <f ca="1"/>
        <v>CAD</v>
      </c>
      <c r="O288" t="str">
        <f ca="1"/>
        <v>Equity</v>
      </c>
      <c r="P288" t="str">
        <f ca="1"/>
        <v/>
      </c>
      <c r="Q288" t="str">
        <f ca="1"/>
        <v/>
      </c>
      <c r="R288" t="str">
        <f ca="1"/>
        <v>CA5503711080</v>
      </c>
      <c r="S288" t="str">
        <f ca="1"/>
        <v/>
      </c>
      <c r="T288" t="str">
        <f ca="1"/>
        <v>LUG CN Equity</v>
      </c>
      <c r="U288">
        <f ca="1">IF(LEFT(_xll.BDP($T288,U$2),4)="#N/A",0,_xll.BDP($T288,U$2))</f>
        <v>0</v>
      </c>
      <c r="V288" t="e">
        <f>_xll.BDP(#REF!,V$2)</f>
        <v>#REF!</v>
      </c>
      <c r="W288" t="e">
        <f>_xll.BDP(#REF!,W$2)</f>
        <v>#REF!</v>
      </c>
      <c r="X288" t="e">
        <f>_xll.BDP(#REF!,X$2)</f>
        <v>#REF!</v>
      </c>
      <c r="Y288" t="e">
        <f>_xll.BDP(#REF!,Y$2)</f>
        <v>#REF!</v>
      </c>
      <c r="Z288" t="e">
        <f>_xll.BDP(#REF!,Z$2)</f>
        <v>#REF!</v>
      </c>
      <c r="AA288" t="e">
        <f>_xll.BDP(#REF!,AA$2)</f>
        <v>#REF!</v>
      </c>
      <c r="AD288">
        <f ca="1">IF(LEFT(_xll.BDP($T288,AD$2),4)="#N/A",-1,_xll.BDP($T288,AD$2))</f>
        <v>316293.59999999998</v>
      </c>
    </row>
    <row r="289" spans="1:30">
      <c r="A289">
        <f ca="1"/>
        <v>149</v>
      </c>
      <c r="B289" t="str">
        <f ca="1"/>
        <v>iW ALTERNATIVE SIF</v>
      </c>
      <c r="C289" t="str">
        <f ca="1"/>
        <v>iW ALTERNATIVE SIF</v>
      </c>
      <c r="D289">
        <f ca="1"/>
        <v>67869</v>
      </c>
      <c r="E289" t="str">
        <f ca="1"/>
        <v>COMMODITIES &amp; GOLD EQUITIES</v>
      </c>
      <c r="F289" t="str">
        <f ca="1"/>
        <v>Commodities &amp; Gold Equities</v>
      </c>
      <c r="G289">
        <f ca="1"/>
        <v>147</v>
      </c>
      <c r="H289" t="str">
        <f ca="1"/>
        <v>Pictet Fund Accounting</v>
      </c>
      <c r="I289" t="str">
        <f ca="1"/>
        <v>17509202-0</v>
      </c>
      <c r="J289" s="50">
        <f ca="1"/>
        <v>44775</v>
      </c>
      <c r="K289">
        <f ca="1"/>
        <v>20000</v>
      </c>
      <c r="L289" t="str">
        <f ca="1"/>
        <v>67949-0</v>
      </c>
      <c r="M289" t="str">
        <f ca="1"/>
        <v>MAG SILVER</v>
      </c>
      <c r="N289" t="str">
        <f ca="1"/>
        <v>USD</v>
      </c>
      <c r="O289" t="str">
        <f ca="1"/>
        <v>Equity</v>
      </c>
      <c r="P289" t="str">
        <f ca="1"/>
        <v/>
      </c>
      <c r="Q289" t="str">
        <f ca="1"/>
        <v/>
      </c>
      <c r="R289" t="str">
        <f ca="1"/>
        <v>CA55903Q1046</v>
      </c>
      <c r="S289" t="str">
        <f ca="1"/>
        <v/>
      </c>
      <c r="T289" t="str">
        <f ca="1"/>
        <v>MAG UA Equity</v>
      </c>
      <c r="U289">
        <f ca="1">IF(LEFT(_xll.BDP($T289,U$2),4)="#N/A",0,_xll.BDP($T289,U$2))</f>
        <v>0.63212056013145523</v>
      </c>
      <c r="V289" t="e">
        <f>_xll.BDP(#REF!,V$2)</f>
        <v>#REF!</v>
      </c>
      <c r="W289" t="e">
        <f>_xll.BDP(#REF!,W$2)</f>
        <v>#REF!</v>
      </c>
      <c r="X289" t="e">
        <f>_xll.BDP(#REF!,X$2)</f>
        <v>#REF!</v>
      </c>
      <c r="Y289" t="e">
        <f>_xll.BDP(#REF!,Y$2)</f>
        <v>#REF!</v>
      </c>
      <c r="Z289" t="e">
        <f>_xll.BDP(#REF!,Z$2)</f>
        <v>#REF!</v>
      </c>
      <c r="AA289" t="e">
        <f>_xll.BDP(#REF!,AA$2)</f>
        <v>#REF!</v>
      </c>
      <c r="AD289">
        <f ca="1">IF(LEFT(_xll.BDP($T289,AD$2),4)="#N/A",-1,_xll.BDP($T289,AD$2))</f>
        <v>46825.8984375</v>
      </c>
    </row>
    <row r="290" spans="1:30">
      <c r="A290">
        <f ca="1"/>
        <v>149</v>
      </c>
      <c r="B290" t="str">
        <f ca="1"/>
        <v>iW ALTERNATIVE SIF</v>
      </c>
      <c r="C290" t="str">
        <f ca="1"/>
        <v>iW ALTERNATIVE SIF</v>
      </c>
      <c r="D290">
        <f ca="1"/>
        <v>67869</v>
      </c>
      <c r="E290" t="str">
        <f ca="1"/>
        <v>COMMODITIES &amp; GOLD EQUITIES</v>
      </c>
      <c r="F290" t="str">
        <f ca="1"/>
        <v>Commodities &amp; Gold Equities</v>
      </c>
      <c r="G290">
        <f ca="1"/>
        <v>147</v>
      </c>
      <c r="H290" t="str">
        <f ca="1"/>
        <v>Pictet Fund Accounting</v>
      </c>
      <c r="I290" t="str">
        <f ca="1"/>
        <v>17509264-0</v>
      </c>
      <c r="J290" s="50">
        <f ca="1"/>
        <v>44775</v>
      </c>
      <c r="K290">
        <f ca="1"/>
        <v>210000</v>
      </c>
      <c r="L290" t="str">
        <f ca="1"/>
        <v>158423-0</v>
      </c>
      <c r="M290" t="str">
        <f ca="1"/>
        <v>MCEWEN MINING</v>
      </c>
      <c r="N290" t="str">
        <f ca="1"/>
        <v>USD</v>
      </c>
      <c r="O290" t="str">
        <f ca="1"/>
        <v>Equity</v>
      </c>
      <c r="P290" t="str">
        <f ca="1"/>
        <v/>
      </c>
      <c r="Q290" t="str">
        <f ca="1"/>
        <v/>
      </c>
      <c r="R290" t="str">
        <f ca="1"/>
        <v>US58039P3055</v>
      </c>
      <c r="S290" t="str">
        <f ca="1"/>
        <v/>
      </c>
      <c r="T290" t="str">
        <f ca="1"/>
        <v>MUX US Equity</v>
      </c>
      <c r="U290">
        <f ca="1">IF(LEFT(_xll.BDP($T290,U$2),4)="#N/A",0,_xll.BDP($T290,U$2))</f>
        <v>0</v>
      </c>
      <c r="V290" t="e">
        <f>_xll.BDP(#REF!,V$2)</f>
        <v>#REF!</v>
      </c>
      <c r="W290" t="e">
        <f>_xll.BDP(#REF!,W$2)</f>
        <v>#REF!</v>
      </c>
      <c r="X290" t="e">
        <f>_xll.BDP(#REF!,X$2)</f>
        <v>#REF!</v>
      </c>
      <c r="Y290" t="e">
        <f>_xll.BDP(#REF!,Y$2)</f>
        <v>#REF!</v>
      </c>
      <c r="Z290" t="e">
        <f>_xll.BDP(#REF!,Z$2)</f>
        <v>#REF!</v>
      </c>
      <c r="AA290" t="e">
        <f>_xll.BDP(#REF!,AA$2)</f>
        <v>#REF!</v>
      </c>
      <c r="AD290">
        <f ca="1">IF(LEFT(_xll.BDP($T290,AD$2),4)="#N/A",-1,_xll.BDP($T290,AD$2))</f>
        <v>235022.234375</v>
      </c>
    </row>
    <row r="291" spans="1:30">
      <c r="A291">
        <f ca="1"/>
        <v>149</v>
      </c>
      <c r="B291" t="str">
        <f ca="1"/>
        <v>iW ALTERNATIVE SIF</v>
      </c>
      <c r="C291" t="str">
        <f ca="1"/>
        <v>iW ALTERNATIVE SIF</v>
      </c>
      <c r="D291">
        <f ca="1"/>
        <v>67869</v>
      </c>
      <c r="E291" t="str">
        <f ca="1"/>
        <v>COMMODITIES &amp; GOLD EQUITIES</v>
      </c>
      <c r="F291" t="str">
        <f ca="1"/>
        <v>Commodities &amp; Gold Equities</v>
      </c>
      <c r="G291">
        <f ca="1"/>
        <v>147</v>
      </c>
      <c r="H291" t="str">
        <f ca="1"/>
        <v>Pictet Fund Accounting</v>
      </c>
      <c r="I291" t="str">
        <f ca="1"/>
        <v>17509274-0</v>
      </c>
      <c r="J291" s="50">
        <f ca="1"/>
        <v>44775</v>
      </c>
      <c r="K291">
        <f ca="1"/>
        <v>15000</v>
      </c>
      <c r="L291" t="str">
        <f ca="1"/>
        <v>146464-0</v>
      </c>
      <c r="M291" t="str">
        <f ca="1"/>
        <v>NEW FOUND GOLD 144A/S</v>
      </c>
      <c r="N291" t="str">
        <f ca="1"/>
        <v>CAD</v>
      </c>
      <c r="O291" t="str">
        <f ca="1"/>
        <v>Equity</v>
      </c>
      <c r="P291" t="str">
        <f ca="1"/>
        <v/>
      </c>
      <c r="Q291" t="str">
        <f ca="1"/>
        <v/>
      </c>
      <c r="R291" t="str">
        <f ca="1"/>
        <v>CA64440N1033</v>
      </c>
      <c r="S291" t="str">
        <f ca="1"/>
        <v/>
      </c>
      <c r="T291" t="str">
        <f ca="1"/>
        <v>NFG CV Equity</v>
      </c>
      <c r="U291">
        <f ca="1">IF(LEFT(_xll.BDP($T291,U$2),4)="#N/A",0,_xll.BDP($T291,U$2))</f>
        <v>0</v>
      </c>
      <c r="V291" t="e">
        <f>_xll.BDP(#REF!,V$2)</f>
        <v>#REF!</v>
      </c>
      <c r="W291" t="e">
        <f>_xll.BDP(#REF!,W$2)</f>
        <v>#REF!</v>
      </c>
      <c r="X291" t="e">
        <f>_xll.BDP(#REF!,X$2)</f>
        <v>#REF!</v>
      </c>
      <c r="Y291" t="e">
        <f>_xll.BDP(#REF!,Y$2)</f>
        <v>#REF!</v>
      </c>
      <c r="Z291" t="e">
        <f>_xll.BDP(#REF!,Z$2)</f>
        <v>#REF!</v>
      </c>
      <c r="AA291" t="e">
        <f>_xll.BDP(#REF!,AA$2)</f>
        <v>#REF!</v>
      </c>
      <c r="AD291">
        <f ca="1">IF(LEFT(_xll.BDP($T291,AD$2),4)="#N/A",-1,_xll.BDP($T291,AD$2))</f>
        <v>125169.1</v>
      </c>
    </row>
    <row r="292" spans="1:30">
      <c r="A292">
        <f ca="1"/>
        <v>149</v>
      </c>
      <c r="B292" t="str">
        <f ca="1"/>
        <v>iW ALTERNATIVE SIF</v>
      </c>
      <c r="C292" t="str">
        <f ca="1"/>
        <v>iW ALTERNATIVE SIF</v>
      </c>
      <c r="D292">
        <f ca="1"/>
        <v>67869</v>
      </c>
      <c r="E292" t="str">
        <f ca="1"/>
        <v>COMMODITIES &amp; GOLD EQUITIES</v>
      </c>
      <c r="F292" t="str">
        <f ca="1"/>
        <v>Commodities &amp; Gold Equities</v>
      </c>
      <c r="G292">
        <f ca="1"/>
        <v>147</v>
      </c>
      <c r="H292" t="str">
        <f ca="1"/>
        <v>Pictet Fund Accounting</v>
      </c>
      <c r="I292" t="str">
        <f ca="1"/>
        <v>17509277-0</v>
      </c>
      <c r="J292" s="50">
        <f ca="1"/>
        <v>44775</v>
      </c>
      <c r="K292">
        <f ca="1"/>
        <v>105000</v>
      </c>
      <c r="L292" t="str">
        <f ca="1"/>
        <v>68003-0</v>
      </c>
      <c r="M292" t="str">
        <f ca="1"/>
        <v>NEW GOLD</v>
      </c>
      <c r="N292" t="str">
        <f ca="1"/>
        <v>USD</v>
      </c>
      <c r="O292" t="str">
        <f ca="1"/>
        <v>Equity</v>
      </c>
      <c r="P292" t="str">
        <f ca="1"/>
        <v/>
      </c>
      <c r="Q292" t="str">
        <f ca="1"/>
        <v/>
      </c>
      <c r="R292" t="str">
        <f ca="1"/>
        <v>CA6445351068</v>
      </c>
      <c r="S292" t="str">
        <f ca="1"/>
        <v/>
      </c>
      <c r="T292" t="str">
        <f ca="1"/>
        <v>NGD UA Equity</v>
      </c>
      <c r="U292">
        <f ca="1">IF(LEFT(_xll.BDP($T292,U$2),4)="#N/A",0,_xll.BDP($T292,U$2))</f>
        <v>0</v>
      </c>
      <c r="V292" t="e">
        <f>_xll.BDP(#REF!,V$2)</f>
        <v>#REF!</v>
      </c>
      <c r="W292" t="e">
        <f>_xll.BDP(#REF!,W$2)</f>
        <v>#REF!</v>
      </c>
      <c r="X292" t="e">
        <f>_xll.BDP(#REF!,X$2)</f>
        <v>#REF!</v>
      </c>
      <c r="Y292" t="e">
        <f>_xll.BDP(#REF!,Y$2)</f>
        <v>#REF!</v>
      </c>
      <c r="Z292" t="e">
        <f>_xll.BDP(#REF!,Z$2)</f>
        <v>#REF!</v>
      </c>
      <c r="AA292" t="e">
        <f>_xll.BDP(#REF!,AA$2)</f>
        <v>#REF!</v>
      </c>
      <c r="AD292">
        <f ca="1">IF(LEFT(_xll.BDP($T292,AD$2),4)="#N/A",-1,_xll.BDP($T292,AD$2))</f>
        <v>448465.1875</v>
      </c>
    </row>
    <row r="293" spans="1:30">
      <c r="A293">
        <f ca="1"/>
        <v>149</v>
      </c>
      <c r="B293" t="str">
        <f ca="1"/>
        <v>iW ALTERNATIVE SIF</v>
      </c>
      <c r="C293" t="str">
        <f ca="1"/>
        <v>iW ALTERNATIVE SIF</v>
      </c>
      <c r="D293">
        <f ca="1"/>
        <v>67869</v>
      </c>
      <c r="E293" t="str">
        <f ca="1"/>
        <v>COMMODITIES &amp; GOLD EQUITIES</v>
      </c>
      <c r="F293" t="str">
        <f ca="1"/>
        <v>Commodities &amp; Gold Equities</v>
      </c>
      <c r="G293">
        <f ca="1"/>
        <v>147</v>
      </c>
      <c r="H293" t="str">
        <f ca="1"/>
        <v>Pictet Fund Accounting</v>
      </c>
      <c r="I293" t="str">
        <f ca="1"/>
        <v>17509266-0</v>
      </c>
      <c r="J293" s="50">
        <f ca="1"/>
        <v>44775</v>
      </c>
      <c r="K293">
        <f ca="1"/>
        <v>15000</v>
      </c>
      <c r="L293" t="str">
        <f ca="1"/>
        <v>76800-0</v>
      </c>
      <c r="M293" t="str">
        <f ca="1"/>
        <v>NEWCREST MINING</v>
      </c>
      <c r="N293" t="str">
        <f ca="1"/>
        <v>AUD</v>
      </c>
      <c r="O293" t="str">
        <f ca="1"/>
        <v>Equity</v>
      </c>
      <c r="P293" t="str">
        <f ca="1"/>
        <v/>
      </c>
      <c r="Q293" t="str">
        <f ca="1"/>
        <v/>
      </c>
      <c r="R293" t="str">
        <f ca="1"/>
        <v>AU000000NCM7</v>
      </c>
      <c r="S293" t="str">
        <f ca="1"/>
        <v/>
      </c>
      <c r="T293" t="str">
        <f ca="1"/>
        <v>NCM AU Equity</v>
      </c>
      <c r="U293">
        <f ca="1">IF(LEFT(_xll.BDP($T293,U$2),4)="#N/A",0,_xll.BDP($T293,U$2))</f>
        <v>0</v>
      </c>
      <c r="V293" t="e">
        <f>_xll.BDP(#REF!,V$2)</f>
        <v>#REF!</v>
      </c>
      <c r="W293" t="e">
        <f>_xll.BDP(#REF!,W$2)</f>
        <v>#REF!</v>
      </c>
      <c r="X293" t="e">
        <f>_xll.BDP(#REF!,X$2)</f>
        <v>#REF!</v>
      </c>
      <c r="Y293" t="e">
        <f>_xll.BDP(#REF!,Y$2)</f>
        <v>#REF!</v>
      </c>
      <c r="Z293" t="e">
        <f>_xll.BDP(#REF!,Z$2)</f>
        <v>#REF!</v>
      </c>
      <c r="AA293" t="e">
        <f>_xll.BDP(#REF!,AA$2)</f>
        <v>#REF!</v>
      </c>
      <c r="AD293">
        <f ca="1">IF(LEFT(_xll.BDP($T293,AD$2),4)="#N/A",-1,_xll.BDP($T293,AD$2))</f>
        <v>8269014</v>
      </c>
    </row>
    <row r="294" spans="1:30">
      <c r="A294">
        <f ca="1"/>
        <v>149</v>
      </c>
      <c r="B294" t="str">
        <f ca="1"/>
        <v>iW ALTERNATIVE SIF</v>
      </c>
      <c r="C294" t="str">
        <f ca="1"/>
        <v>iW ALTERNATIVE SIF</v>
      </c>
      <c r="D294">
        <f ca="1"/>
        <v>67869</v>
      </c>
      <c r="E294" t="str">
        <f ca="1"/>
        <v>COMMODITIES &amp; GOLD EQUITIES</v>
      </c>
      <c r="F294" t="str">
        <f ca="1"/>
        <v>Commodities &amp; Gold Equities</v>
      </c>
      <c r="G294">
        <f ca="1"/>
        <v>147</v>
      </c>
      <c r="H294" t="str">
        <f ca="1"/>
        <v>Pictet Fund Accounting</v>
      </c>
      <c r="I294" t="str">
        <f ca="1"/>
        <v>17509159-0</v>
      </c>
      <c r="J294" s="50">
        <f ca="1"/>
        <v>44775</v>
      </c>
      <c r="K294">
        <f ca="1"/>
        <v>3000</v>
      </c>
      <c r="L294" t="str">
        <f ca="1"/>
        <v>78601-0</v>
      </c>
      <c r="M294" t="str">
        <f ca="1"/>
        <v>NEWMONT CORP</v>
      </c>
      <c r="N294" t="str">
        <f ca="1"/>
        <v>USD</v>
      </c>
      <c r="O294" t="str">
        <f ca="1"/>
        <v>Equity</v>
      </c>
      <c r="P294" t="str">
        <f ca="1"/>
        <v/>
      </c>
      <c r="Q294" t="str">
        <f ca="1"/>
        <v/>
      </c>
      <c r="R294" t="str">
        <f ca="1"/>
        <v>US6516391066</v>
      </c>
      <c r="S294" t="str">
        <f ca="1"/>
        <v/>
      </c>
      <c r="T294" t="str">
        <f ca="1"/>
        <v>NEM UN Equity</v>
      </c>
      <c r="U294">
        <f ca="1">IF(LEFT(_xll.BDP($T294,U$2),4)="#N/A",0,_xll.BDP($T294,U$2))</f>
        <v>0</v>
      </c>
      <c r="V294" t="e">
        <f>_xll.BDP(#REF!,V$2)</f>
        <v>#REF!</v>
      </c>
      <c r="W294" t="e">
        <f>_xll.BDP(#REF!,W$2)</f>
        <v>#REF!</v>
      </c>
      <c r="X294" t="e">
        <f>_xll.BDP(#REF!,X$2)</f>
        <v>#REF!</v>
      </c>
      <c r="Y294" t="e">
        <f>_xll.BDP(#REF!,Y$2)</f>
        <v>#REF!</v>
      </c>
      <c r="Z294" t="e">
        <f>_xll.BDP(#REF!,Z$2)</f>
        <v>#REF!</v>
      </c>
      <c r="AA294" t="e">
        <f>_xll.BDP(#REF!,AA$2)</f>
        <v>#REF!</v>
      </c>
      <c r="AD294">
        <f ca="1">IF(LEFT(_xll.BDP($T294,AD$2),4)="#N/A",-1,_xll.BDP($T294,AD$2))</f>
        <v>2884503.5</v>
      </c>
    </row>
    <row r="295" spans="1:30">
      <c r="A295">
        <f ca="1"/>
        <v>149</v>
      </c>
      <c r="B295" t="str">
        <f ca="1"/>
        <v>iW ALTERNATIVE SIF</v>
      </c>
      <c r="C295" t="str">
        <f ca="1"/>
        <v>iW ALTERNATIVE SIF</v>
      </c>
      <c r="D295">
        <f ca="1"/>
        <v>67869</v>
      </c>
      <c r="E295" t="str">
        <f ca="1"/>
        <v>COMMODITIES &amp; GOLD EQUITIES</v>
      </c>
      <c r="F295" t="str">
        <f ca="1"/>
        <v>Commodities &amp; Gold Equities</v>
      </c>
      <c r="G295">
        <f ca="1"/>
        <v>147</v>
      </c>
      <c r="H295" t="str">
        <f ca="1"/>
        <v>Pictet Fund Accounting</v>
      </c>
      <c r="I295" t="str">
        <f ca="1"/>
        <v>17509232-0</v>
      </c>
      <c r="J295" s="50">
        <f ca="1"/>
        <v>44775</v>
      </c>
      <c r="K295">
        <f ca="1"/>
        <v>50000</v>
      </c>
      <c r="L295" t="str">
        <f ca="1"/>
        <v>67966-0</v>
      </c>
      <c r="M295" t="str">
        <f ca="1"/>
        <v>NORTHERN DYNASTY MINERALS</v>
      </c>
      <c r="N295" t="str">
        <f ca="1"/>
        <v>USD</v>
      </c>
      <c r="O295" t="str">
        <f ca="1"/>
        <v>Equity</v>
      </c>
      <c r="P295" t="str">
        <f ca="1"/>
        <v/>
      </c>
      <c r="Q295" t="str">
        <f ca="1"/>
        <v/>
      </c>
      <c r="R295" t="str">
        <f ca="1"/>
        <v>CA66510M2040</v>
      </c>
      <c r="S295" t="str">
        <f ca="1"/>
        <v/>
      </c>
      <c r="T295" t="str">
        <f ca="1"/>
        <v>NAK UA Equity</v>
      </c>
      <c r="U295">
        <f ca="1">IF(LEFT(_xll.BDP($T295,U$2),4)="#N/A",0,_xll.BDP($T295,U$2))</f>
        <v>0</v>
      </c>
      <c r="V295" t="e">
        <f>_xll.BDP(#REF!,V$2)</f>
        <v>#REF!</v>
      </c>
      <c r="W295" t="e">
        <f>_xll.BDP(#REF!,W$2)</f>
        <v>#REF!</v>
      </c>
      <c r="X295" t="e">
        <f>_xll.BDP(#REF!,X$2)</f>
        <v>#REF!</v>
      </c>
      <c r="Y295" t="e">
        <f>_xll.BDP(#REF!,Y$2)</f>
        <v>#REF!</v>
      </c>
      <c r="Z295" t="e">
        <f>_xll.BDP(#REF!,Z$2)</f>
        <v>#REF!</v>
      </c>
      <c r="AA295" t="e">
        <f>_xll.BDP(#REF!,AA$2)</f>
        <v>#REF!</v>
      </c>
      <c r="AD295">
        <f ca="1">IF(LEFT(_xll.BDP($T295,AD$2),4)="#N/A",-1,_xll.BDP($T295,AD$2))</f>
        <v>134041.59375</v>
      </c>
    </row>
    <row r="296" spans="1:30">
      <c r="A296">
        <f ca="1"/>
        <v>149</v>
      </c>
      <c r="B296" t="str">
        <f ca="1"/>
        <v>iW ALTERNATIVE SIF</v>
      </c>
      <c r="C296" t="str">
        <f ca="1"/>
        <v>iW ALTERNATIVE SIF</v>
      </c>
      <c r="D296">
        <f ca="1"/>
        <v>67869</v>
      </c>
      <c r="E296" t="str">
        <f ca="1"/>
        <v>COMMODITIES &amp; GOLD EQUITIES</v>
      </c>
      <c r="F296" t="str">
        <f ca="1"/>
        <v>Commodities &amp; Gold Equities</v>
      </c>
      <c r="G296">
        <f ca="1"/>
        <v>147</v>
      </c>
      <c r="H296" t="str">
        <f ca="1"/>
        <v>Pictet Fund Accounting</v>
      </c>
      <c r="I296" t="str">
        <f ca="1"/>
        <v>17509224-0</v>
      </c>
      <c r="J296" s="50">
        <f ca="1"/>
        <v>44775</v>
      </c>
      <c r="K296">
        <f ca="1"/>
        <v>30578</v>
      </c>
      <c r="L296" t="str">
        <f ca="1"/>
        <v>81351-0</v>
      </c>
      <c r="M296" t="str">
        <f ca="1"/>
        <v>NORTHERN STAR RESOURCES</v>
      </c>
      <c r="N296" t="str">
        <f ca="1"/>
        <v>AUD</v>
      </c>
      <c r="O296" t="str">
        <f ca="1"/>
        <v>Equity</v>
      </c>
      <c r="P296" t="str">
        <f ca="1"/>
        <v/>
      </c>
      <c r="Q296" t="str">
        <f ca="1"/>
        <v/>
      </c>
      <c r="R296" t="str">
        <f ca="1"/>
        <v>AU000000NST8</v>
      </c>
      <c r="S296" t="str">
        <f ca="1"/>
        <v/>
      </c>
      <c r="T296" t="str">
        <f ca="1"/>
        <v>NST AU Equity</v>
      </c>
      <c r="U296">
        <f ca="1">IF(LEFT(_xll.BDP($T296,U$2),4)="#N/A",0,_xll.BDP($T296,U$2))</f>
        <v>0</v>
      </c>
      <c r="V296" t="e">
        <f>_xll.BDP(#REF!,V$2)</f>
        <v>#REF!</v>
      </c>
      <c r="W296" t="e">
        <f>_xll.BDP(#REF!,W$2)</f>
        <v>#REF!</v>
      </c>
      <c r="X296" t="e">
        <f>_xll.BDP(#REF!,X$2)</f>
        <v>#REF!</v>
      </c>
      <c r="Y296" t="e">
        <f>_xll.BDP(#REF!,Y$2)</f>
        <v>#REF!</v>
      </c>
      <c r="Z296" t="e">
        <f>_xll.BDP(#REF!,Z$2)</f>
        <v>#REF!</v>
      </c>
      <c r="AA296" t="e">
        <f>_xll.BDP(#REF!,AA$2)</f>
        <v>#REF!</v>
      </c>
      <c r="AD296">
        <f ca="1">IF(LEFT(_xll.BDP($T296,AD$2),4)="#N/A",-1,_xll.BDP($T296,AD$2))</f>
        <v>7298260</v>
      </c>
    </row>
    <row r="297" spans="1:30">
      <c r="A297">
        <f ca="1"/>
        <v>149</v>
      </c>
      <c r="B297" t="str">
        <f ca="1"/>
        <v>iW ALTERNATIVE SIF</v>
      </c>
      <c r="C297" t="str">
        <f ca="1"/>
        <v>iW ALTERNATIVE SIF</v>
      </c>
      <c r="D297">
        <f ca="1"/>
        <v>67869</v>
      </c>
      <c r="E297" t="str">
        <f ca="1"/>
        <v>COMMODITIES &amp; GOLD EQUITIES</v>
      </c>
      <c r="F297" t="str">
        <f ca="1"/>
        <v>Commodities &amp; Gold Equities</v>
      </c>
      <c r="G297">
        <f ca="1"/>
        <v>147</v>
      </c>
      <c r="H297" t="str">
        <f ca="1"/>
        <v>Pictet Fund Accounting</v>
      </c>
      <c r="I297" t="str">
        <f ca="1"/>
        <v>17509265-0</v>
      </c>
      <c r="J297" s="50">
        <f ca="1"/>
        <v>44775</v>
      </c>
      <c r="K297">
        <f ca="1"/>
        <v>50000</v>
      </c>
      <c r="L297" t="str">
        <f ca="1"/>
        <v>67994-0</v>
      </c>
      <c r="M297" t="str">
        <f ca="1"/>
        <v>NOVAGOLD RESOURCES</v>
      </c>
      <c r="N297" t="str">
        <f ca="1"/>
        <v>USD</v>
      </c>
      <c r="O297" t="str">
        <f ca="1"/>
        <v>Equity</v>
      </c>
      <c r="P297" t="str">
        <f ca="1"/>
        <v/>
      </c>
      <c r="Q297" t="str">
        <f ca="1"/>
        <v/>
      </c>
      <c r="R297" t="str">
        <f ca="1"/>
        <v>CA66987E2069</v>
      </c>
      <c r="S297" t="str">
        <f ca="1"/>
        <v/>
      </c>
      <c r="T297" t="str">
        <f ca="1"/>
        <v>NG UA Equity</v>
      </c>
      <c r="U297">
        <f ca="1">IF(LEFT(_xll.BDP($T297,U$2),4)="#N/A",0,_xll.BDP($T297,U$2))</f>
        <v>0</v>
      </c>
      <c r="V297" t="e">
        <f>_xll.BDP(#REF!,V$2)</f>
        <v>#REF!</v>
      </c>
      <c r="W297" t="e">
        <f>_xll.BDP(#REF!,W$2)</f>
        <v>#REF!</v>
      </c>
      <c r="X297" t="e">
        <f>_xll.BDP(#REF!,X$2)</f>
        <v>#REF!</v>
      </c>
      <c r="Y297" t="e">
        <f>_xll.BDP(#REF!,Y$2)</f>
        <v>#REF!</v>
      </c>
      <c r="Z297" t="e">
        <f>_xll.BDP(#REF!,Z$2)</f>
        <v>#REF!</v>
      </c>
      <c r="AA297" t="e">
        <f>_xll.BDP(#REF!,AA$2)</f>
        <v>#REF!</v>
      </c>
      <c r="AD297">
        <f ca="1">IF(LEFT(_xll.BDP($T297,AD$2),4)="#N/A",-1,_xll.BDP($T297,AD$2))</f>
        <v>167004.40625</v>
      </c>
    </row>
    <row r="298" spans="1:30">
      <c r="A298">
        <f ca="1"/>
        <v>149</v>
      </c>
      <c r="B298" t="str">
        <f ca="1"/>
        <v>iW ALTERNATIVE SIF</v>
      </c>
      <c r="C298" t="str">
        <f ca="1"/>
        <v>iW ALTERNATIVE SIF</v>
      </c>
      <c r="D298">
        <f ca="1"/>
        <v>67869</v>
      </c>
      <c r="E298" t="str">
        <f ca="1"/>
        <v>COMMODITIES &amp; GOLD EQUITIES</v>
      </c>
      <c r="F298" t="str">
        <f ca="1"/>
        <v>Commodities &amp; Gold Equities</v>
      </c>
      <c r="G298">
        <f ca="1"/>
        <v>147</v>
      </c>
      <c r="H298" t="str">
        <f ca="1"/>
        <v>Pictet Fund Accounting</v>
      </c>
      <c r="I298" t="str">
        <f ca="1"/>
        <v>17509200-0</v>
      </c>
      <c r="J298" s="50">
        <f ca="1"/>
        <v>44775</v>
      </c>
      <c r="K298">
        <f ca="1"/>
        <v>260000</v>
      </c>
      <c r="L298" t="str">
        <f ca="1"/>
        <v>67948-0</v>
      </c>
      <c r="M298" t="str">
        <f ca="1"/>
        <v>NOVO RESOURCES</v>
      </c>
      <c r="N298" t="str">
        <f ca="1"/>
        <v>CAD</v>
      </c>
      <c r="O298" t="str">
        <f ca="1"/>
        <v>Equity</v>
      </c>
      <c r="P298" t="str">
        <f ca="1"/>
        <v/>
      </c>
      <c r="Q298" t="str">
        <f ca="1"/>
        <v/>
      </c>
      <c r="R298" t="str">
        <f ca="1"/>
        <v>CA67010B1022</v>
      </c>
      <c r="S298" t="str">
        <f ca="1"/>
        <v/>
      </c>
      <c r="T298" t="str">
        <f ca="1"/>
        <v>NVO CT Equity</v>
      </c>
      <c r="U298">
        <f ca="1">IF(LEFT(_xll.BDP($T298,U$2),4)="#N/A",0,_xll.BDP($T298,U$2))</f>
        <v>0</v>
      </c>
      <c r="V298" t="e">
        <f>_xll.BDP(#REF!,V$2)</f>
        <v>#REF!</v>
      </c>
      <c r="W298" t="e">
        <f>_xll.BDP(#REF!,W$2)</f>
        <v>#REF!</v>
      </c>
      <c r="X298" t="e">
        <f>_xll.BDP(#REF!,X$2)</f>
        <v>#REF!</v>
      </c>
      <c r="Y298" t="e">
        <f>_xll.BDP(#REF!,Y$2)</f>
        <v>#REF!</v>
      </c>
      <c r="Z298" t="e">
        <f>_xll.BDP(#REF!,Z$2)</f>
        <v>#REF!</v>
      </c>
      <c r="AA298" t="e">
        <f>_xll.BDP(#REF!,AA$2)</f>
        <v>#REF!</v>
      </c>
      <c r="AD298">
        <f ca="1">IF(LEFT(_xll.BDP($T298,AD$2),4)="#N/A",-1,_xll.BDP($T298,AD$2))</f>
        <v>176443.2</v>
      </c>
    </row>
    <row r="299" spans="1:30">
      <c r="A299">
        <f ca="1"/>
        <v>149</v>
      </c>
      <c r="B299" t="str">
        <f ca="1"/>
        <v>iW ALTERNATIVE SIF</v>
      </c>
      <c r="C299" t="str">
        <f ca="1"/>
        <v>iW ALTERNATIVE SIF</v>
      </c>
      <c r="D299">
        <f ca="1"/>
        <v>67869</v>
      </c>
      <c r="E299" t="str">
        <f ca="1"/>
        <v>COMMODITIES &amp; GOLD EQUITIES</v>
      </c>
      <c r="F299" t="str">
        <f ca="1"/>
        <v>Commodities &amp; Gold Equities</v>
      </c>
      <c r="G299">
        <f ca="1"/>
        <v>147</v>
      </c>
      <c r="H299" t="str">
        <f ca="1"/>
        <v>Pictet Fund Accounting</v>
      </c>
      <c r="I299" t="str">
        <f ca="1"/>
        <v>17509270-0</v>
      </c>
      <c r="J299" s="50">
        <f ca="1"/>
        <v>44775</v>
      </c>
      <c r="K299">
        <f ca="1"/>
        <v>60000</v>
      </c>
      <c r="L299" t="str">
        <f ca="1"/>
        <v>68764-0</v>
      </c>
      <c r="M299" t="str">
        <f ca="1"/>
        <v>OCEANAGOLD</v>
      </c>
      <c r="N299" t="str">
        <f ca="1"/>
        <v>CAD</v>
      </c>
      <c r="O299" t="str">
        <f ca="1"/>
        <v>Equity</v>
      </c>
      <c r="P299" t="str">
        <f ca="1"/>
        <v/>
      </c>
      <c r="Q299" t="str">
        <f ca="1"/>
        <v/>
      </c>
      <c r="R299" t="str">
        <f ca="1"/>
        <v>CA6752221037</v>
      </c>
      <c r="S299" t="str">
        <f ca="1"/>
        <v/>
      </c>
      <c r="T299" t="str">
        <f ca="1"/>
        <v>OGC CT Equity</v>
      </c>
      <c r="U299">
        <f ca="1">IF(LEFT(_xll.BDP($T299,U$2),4)="#N/A",0,_xll.BDP($T299,U$2))</f>
        <v>0</v>
      </c>
      <c r="V299" t="e">
        <f>_xll.BDP(#REF!,V$2)</f>
        <v>#REF!</v>
      </c>
      <c r="W299" t="e">
        <f>_xll.BDP(#REF!,W$2)</f>
        <v>#REF!</v>
      </c>
      <c r="X299" t="e">
        <f>_xll.BDP(#REF!,X$2)</f>
        <v>#REF!</v>
      </c>
      <c r="Y299" t="e">
        <f>_xll.BDP(#REF!,Y$2)</f>
        <v>#REF!</v>
      </c>
      <c r="Z299" t="e">
        <f>_xll.BDP(#REF!,Z$2)</f>
        <v>#REF!</v>
      </c>
      <c r="AA299" t="e">
        <f>_xll.BDP(#REF!,AA$2)</f>
        <v>#REF!</v>
      </c>
      <c r="AD299">
        <f ca="1">IF(LEFT(_xll.BDP($T299,AD$2),4)="#N/A",-1,_xll.BDP($T299,AD$2))</f>
        <v>1239536</v>
      </c>
    </row>
    <row r="300" spans="1:30">
      <c r="A300">
        <f ca="1"/>
        <v>149</v>
      </c>
      <c r="B300" t="str">
        <f ca="1"/>
        <v>iW ALTERNATIVE SIF</v>
      </c>
      <c r="C300" t="str">
        <f ca="1"/>
        <v>iW ALTERNATIVE SIF</v>
      </c>
      <c r="D300">
        <f ca="1"/>
        <v>67869</v>
      </c>
      <c r="E300" t="str">
        <f ca="1"/>
        <v>COMMODITIES &amp; GOLD EQUITIES</v>
      </c>
      <c r="F300" t="str">
        <f ca="1"/>
        <v>Commodities &amp; Gold Equities</v>
      </c>
      <c r="G300">
        <f ca="1"/>
        <v>147</v>
      </c>
      <c r="H300" t="str">
        <f ca="1"/>
        <v>Pictet Fund Accounting</v>
      </c>
      <c r="I300" t="str">
        <f ca="1"/>
        <v>17509251-0</v>
      </c>
      <c r="J300" s="50">
        <f ca="1"/>
        <v>44775</v>
      </c>
      <c r="K300">
        <f ca="1"/>
        <v>50000</v>
      </c>
      <c r="L300" t="str">
        <f ca="1"/>
        <v>68763-0</v>
      </c>
      <c r="M300" t="str">
        <f ca="1"/>
        <v>ORLA MINING</v>
      </c>
      <c r="N300" t="str">
        <f ca="1"/>
        <v>CAD</v>
      </c>
      <c r="O300" t="str">
        <f ca="1"/>
        <v>Equity</v>
      </c>
      <c r="P300" t="str">
        <f ca="1"/>
        <v/>
      </c>
      <c r="Q300" t="str">
        <f ca="1"/>
        <v/>
      </c>
      <c r="R300" t="str">
        <f ca="1"/>
        <v>CA68634K1066</v>
      </c>
      <c r="S300" t="str">
        <f ca="1"/>
        <v/>
      </c>
      <c r="T300" t="str">
        <f ca="1"/>
        <v>OLA CN Equity</v>
      </c>
      <c r="U300">
        <f ca="1">IF(LEFT(_xll.BDP($T300,U$2),4)="#N/A",0,_xll.BDP($T300,U$2))</f>
        <v>0</v>
      </c>
      <c r="V300" t="e">
        <f>_xll.BDP(#REF!,V$2)</f>
        <v>#REF!</v>
      </c>
      <c r="W300" t="e">
        <f>_xll.BDP(#REF!,W$2)</f>
        <v>#REF!</v>
      </c>
      <c r="X300" t="e">
        <f>_xll.BDP(#REF!,X$2)</f>
        <v>#REF!</v>
      </c>
      <c r="Y300" t="e">
        <f>_xll.BDP(#REF!,Y$2)</f>
        <v>#REF!</v>
      </c>
      <c r="Z300" t="e">
        <f>_xll.BDP(#REF!,Z$2)</f>
        <v>#REF!</v>
      </c>
      <c r="AA300" t="e">
        <f>_xll.BDP(#REF!,AA$2)</f>
        <v>#REF!</v>
      </c>
      <c r="AD300">
        <f ca="1">IF(LEFT(_xll.BDP($T300,AD$2),4)="#N/A",-1,_xll.BDP($T300,AD$2))</f>
        <v>765270.4</v>
      </c>
    </row>
    <row r="301" spans="1:30">
      <c r="A301">
        <f ca="1"/>
        <v>149</v>
      </c>
      <c r="B301" t="str">
        <f ca="1"/>
        <v>iW ALTERNATIVE SIF</v>
      </c>
      <c r="C301" t="str">
        <f ca="1"/>
        <v>iW ALTERNATIVE SIF</v>
      </c>
      <c r="D301">
        <f ca="1"/>
        <v>67869</v>
      </c>
      <c r="E301" t="str">
        <f ca="1"/>
        <v>COMMODITIES &amp; GOLD EQUITIES</v>
      </c>
      <c r="F301" t="str">
        <f ca="1"/>
        <v>Commodities &amp; Gold Equities</v>
      </c>
      <c r="G301">
        <f ca="1"/>
        <v>147</v>
      </c>
      <c r="H301" t="str">
        <f ca="1"/>
        <v>Pictet Fund Accounting</v>
      </c>
      <c r="I301" t="str">
        <f ca="1"/>
        <v>17509171-0</v>
      </c>
      <c r="J301" s="50">
        <f ca="1"/>
        <v>44775</v>
      </c>
      <c r="K301">
        <f ca="1"/>
        <v>10000</v>
      </c>
      <c r="L301" t="str">
        <f ca="1"/>
        <v>146460-0</v>
      </c>
      <c r="M301" t="str">
        <f ca="1"/>
        <v>OSISKO GOLD ROYALTIES</v>
      </c>
      <c r="N301" t="str">
        <f ca="1"/>
        <v>USD</v>
      </c>
      <c r="O301" t="str">
        <f ca="1"/>
        <v>Equity</v>
      </c>
      <c r="P301" t="str">
        <f ca="1"/>
        <v/>
      </c>
      <c r="Q301" t="str">
        <f ca="1"/>
        <v/>
      </c>
      <c r="R301" t="str">
        <f ca="1"/>
        <v>CA68827L1013</v>
      </c>
      <c r="S301" t="str">
        <f ca="1"/>
        <v/>
      </c>
      <c r="T301" t="str">
        <f ca="1"/>
        <v>OR UN Equity</v>
      </c>
      <c r="U301">
        <f ca="1">IF(LEFT(_xll.BDP($T301,U$2),4)="#N/A",0,_xll.BDP($T301,U$2))</f>
        <v>0</v>
      </c>
      <c r="V301" t="e">
        <f>_xll.BDP(#REF!,V$2)</f>
        <v>#REF!</v>
      </c>
      <c r="W301" t="e">
        <f>_xll.BDP(#REF!,W$2)</f>
        <v>#REF!</v>
      </c>
      <c r="X301" t="e">
        <f>_xll.BDP(#REF!,X$2)</f>
        <v>#REF!</v>
      </c>
      <c r="Y301" t="e">
        <f>_xll.BDP(#REF!,Y$2)</f>
        <v>#REF!</v>
      </c>
      <c r="Z301" t="e">
        <f>_xll.BDP(#REF!,Z$2)</f>
        <v>#REF!</v>
      </c>
      <c r="AA301" t="e">
        <f>_xll.BDP(#REF!,AA$2)</f>
        <v>#REF!</v>
      </c>
      <c r="AD301">
        <f ca="1">IF(LEFT(_xll.BDP($T301,AD$2),4)="#N/A",-1,_xll.BDP($T301,AD$2))</f>
        <v>321552.40625</v>
      </c>
    </row>
    <row r="302" spans="1:30">
      <c r="A302">
        <f ca="1"/>
        <v>149</v>
      </c>
      <c r="B302" t="str">
        <f ca="1"/>
        <v>iW ALTERNATIVE SIF</v>
      </c>
      <c r="C302" t="str">
        <f ca="1"/>
        <v>iW ALTERNATIVE SIF</v>
      </c>
      <c r="D302">
        <f ca="1"/>
        <v>67869</v>
      </c>
      <c r="E302" t="str">
        <f ca="1"/>
        <v>COMMODITIES &amp; GOLD EQUITIES</v>
      </c>
      <c r="F302" t="str">
        <f ca="1"/>
        <v>Commodities &amp; Gold Equities</v>
      </c>
      <c r="G302">
        <f ca="1"/>
        <v>147</v>
      </c>
      <c r="H302" t="str">
        <f ca="1"/>
        <v>Pictet Fund Accounting</v>
      </c>
      <c r="I302" t="str">
        <f ca="1"/>
        <v>17509271-0</v>
      </c>
      <c r="J302" s="50">
        <f ca="1"/>
        <v>44775</v>
      </c>
      <c r="K302">
        <f ca="1"/>
        <v>18257</v>
      </c>
      <c r="L302" t="str">
        <f ca="1"/>
        <v>67997-0</v>
      </c>
      <c r="M302" t="str">
        <f ca="1"/>
        <v>OSISKO GOLD ROYALTIES</v>
      </c>
      <c r="N302" t="str">
        <f ca="1"/>
        <v>CAD</v>
      </c>
      <c r="O302" t="str">
        <f ca="1"/>
        <v>Equity</v>
      </c>
      <c r="P302" t="str">
        <f ca="1"/>
        <v/>
      </c>
      <c r="Q302" t="str">
        <f ca="1"/>
        <v/>
      </c>
      <c r="R302" t="str">
        <f ca="1"/>
        <v>CA68827L1013</v>
      </c>
      <c r="S302" t="str">
        <f ca="1"/>
        <v/>
      </c>
      <c r="T302" t="str">
        <f ca="1"/>
        <v>OR CT Equity</v>
      </c>
      <c r="U302">
        <f ca="1">IF(LEFT(_xll.BDP($T302,U$2),4)="#N/A",0,_xll.BDP($T302,U$2))</f>
        <v>0</v>
      </c>
      <c r="V302" t="e">
        <f>_xll.BDP(#REF!,V$2)</f>
        <v>#REF!</v>
      </c>
      <c r="W302" t="e">
        <f>_xll.BDP(#REF!,W$2)</f>
        <v>#REF!</v>
      </c>
      <c r="X302" t="e">
        <f>_xll.BDP(#REF!,X$2)</f>
        <v>#REF!</v>
      </c>
      <c r="Y302" t="e">
        <f>_xll.BDP(#REF!,Y$2)</f>
        <v>#REF!</v>
      </c>
      <c r="Z302" t="e">
        <f>_xll.BDP(#REF!,Z$2)</f>
        <v>#REF!</v>
      </c>
      <c r="AA302" t="e">
        <f>_xll.BDP(#REF!,AA$2)</f>
        <v>#REF!</v>
      </c>
      <c r="AD302">
        <f ca="1">IF(LEFT(_xll.BDP($T302,AD$2),4)="#N/A",-1,_xll.BDP($T302,AD$2))</f>
        <v>358069.4</v>
      </c>
    </row>
    <row r="303" spans="1:30">
      <c r="A303">
        <f ca="1"/>
        <v>149</v>
      </c>
      <c r="B303" t="str">
        <f ca="1"/>
        <v>iW ALTERNATIVE SIF</v>
      </c>
      <c r="C303" t="str">
        <f ca="1"/>
        <v>iW ALTERNATIVE SIF</v>
      </c>
      <c r="D303">
        <f ca="1"/>
        <v>67869</v>
      </c>
      <c r="E303" t="str">
        <f ca="1"/>
        <v>COMMODITIES &amp; GOLD EQUITIES</v>
      </c>
      <c r="F303" t="str">
        <f ca="1"/>
        <v>Commodities &amp; Gold Equities</v>
      </c>
      <c r="G303">
        <f ca="1"/>
        <v>147</v>
      </c>
      <c r="H303" t="str">
        <f ca="1"/>
        <v>Pictet Fund Accounting</v>
      </c>
      <c r="I303" t="str">
        <f ca="1"/>
        <v>17509240-0</v>
      </c>
      <c r="J303" s="50">
        <f ca="1"/>
        <v>44775</v>
      </c>
      <c r="K303">
        <f ca="1"/>
        <v>80000</v>
      </c>
      <c r="L303" t="str">
        <f ca="1"/>
        <v>67971-0</v>
      </c>
      <c r="M303" t="str">
        <f ca="1"/>
        <v>OSISKO MINING</v>
      </c>
      <c r="N303" t="str">
        <f ca="1"/>
        <v>CAD</v>
      </c>
      <c r="O303" t="str">
        <f ca="1"/>
        <v>Equity</v>
      </c>
      <c r="P303" t="str">
        <f ca="1"/>
        <v/>
      </c>
      <c r="Q303" t="str">
        <f ca="1"/>
        <v/>
      </c>
      <c r="R303" t="str">
        <f ca="1"/>
        <v>CA6882811046</v>
      </c>
      <c r="S303" t="str">
        <f ca="1"/>
        <v/>
      </c>
      <c r="T303" t="str">
        <f ca="1"/>
        <v>OSK CT Equity</v>
      </c>
      <c r="U303">
        <f ca="1">IF(LEFT(_xll.BDP($T303,U$2),4)="#N/A",0,_xll.BDP($T303,U$2))</f>
        <v>0</v>
      </c>
      <c r="V303" t="e">
        <f>_xll.BDP(#REF!,V$2)</f>
        <v>#REF!</v>
      </c>
      <c r="W303" t="e">
        <f>_xll.BDP(#REF!,W$2)</f>
        <v>#REF!</v>
      </c>
      <c r="X303" t="e">
        <f>_xll.BDP(#REF!,X$2)</f>
        <v>#REF!</v>
      </c>
      <c r="Y303" t="e">
        <f>_xll.BDP(#REF!,Y$2)</f>
        <v>#REF!</v>
      </c>
      <c r="Z303" t="e">
        <f>_xll.BDP(#REF!,Z$2)</f>
        <v>#REF!</v>
      </c>
      <c r="AA303" t="e">
        <f>_xll.BDP(#REF!,AA$2)</f>
        <v>#REF!</v>
      </c>
      <c r="AD303">
        <f ca="1">IF(LEFT(_xll.BDP($T303,AD$2),4)="#N/A",-1,_xll.BDP($T303,AD$2))</f>
        <v>508885.8</v>
      </c>
    </row>
    <row r="304" spans="1:30">
      <c r="A304">
        <f ca="1"/>
        <v>149</v>
      </c>
      <c r="B304" t="str">
        <f ca="1"/>
        <v>iW ALTERNATIVE SIF</v>
      </c>
      <c r="C304" t="str">
        <f ca="1"/>
        <v>iW ALTERNATIVE SIF</v>
      </c>
      <c r="D304">
        <f ca="1"/>
        <v>67869</v>
      </c>
      <c r="E304" t="str">
        <f ca="1"/>
        <v>COMMODITIES &amp; GOLD EQUITIES</v>
      </c>
      <c r="F304" t="str">
        <f ca="1"/>
        <v>Commodities &amp; Gold Equities</v>
      </c>
      <c r="G304">
        <f ca="1"/>
        <v>147</v>
      </c>
      <c r="H304" t="str">
        <f ca="1"/>
        <v>Pictet Fund Accounting</v>
      </c>
      <c r="I304" t="str">
        <f ca="1"/>
        <v>17509252-0</v>
      </c>
      <c r="J304" s="50">
        <f ca="1"/>
        <v>44775</v>
      </c>
      <c r="K304">
        <f ca="1"/>
        <v>14000</v>
      </c>
      <c r="L304" t="str">
        <f ca="1"/>
        <v>67983-0</v>
      </c>
      <c r="M304" t="str">
        <f ca="1"/>
        <v>PAN AMERICAN SILVER</v>
      </c>
      <c r="N304" t="str">
        <f ca="1"/>
        <v>USD</v>
      </c>
      <c r="O304" t="str">
        <f ca="1"/>
        <v>Equity</v>
      </c>
      <c r="P304" t="str">
        <f ca="1"/>
        <v/>
      </c>
      <c r="Q304" t="str">
        <f ca="1"/>
        <v/>
      </c>
      <c r="R304" t="str">
        <f ca="1"/>
        <v>CA6979001089</v>
      </c>
      <c r="S304" t="str">
        <f ca="1"/>
        <v/>
      </c>
      <c r="T304" t="str">
        <f ca="1"/>
        <v>PAAS CT Equity</v>
      </c>
      <c r="U304">
        <f ca="1">IF(LEFT(_xll.BDP($T304,U$2),4)="#N/A",0,_xll.BDP($T304,U$2))</f>
        <v>0</v>
      </c>
      <c r="V304" t="e">
        <f>_xll.BDP(#REF!,V$2)</f>
        <v>#REF!</v>
      </c>
      <c r="W304" t="e">
        <f>_xll.BDP(#REF!,W$2)</f>
        <v>#REF!</v>
      </c>
      <c r="X304" t="e">
        <f>_xll.BDP(#REF!,X$2)</f>
        <v>#REF!</v>
      </c>
      <c r="Y304" t="e">
        <f>_xll.BDP(#REF!,Y$2)</f>
        <v>#REF!</v>
      </c>
      <c r="Z304" t="e">
        <f>_xll.BDP(#REF!,Z$2)</f>
        <v>#REF!</v>
      </c>
      <c r="AA304" t="e">
        <f>_xll.BDP(#REF!,AA$2)</f>
        <v>#REF!</v>
      </c>
      <c r="AD304">
        <f ca="1">IF(LEFT(_xll.BDP($T304,AD$2),4)="#N/A",-1,_xll.BDP($T304,AD$2))</f>
        <v>412438</v>
      </c>
    </row>
    <row r="305" spans="1:30">
      <c r="A305">
        <f ca="1"/>
        <v>149</v>
      </c>
      <c r="B305" t="str">
        <f ca="1"/>
        <v>iW ALTERNATIVE SIF</v>
      </c>
      <c r="C305" t="str">
        <f ca="1"/>
        <v>iW ALTERNATIVE SIF</v>
      </c>
      <c r="D305">
        <f ca="1"/>
        <v>67869</v>
      </c>
      <c r="E305" t="str">
        <f ca="1"/>
        <v>COMMODITIES &amp; GOLD EQUITIES</v>
      </c>
      <c r="F305" t="str">
        <f ca="1"/>
        <v>Commodities &amp; Gold Equities</v>
      </c>
      <c r="G305">
        <f ca="1"/>
        <v>147</v>
      </c>
      <c r="H305" t="str">
        <f ca="1"/>
        <v>Pictet Fund Accounting</v>
      </c>
      <c r="I305" t="str">
        <f ca="1"/>
        <v>17509253-0</v>
      </c>
      <c r="J305" s="50">
        <f ca="1"/>
        <v>44775</v>
      </c>
      <c r="K305">
        <f ca="1"/>
        <v>43918</v>
      </c>
      <c r="L305" t="str">
        <f ca="1"/>
        <v>67984-0</v>
      </c>
      <c r="M305" t="str">
        <f ca="1"/>
        <v>PARAMOUNT GOLD NEVADA</v>
      </c>
      <c r="N305" t="str">
        <f ca="1"/>
        <v>USD</v>
      </c>
      <c r="O305" t="str">
        <f ca="1"/>
        <v>Equity</v>
      </c>
      <c r="P305" t="str">
        <f ca="1"/>
        <v/>
      </c>
      <c r="Q305" t="str">
        <f ca="1"/>
        <v/>
      </c>
      <c r="R305" t="str">
        <f ca="1"/>
        <v>US69924M1099</v>
      </c>
      <c r="S305" t="str">
        <f ca="1"/>
        <v/>
      </c>
      <c r="T305" t="str">
        <f ca="1"/>
        <v>PZG UA Equity</v>
      </c>
      <c r="U305">
        <f ca="1">IF(LEFT(_xll.BDP($T305,U$2),4)="#N/A",0,_xll.BDP($T305,U$2))</f>
        <v>0</v>
      </c>
      <c r="V305" t="e">
        <f>_xll.BDP(#REF!,V$2)</f>
        <v>#REF!</v>
      </c>
      <c r="W305" t="e">
        <f>_xll.BDP(#REF!,W$2)</f>
        <v>#REF!</v>
      </c>
      <c r="X305" t="e">
        <f>_xll.BDP(#REF!,X$2)</f>
        <v>#REF!</v>
      </c>
      <c r="Y305" t="e">
        <f>_xll.BDP(#REF!,Y$2)</f>
        <v>#REF!</v>
      </c>
      <c r="Z305" t="e">
        <f>_xll.BDP(#REF!,Z$2)</f>
        <v>#REF!</v>
      </c>
      <c r="AA305" t="e">
        <f>_xll.BDP(#REF!,AA$2)</f>
        <v>#REF!</v>
      </c>
      <c r="AD305">
        <f ca="1">IF(LEFT(_xll.BDP($T305,AD$2),4)="#N/A",-1,_xll.BDP($T305,AD$2))</f>
        <v>6998.0498046875</v>
      </c>
    </row>
    <row r="306" spans="1:30">
      <c r="A306">
        <f ca="1"/>
        <v>149</v>
      </c>
      <c r="B306" t="str">
        <f ca="1"/>
        <v>iW ALTERNATIVE SIF</v>
      </c>
      <c r="C306" t="str">
        <f ca="1"/>
        <v>iW ALTERNATIVE SIF</v>
      </c>
      <c r="D306">
        <f ca="1"/>
        <v>67869</v>
      </c>
      <c r="E306" t="str">
        <f ca="1"/>
        <v>COMMODITIES &amp; GOLD EQUITIES</v>
      </c>
      <c r="F306" t="str">
        <f ca="1"/>
        <v>Commodities &amp; Gold Equities</v>
      </c>
      <c r="G306">
        <f ca="1"/>
        <v>147</v>
      </c>
      <c r="H306" t="str">
        <f ca="1"/>
        <v>Pictet Fund Accounting</v>
      </c>
      <c r="I306" t="str">
        <f ca="1"/>
        <v>17509186-0</v>
      </c>
      <c r="J306" s="50">
        <f ca="1"/>
        <v>44775</v>
      </c>
      <c r="K306">
        <f ca="1"/>
        <v>20532</v>
      </c>
      <c r="L306" t="str">
        <f ca="1"/>
        <v>147270-0</v>
      </c>
      <c r="M306" t="str">
        <f ca="1"/>
        <v>PERSEUS MINING</v>
      </c>
      <c r="N306" t="str">
        <f ca="1"/>
        <v>AUD</v>
      </c>
      <c r="O306" t="str">
        <f ca="1"/>
        <v>Equity</v>
      </c>
      <c r="P306" t="str">
        <f ca="1"/>
        <v/>
      </c>
      <c r="Q306" t="str">
        <f ca="1"/>
        <v/>
      </c>
      <c r="R306" t="str">
        <f ca="1"/>
        <v>AU000000PRU3</v>
      </c>
      <c r="S306" t="str">
        <f ca="1"/>
        <v/>
      </c>
      <c r="T306" t="str">
        <f ca="1"/>
        <v>PRU AU Equity</v>
      </c>
      <c r="U306">
        <f ca="1">IF(LEFT(_xll.BDP($T306,U$2),4)="#N/A",0,_xll.BDP($T306,U$2))</f>
        <v>0</v>
      </c>
      <c r="V306" t="e">
        <f>_xll.BDP(#REF!,V$2)</f>
        <v>#REF!</v>
      </c>
      <c r="W306" t="e">
        <f>_xll.BDP(#REF!,W$2)</f>
        <v>#REF!</v>
      </c>
      <c r="X306" t="e">
        <f>_xll.BDP(#REF!,X$2)</f>
        <v>#REF!</v>
      </c>
      <c r="Y306" t="e">
        <f>_xll.BDP(#REF!,Y$2)</f>
        <v>#REF!</v>
      </c>
      <c r="Z306" t="e">
        <f>_xll.BDP(#REF!,Z$2)</f>
        <v>#REF!</v>
      </c>
      <c r="AA306" t="e">
        <f>_xll.BDP(#REF!,AA$2)</f>
        <v>#REF!</v>
      </c>
      <c r="AD306">
        <f ca="1">IF(LEFT(_xll.BDP($T306,AD$2),4)="#N/A",-1,_xll.BDP($T306,AD$2))</f>
        <v>5261538</v>
      </c>
    </row>
    <row r="307" spans="1:30">
      <c r="A307">
        <f ca="1"/>
        <v>149</v>
      </c>
      <c r="B307" t="str">
        <f ca="1"/>
        <v>iW ALTERNATIVE SIF</v>
      </c>
      <c r="C307" t="str">
        <f ca="1"/>
        <v>iW ALTERNATIVE SIF</v>
      </c>
      <c r="D307">
        <f ca="1"/>
        <v>67869</v>
      </c>
      <c r="E307" t="str">
        <f ca="1"/>
        <v>COMMODITIES &amp; GOLD EQUITIES</v>
      </c>
      <c r="F307" t="str">
        <f ca="1"/>
        <v>Commodities &amp; Gold Equities</v>
      </c>
      <c r="G307">
        <f ca="1"/>
        <v>147</v>
      </c>
      <c r="H307" t="str">
        <f ca="1"/>
        <v>Pictet Fund Accounting</v>
      </c>
      <c r="I307" t="str">
        <f ca="1"/>
        <v>17509197-0</v>
      </c>
      <c r="J307" s="50">
        <f ca="1"/>
        <v>44775</v>
      </c>
      <c r="K307">
        <f ca="1"/>
        <v>50000</v>
      </c>
      <c r="L307" t="str">
        <f ca="1"/>
        <v>67944-0</v>
      </c>
      <c r="M307" t="str">
        <f ca="1"/>
        <v>REGIS RESOURCES</v>
      </c>
      <c r="N307" t="str">
        <f ca="1"/>
        <v>AUD</v>
      </c>
      <c r="O307" t="str">
        <f ca="1"/>
        <v>Equity</v>
      </c>
      <c r="P307" t="str">
        <f ca="1"/>
        <v/>
      </c>
      <c r="Q307" t="str">
        <f ca="1"/>
        <v/>
      </c>
      <c r="R307" t="str">
        <f ca="1"/>
        <v>AU000000RRL8</v>
      </c>
      <c r="S307" t="str">
        <f ca="1"/>
        <v/>
      </c>
      <c r="T307" t="str">
        <f ca="1"/>
        <v>RRL AU Equity</v>
      </c>
      <c r="U307">
        <f ca="1">IF(LEFT(_xll.BDP($T307,U$2),4)="#N/A",0,_xll.BDP($T307,U$2))</f>
        <v>0</v>
      </c>
      <c r="V307" t="e">
        <f>_xll.BDP(#REF!,V$2)</f>
        <v>#REF!</v>
      </c>
      <c r="W307" t="e">
        <f>_xll.BDP(#REF!,W$2)</f>
        <v>#REF!</v>
      </c>
      <c r="X307" t="e">
        <f>_xll.BDP(#REF!,X$2)</f>
        <v>#REF!</v>
      </c>
      <c r="Y307" t="e">
        <f>_xll.BDP(#REF!,Y$2)</f>
        <v>#REF!</v>
      </c>
      <c r="Z307" t="e">
        <f>_xll.BDP(#REF!,Z$2)</f>
        <v>#REF!</v>
      </c>
      <c r="AA307" t="e">
        <f>_xll.BDP(#REF!,AA$2)</f>
        <v>#REF!</v>
      </c>
      <c r="AD307">
        <f ca="1">IF(LEFT(_xll.BDP($T307,AD$2),4)="#N/A",-1,_xll.BDP($T307,AD$2))</f>
        <v>3523039</v>
      </c>
    </row>
    <row r="308" spans="1:30">
      <c r="A308">
        <f ca="1"/>
        <v>149</v>
      </c>
      <c r="B308" t="str">
        <f ca="1"/>
        <v>iW ALTERNATIVE SIF</v>
      </c>
      <c r="C308" t="str">
        <f ca="1"/>
        <v>iW ALTERNATIVE SIF</v>
      </c>
      <c r="D308">
        <f ca="1"/>
        <v>67869</v>
      </c>
      <c r="E308" t="str">
        <f ca="1"/>
        <v>COMMODITIES &amp; GOLD EQUITIES</v>
      </c>
      <c r="F308" t="str">
        <f ca="1"/>
        <v>Commodities &amp; Gold Equities</v>
      </c>
      <c r="G308">
        <f ca="1"/>
        <v>147</v>
      </c>
      <c r="H308" t="str">
        <f ca="1"/>
        <v>Pictet Fund Accounting</v>
      </c>
      <c r="I308" t="str">
        <f ca="1"/>
        <v>17509214-0</v>
      </c>
      <c r="J308" s="50">
        <f ca="1"/>
        <v>44775</v>
      </c>
      <c r="K308">
        <f ca="1"/>
        <v>3200</v>
      </c>
      <c r="L308" t="str">
        <f ca="1"/>
        <v>132771-0</v>
      </c>
      <c r="M308" t="str">
        <f ca="1"/>
        <v>ROYAL GOLD</v>
      </c>
      <c r="N308" t="str">
        <f ca="1"/>
        <v>USD</v>
      </c>
      <c r="O308" t="str">
        <f ca="1"/>
        <v>Equity</v>
      </c>
      <c r="P308" t="str">
        <f ca="1"/>
        <v/>
      </c>
      <c r="Q308" t="str">
        <f ca="1"/>
        <v/>
      </c>
      <c r="R308" t="str">
        <f ca="1"/>
        <v>US7802871084</v>
      </c>
      <c r="S308" t="str">
        <f ca="1"/>
        <v/>
      </c>
      <c r="T308" t="str">
        <f ca="1"/>
        <v>RGLD UQ Equity</v>
      </c>
      <c r="U308">
        <f ca="1">IF(LEFT(_xll.BDP($T308,U$2),4)="#N/A",0,_xll.BDP($T308,U$2))</f>
        <v>0</v>
      </c>
      <c r="V308" t="e">
        <f>_xll.BDP(#REF!,V$2)</f>
        <v>#REF!</v>
      </c>
      <c r="W308" t="e">
        <f>_xll.BDP(#REF!,W$2)</f>
        <v>#REF!</v>
      </c>
      <c r="X308" t="e">
        <f>_xll.BDP(#REF!,X$2)</f>
        <v>#REF!</v>
      </c>
      <c r="Y308" t="e">
        <f>_xll.BDP(#REF!,Y$2)</f>
        <v>#REF!</v>
      </c>
      <c r="Z308" t="e">
        <f>_xll.BDP(#REF!,Z$2)</f>
        <v>#REF!</v>
      </c>
      <c r="AA308" t="e">
        <f>_xll.BDP(#REF!,AA$2)</f>
        <v>#REF!</v>
      </c>
      <c r="AD308">
        <f ca="1">IF(LEFT(_xll.BDP($T308,AD$2),4)="#N/A",-1,_xll.BDP($T308,AD$2))</f>
        <v>250259.65625</v>
      </c>
    </row>
    <row r="309" spans="1:30">
      <c r="A309">
        <f ca="1"/>
        <v>149</v>
      </c>
      <c r="B309" t="str">
        <f ca="1"/>
        <v>iW ALTERNATIVE SIF</v>
      </c>
      <c r="C309" t="str">
        <f ca="1"/>
        <v>iW ALTERNATIVE SIF</v>
      </c>
      <c r="D309">
        <f ca="1"/>
        <v>67869</v>
      </c>
      <c r="E309" t="str">
        <f ca="1"/>
        <v>COMMODITIES &amp; GOLD EQUITIES</v>
      </c>
      <c r="F309" t="str">
        <f ca="1"/>
        <v>Commodities &amp; Gold Equities</v>
      </c>
      <c r="G309">
        <f ca="1"/>
        <v>147</v>
      </c>
      <c r="H309" t="str">
        <f ca="1"/>
        <v>Pictet Fund Accounting</v>
      </c>
      <c r="I309" t="str">
        <f ca="1"/>
        <v>17509234-0</v>
      </c>
      <c r="J309" s="50">
        <f ca="1"/>
        <v>44775</v>
      </c>
      <c r="K309">
        <f ca="1"/>
        <v>60000</v>
      </c>
      <c r="L309" t="str">
        <f ca="1"/>
        <v>67968-0</v>
      </c>
      <c r="M309" t="str">
        <f ca="1"/>
        <v>SABINA GOLD &amp; SILVER</v>
      </c>
      <c r="N309" t="str">
        <f ca="1"/>
        <v>CAD</v>
      </c>
      <c r="O309" t="str">
        <f ca="1"/>
        <v>Equity</v>
      </c>
      <c r="P309" t="str">
        <f ca="1"/>
        <v/>
      </c>
      <c r="Q309" t="str">
        <f ca="1"/>
        <v/>
      </c>
      <c r="R309" t="str">
        <f ca="1"/>
        <v>CA7852461093</v>
      </c>
      <c r="S309" t="str">
        <f ca="1"/>
        <v/>
      </c>
      <c r="T309" t="str">
        <f ca="1"/>
        <v>SBB CT Equity</v>
      </c>
      <c r="U309">
        <f ca="1">IF(LEFT(_xll.BDP($T309,U$2),4)="#N/A",0,_xll.BDP($T309,U$2))</f>
        <v>0</v>
      </c>
      <c r="V309" t="e">
        <f>_xll.BDP(#REF!,V$2)</f>
        <v>#REF!</v>
      </c>
      <c r="W309" t="e">
        <f>_xll.BDP(#REF!,W$2)</f>
        <v>#REF!</v>
      </c>
      <c r="X309" t="e">
        <f>_xll.BDP(#REF!,X$2)</f>
        <v>#REF!</v>
      </c>
      <c r="Y309" t="e">
        <f>_xll.BDP(#REF!,Y$2)</f>
        <v>#REF!</v>
      </c>
      <c r="Z309" t="e">
        <f>_xll.BDP(#REF!,Z$2)</f>
        <v>#REF!</v>
      </c>
      <c r="AA309" t="e">
        <f>_xll.BDP(#REF!,AA$2)</f>
        <v>#REF!</v>
      </c>
      <c r="AD309">
        <f ca="1">IF(LEFT(_xll.BDP($T309,AD$2),4)="#N/A",-1,_xll.BDP($T309,AD$2))</f>
        <v>424959.8</v>
      </c>
    </row>
    <row r="310" spans="1:30">
      <c r="A310">
        <f ca="1"/>
        <v>149</v>
      </c>
      <c r="B310" t="str">
        <f ca="1"/>
        <v>iW ALTERNATIVE SIF</v>
      </c>
      <c r="C310" t="str">
        <f ca="1"/>
        <v>iW ALTERNATIVE SIF</v>
      </c>
      <c r="D310">
        <f ca="1"/>
        <v>67869</v>
      </c>
      <c r="E310" t="str">
        <f ca="1"/>
        <v>COMMODITIES &amp; GOLD EQUITIES</v>
      </c>
      <c r="F310" t="str">
        <f ca="1"/>
        <v>Commodities &amp; Gold Equities</v>
      </c>
      <c r="G310">
        <f ca="1"/>
        <v>147</v>
      </c>
      <c r="H310" t="str">
        <f ca="1"/>
        <v>Pictet Fund Accounting</v>
      </c>
      <c r="I310" t="str">
        <f ca="1"/>
        <v>17509249-0</v>
      </c>
      <c r="J310" s="50">
        <f ca="1"/>
        <v>44775</v>
      </c>
      <c r="K310">
        <f ca="1"/>
        <v>1320000</v>
      </c>
      <c r="L310" t="str">
        <f ca="1"/>
        <v>121662-0</v>
      </c>
      <c r="M310" t="str">
        <f ca="1"/>
        <v>SABRE GOLD MINES</v>
      </c>
      <c r="N310" t="str">
        <f ca="1"/>
        <v>CAD</v>
      </c>
      <c r="O310" t="str">
        <f ca="1"/>
        <v>Equity</v>
      </c>
      <c r="P310" t="str">
        <f ca="1"/>
        <v/>
      </c>
      <c r="Q310" t="str">
        <f ca="1"/>
        <v/>
      </c>
      <c r="R310" t="str">
        <f ca="1"/>
        <v>CA78573W1023</v>
      </c>
      <c r="S310" t="str">
        <f ca="1"/>
        <v/>
      </c>
      <c r="T310" t="str">
        <f ca="1"/>
        <v>SGLD CT Equity</v>
      </c>
      <c r="U310">
        <f ca="1">IF(LEFT(_xll.BDP($T310,U$2),4)="#N/A",0,_xll.BDP($T310,U$2))</f>
        <v>0</v>
      </c>
      <c r="V310" t="e">
        <f>_xll.BDP(#REF!,V$2)</f>
        <v>#REF!</v>
      </c>
      <c r="W310" t="e">
        <f>_xll.BDP(#REF!,W$2)</f>
        <v>#REF!</v>
      </c>
      <c r="X310" t="e">
        <f>_xll.BDP(#REF!,X$2)</f>
        <v>#REF!</v>
      </c>
      <c r="Y310" t="e">
        <f>_xll.BDP(#REF!,Y$2)</f>
        <v>#REF!</v>
      </c>
      <c r="Z310" t="e">
        <f>_xll.BDP(#REF!,Z$2)</f>
        <v>#REF!</v>
      </c>
      <c r="AA310" t="e">
        <f>_xll.BDP(#REF!,AA$2)</f>
        <v>#REF!</v>
      </c>
      <c r="AD310">
        <f ca="1">IF(LEFT(_xll.BDP($T310,AD$2),4)="#N/A",-1,_xll.BDP($T310,AD$2))</f>
        <v>248405.8</v>
      </c>
    </row>
    <row r="311" spans="1:30">
      <c r="A311">
        <f ca="1"/>
        <v>149</v>
      </c>
      <c r="B311" t="str">
        <f ca="1"/>
        <v>iW ALTERNATIVE SIF</v>
      </c>
      <c r="C311" t="str">
        <f ca="1"/>
        <v>iW ALTERNATIVE SIF</v>
      </c>
      <c r="D311">
        <f ca="1"/>
        <v>67869</v>
      </c>
      <c r="E311" t="str">
        <f ca="1"/>
        <v>COMMODITIES &amp; GOLD EQUITIES</v>
      </c>
      <c r="F311" t="str">
        <f ca="1"/>
        <v>Commodities &amp; Gold Equities</v>
      </c>
      <c r="G311">
        <f ca="1"/>
        <v>147</v>
      </c>
      <c r="H311" t="str">
        <f ca="1"/>
        <v>Pictet Fund Accounting</v>
      </c>
      <c r="I311" t="str">
        <f ca="1"/>
        <v>17509259-0</v>
      </c>
      <c r="J311" s="50">
        <f ca="1"/>
        <v>44775</v>
      </c>
      <c r="K311">
        <f ca="1"/>
        <v>20000</v>
      </c>
      <c r="L311" t="str">
        <f ca="1"/>
        <v>67990-0</v>
      </c>
      <c r="M311" t="str">
        <f ca="1"/>
        <v>SAMEX MINING</v>
      </c>
      <c r="N311" t="str">
        <f ca="1"/>
        <v>USD</v>
      </c>
      <c r="O311" t="str">
        <f ca="1"/>
        <v>Equity</v>
      </c>
      <c r="P311" t="str">
        <f ca="1"/>
        <v/>
      </c>
      <c r="Q311" t="str">
        <f ca="1"/>
        <v/>
      </c>
      <c r="R311" t="str">
        <f ca="1"/>
        <v>CA7959121046</v>
      </c>
      <c r="S311" t="str">
        <f ca="1"/>
        <v/>
      </c>
      <c r="T311" t="str">
        <f ca="1"/>
        <v>SMXMF UV Equity</v>
      </c>
      <c r="U311">
        <f ca="1">IF(LEFT(_xll.BDP($T311,U$2),4)="#N/A",0,_xll.BDP($T311,U$2))</f>
        <v>0</v>
      </c>
      <c r="V311" t="e">
        <f>_xll.BDP(#REF!,V$2)</f>
        <v>#REF!</v>
      </c>
      <c r="W311" t="e">
        <f>_xll.BDP(#REF!,W$2)</f>
        <v>#REF!</v>
      </c>
      <c r="X311" t="e">
        <f>_xll.BDP(#REF!,X$2)</f>
        <v>#REF!</v>
      </c>
      <c r="Y311" t="e">
        <f>_xll.BDP(#REF!,Y$2)</f>
        <v>#REF!</v>
      </c>
      <c r="Z311" t="e">
        <f>_xll.BDP(#REF!,Z$2)</f>
        <v>#REF!</v>
      </c>
      <c r="AA311" t="e">
        <f>_xll.BDP(#REF!,AA$2)</f>
        <v>#REF!</v>
      </c>
      <c r="AD311">
        <f ca="1">IF(LEFT(_xll.BDP($T311,AD$2),4)="#N/A",-1,_xll.BDP($T311,AD$2))</f>
        <v>-1</v>
      </c>
    </row>
    <row r="312" spans="1:30">
      <c r="A312">
        <f ca="1"/>
        <v>149</v>
      </c>
      <c r="B312" t="str">
        <f ca="1"/>
        <v>iW ALTERNATIVE SIF</v>
      </c>
      <c r="C312" t="str">
        <f ca="1"/>
        <v>iW ALTERNATIVE SIF</v>
      </c>
      <c r="D312">
        <f ca="1"/>
        <v>67869</v>
      </c>
      <c r="E312" t="str">
        <f ca="1"/>
        <v>COMMODITIES &amp; GOLD EQUITIES</v>
      </c>
      <c r="F312" t="str">
        <f ca="1"/>
        <v>Commodities &amp; Gold Equities</v>
      </c>
      <c r="G312">
        <f ca="1"/>
        <v>147</v>
      </c>
      <c r="H312" t="str">
        <f ca="1"/>
        <v>Pictet Fund Accounting</v>
      </c>
      <c r="I312" t="str">
        <f ca="1"/>
        <v>17509248-0</v>
      </c>
      <c r="J312" s="50">
        <f ca="1"/>
        <v>44775</v>
      </c>
      <c r="K312">
        <f ca="1"/>
        <v>1008000</v>
      </c>
      <c r="L312" t="str">
        <f ca="1"/>
        <v>67979-0</v>
      </c>
      <c r="M312" t="str">
        <f ca="1"/>
        <v>SAN GOLD</v>
      </c>
      <c r="N312" t="str">
        <f ca="1"/>
        <v>CAD</v>
      </c>
      <c r="O312" t="str">
        <f ca="1"/>
        <v>Equity</v>
      </c>
      <c r="P312" t="str">
        <f ca="1"/>
        <v/>
      </c>
      <c r="Q312" t="str">
        <f ca="1"/>
        <v/>
      </c>
      <c r="R312" t="str">
        <f ca="1"/>
        <v>CA79780P1045</v>
      </c>
      <c r="S312" t="str">
        <f ca="1"/>
        <v/>
      </c>
      <c r="T312" t="str">
        <f ca="1"/>
        <v>SGR/H CV Equity</v>
      </c>
      <c r="U312">
        <f ca="1">IF(LEFT(_xll.BDP($T312,U$2),4)="#N/A",0,_xll.BDP($T312,U$2))</f>
        <v>0</v>
      </c>
      <c r="V312" t="e">
        <f>_xll.BDP(#REF!,V$2)</f>
        <v>#REF!</v>
      </c>
      <c r="W312" t="e">
        <f>_xll.BDP(#REF!,W$2)</f>
        <v>#REF!</v>
      </c>
      <c r="X312" t="e">
        <f>_xll.BDP(#REF!,X$2)</f>
        <v>#REF!</v>
      </c>
      <c r="Y312" t="e">
        <f>_xll.BDP(#REF!,Y$2)</f>
        <v>#REF!</v>
      </c>
      <c r="Z312" t="e">
        <f>_xll.BDP(#REF!,Z$2)</f>
        <v>#REF!</v>
      </c>
      <c r="AA312" t="e">
        <f>_xll.BDP(#REF!,AA$2)</f>
        <v>#REF!</v>
      </c>
      <c r="AD312">
        <f ca="1">IF(LEFT(_xll.BDP($T312,AD$2),4)="#N/A",-1,_xll.BDP($T312,AD$2))</f>
        <v>-1</v>
      </c>
    </row>
    <row r="313" spans="1:30">
      <c r="A313">
        <f ca="1"/>
        <v>149</v>
      </c>
      <c r="B313" t="str">
        <f ca="1"/>
        <v>iW ALTERNATIVE SIF</v>
      </c>
      <c r="C313" t="str">
        <f ca="1"/>
        <v>iW ALTERNATIVE SIF</v>
      </c>
      <c r="D313">
        <f ca="1"/>
        <v>67869</v>
      </c>
      <c r="E313" t="str">
        <f ca="1"/>
        <v>COMMODITIES &amp; GOLD EQUITIES</v>
      </c>
      <c r="F313" t="str">
        <f ca="1"/>
        <v>Commodities &amp; Gold Equities</v>
      </c>
      <c r="G313">
        <f ca="1"/>
        <v>147</v>
      </c>
      <c r="H313" t="str">
        <f ca="1"/>
        <v>Pictet Fund Accounting</v>
      </c>
      <c r="I313" t="str">
        <f ca="1"/>
        <v>17509190-0</v>
      </c>
      <c r="J313" s="50">
        <f ca="1"/>
        <v>44775</v>
      </c>
      <c r="K313">
        <f ca="1"/>
        <v>64000</v>
      </c>
      <c r="L313" t="str">
        <f ca="1"/>
        <v>67936-0</v>
      </c>
      <c r="M313" t="str">
        <f ca="1"/>
        <v>SANDSTORM GOLD</v>
      </c>
      <c r="N313" t="str">
        <f ca="1"/>
        <v>USD</v>
      </c>
      <c r="O313" t="str">
        <f ca="1"/>
        <v>Equity</v>
      </c>
      <c r="P313" t="str">
        <f ca="1"/>
        <v/>
      </c>
      <c r="Q313" t="str">
        <f ca="1"/>
        <v/>
      </c>
      <c r="R313" t="str">
        <f ca="1"/>
        <v>CA80013R2063</v>
      </c>
      <c r="S313" t="str">
        <f ca="1"/>
        <v/>
      </c>
      <c r="T313" t="str">
        <f ca="1"/>
        <v>SAND UA Equity</v>
      </c>
      <c r="U313">
        <f ca="1">IF(LEFT(_xll.BDP($T313,U$2),4)="#N/A",0,_xll.BDP($T313,U$2))</f>
        <v>0</v>
      </c>
      <c r="V313" t="e">
        <f>_xll.BDP(#REF!,V$2)</f>
        <v>#REF!</v>
      </c>
      <c r="W313" t="e">
        <f>_xll.BDP(#REF!,W$2)</f>
        <v>#REF!</v>
      </c>
      <c r="X313" t="e">
        <f>_xll.BDP(#REF!,X$2)</f>
        <v>#REF!</v>
      </c>
      <c r="Y313" t="e">
        <f>_xll.BDP(#REF!,Y$2)</f>
        <v>#REF!</v>
      </c>
      <c r="Z313" t="e">
        <f>_xll.BDP(#REF!,Z$2)</f>
        <v>#REF!</v>
      </c>
      <c r="AA313" t="e">
        <f>_xll.BDP(#REF!,AA$2)</f>
        <v>#REF!</v>
      </c>
      <c r="AD313">
        <f ca="1">IF(LEFT(_xll.BDP($T313,AD$2),4)="#N/A",-1,_xll.BDP($T313,AD$2))</f>
        <v>5980.4501953125</v>
      </c>
    </row>
    <row r="314" spans="1:30">
      <c r="A314">
        <f ca="1"/>
        <v>149</v>
      </c>
      <c r="B314" t="str">
        <f ca="1"/>
        <v>iW ALTERNATIVE SIF</v>
      </c>
      <c r="C314" t="str">
        <f ca="1"/>
        <v>iW ALTERNATIVE SIF</v>
      </c>
      <c r="D314">
        <f ca="1"/>
        <v>67869</v>
      </c>
      <c r="E314" t="str">
        <f ca="1"/>
        <v>COMMODITIES &amp; GOLD EQUITIES</v>
      </c>
      <c r="F314" t="str">
        <f ca="1"/>
        <v>Commodities &amp; Gold Equities</v>
      </c>
      <c r="G314">
        <f ca="1"/>
        <v>147</v>
      </c>
      <c r="H314" t="str">
        <f ca="1"/>
        <v>Pictet Fund Accounting</v>
      </c>
      <c r="I314" t="str">
        <f ca="1"/>
        <v>17509180-0</v>
      </c>
      <c r="J314" s="50">
        <f ca="1"/>
        <v>44775</v>
      </c>
      <c r="K314">
        <f ca="1"/>
        <v>30000</v>
      </c>
      <c r="L314" t="str">
        <f ca="1"/>
        <v>67931-0</v>
      </c>
      <c r="M314" t="str">
        <f ca="1"/>
        <v>SEABRIDGE GOLD</v>
      </c>
      <c r="N314" t="str">
        <f ca="1"/>
        <v>USD</v>
      </c>
      <c r="O314" t="str">
        <f ca="1"/>
        <v>Equity</v>
      </c>
      <c r="P314" t="str">
        <f ca="1"/>
        <v/>
      </c>
      <c r="Q314" t="str">
        <f ca="1"/>
        <v/>
      </c>
      <c r="R314" t="str">
        <f ca="1"/>
        <v>CA8119161054</v>
      </c>
      <c r="S314" t="str">
        <f ca="1"/>
        <v/>
      </c>
      <c r="T314" t="str">
        <f ca="1"/>
        <v>SA UN Equity</v>
      </c>
      <c r="U314">
        <f ca="1">IF(LEFT(_xll.BDP($T314,U$2),4)="#N/A",0,_xll.BDP($T314,U$2))</f>
        <v>0</v>
      </c>
      <c r="V314" t="e">
        <f>_xll.BDP(#REF!,V$2)</f>
        <v>#REF!</v>
      </c>
      <c r="W314" t="e">
        <f>_xll.BDP(#REF!,W$2)</f>
        <v>#REF!</v>
      </c>
      <c r="X314" t="e">
        <f>_xll.BDP(#REF!,X$2)</f>
        <v>#REF!</v>
      </c>
      <c r="Y314" t="e">
        <f>_xll.BDP(#REF!,Y$2)</f>
        <v>#REF!</v>
      </c>
      <c r="Z314" t="e">
        <f>_xll.BDP(#REF!,Z$2)</f>
        <v>#REF!</v>
      </c>
      <c r="AA314" t="e">
        <f>_xll.BDP(#REF!,AA$2)</f>
        <v>#REF!</v>
      </c>
      <c r="AD314">
        <f ca="1">IF(LEFT(_xll.BDP($T314,AD$2),4)="#N/A",-1,_xll.BDP($T314,AD$2))</f>
        <v>99247.6484375</v>
      </c>
    </row>
    <row r="315" spans="1:30">
      <c r="A315">
        <f ca="1"/>
        <v>149</v>
      </c>
      <c r="B315" t="str">
        <f ca="1"/>
        <v>iW ALTERNATIVE SIF</v>
      </c>
      <c r="C315" t="str">
        <f ca="1"/>
        <v>iW ALTERNATIVE SIF</v>
      </c>
      <c r="D315">
        <f ca="1"/>
        <v>67869</v>
      </c>
      <c r="E315" t="str">
        <f ca="1"/>
        <v>COMMODITIES &amp; GOLD EQUITIES</v>
      </c>
      <c r="F315" t="str">
        <f ca="1"/>
        <v>Commodities &amp; Gold Equities</v>
      </c>
      <c r="G315">
        <f ca="1"/>
        <v>147</v>
      </c>
      <c r="H315" t="str">
        <f ca="1"/>
        <v>Pictet Fund Accounting</v>
      </c>
      <c r="I315" t="str">
        <f ca="1"/>
        <v>17509205-0</v>
      </c>
      <c r="J315" s="50">
        <f ca="1"/>
        <v>44775</v>
      </c>
      <c r="K315">
        <f ca="1"/>
        <v>20000</v>
      </c>
      <c r="L315" t="str">
        <f ca="1"/>
        <v>80252-0</v>
      </c>
      <c r="M315" t="str">
        <f ca="1"/>
        <v>SSR MINING</v>
      </c>
      <c r="N315" t="str">
        <f ca="1"/>
        <v>USD</v>
      </c>
      <c r="O315" t="str">
        <f ca="1"/>
        <v>Equity</v>
      </c>
      <c r="P315" t="str">
        <f ca="1"/>
        <v/>
      </c>
      <c r="Q315" t="str">
        <f ca="1"/>
        <v/>
      </c>
      <c r="R315" t="str">
        <f ca="1"/>
        <v>CA7847301032</v>
      </c>
      <c r="S315" t="str">
        <f ca="1"/>
        <v/>
      </c>
      <c r="T315" t="str">
        <f ca="1"/>
        <v>SSRM UQ Equity</v>
      </c>
      <c r="U315">
        <f ca="1">IF(LEFT(_xll.BDP($T315,U$2),4)="#N/A",0,_xll.BDP($T315,U$2))</f>
        <v>0</v>
      </c>
      <c r="V315" t="e">
        <f>_xll.BDP(#REF!,V$2)</f>
        <v>#REF!</v>
      </c>
      <c r="W315" t="e">
        <f>_xll.BDP(#REF!,W$2)</f>
        <v>#REF!</v>
      </c>
      <c r="X315" t="e">
        <f>_xll.BDP(#REF!,X$2)</f>
        <v>#REF!</v>
      </c>
      <c r="Y315" t="e">
        <f>_xll.BDP(#REF!,Y$2)</f>
        <v>#REF!</v>
      </c>
      <c r="Z315" t="e">
        <f>_xll.BDP(#REF!,Z$2)</f>
        <v>#REF!</v>
      </c>
      <c r="AA315" t="e">
        <f>_xll.BDP(#REF!,AA$2)</f>
        <v>#REF!</v>
      </c>
      <c r="AD315">
        <f ca="1">IF(LEFT(_xll.BDP($T315,AD$2),4)="#N/A",-1,_xll.BDP($T315,AD$2))</f>
        <v>861647.5625</v>
      </c>
    </row>
    <row r="316" spans="1:30">
      <c r="A316">
        <f ca="1"/>
        <v>149</v>
      </c>
      <c r="B316" t="str">
        <f ca="1"/>
        <v>iW ALTERNATIVE SIF</v>
      </c>
      <c r="C316" t="str">
        <f ca="1"/>
        <v>iW ALTERNATIVE SIF</v>
      </c>
      <c r="D316">
        <f ca="1"/>
        <v>67869</v>
      </c>
      <c r="E316" t="str">
        <f ca="1"/>
        <v>COMMODITIES &amp; GOLD EQUITIES</v>
      </c>
      <c r="F316" t="str">
        <f ca="1"/>
        <v>Commodities &amp; Gold Equities</v>
      </c>
      <c r="G316">
        <f ca="1"/>
        <v>147</v>
      </c>
      <c r="H316" t="str">
        <f ca="1"/>
        <v>Pictet Fund Accounting</v>
      </c>
      <c r="I316" t="str">
        <f ca="1"/>
        <v>17509213-0</v>
      </c>
      <c r="J316" s="50">
        <f ca="1"/>
        <v>44775</v>
      </c>
      <c r="K316">
        <f ca="1"/>
        <v>11000</v>
      </c>
      <c r="L316" t="str">
        <f ca="1"/>
        <v>67956-0</v>
      </c>
      <c r="M316" t="str">
        <f ca="1"/>
        <v>SSR MINING</v>
      </c>
      <c r="N316" t="str">
        <f ca="1"/>
        <v>CAD</v>
      </c>
      <c r="O316" t="str">
        <f ca="1"/>
        <v>Equity</v>
      </c>
      <c r="P316" t="str">
        <f ca="1"/>
        <v/>
      </c>
      <c r="Q316" t="str">
        <f ca="1"/>
        <v/>
      </c>
      <c r="R316" t="str">
        <f ca="1"/>
        <v>CA7847301032</v>
      </c>
      <c r="S316" t="str">
        <f ca="1"/>
        <v/>
      </c>
      <c r="T316" t="str">
        <f ca="1"/>
        <v>SSRM CT Equity</v>
      </c>
      <c r="U316">
        <f ca="1">IF(LEFT(_xll.BDP($T316,U$2),4)="#N/A",0,_xll.BDP($T316,U$2))</f>
        <v>0</v>
      </c>
      <c r="V316" t="e">
        <f>_xll.BDP(#REF!,V$2)</f>
        <v>#REF!</v>
      </c>
      <c r="W316" t="e">
        <f>_xll.BDP(#REF!,W$2)</f>
        <v>#REF!</v>
      </c>
      <c r="X316" t="e">
        <f>_xll.BDP(#REF!,X$2)</f>
        <v>#REF!</v>
      </c>
      <c r="Y316" t="e">
        <f>_xll.BDP(#REF!,Y$2)</f>
        <v>#REF!</v>
      </c>
      <c r="Z316" t="e">
        <f>_xll.BDP(#REF!,Z$2)</f>
        <v>#REF!</v>
      </c>
      <c r="AA316" t="e">
        <f>_xll.BDP(#REF!,AA$2)</f>
        <v>#REF!</v>
      </c>
      <c r="AD316">
        <f ca="1">IF(LEFT(_xll.BDP($T316,AD$2),4)="#N/A",-1,_xll.BDP($T316,AD$2))</f>
        <v>555254.4</v>
      </c>
    </row>
    <row r="317" spans="1:30">
      <c r="A317">
        <f ca="1"/>
        <v>149</v>
      </c>
      <c r="B317" t="str">
        <f ca="1"/>
        <v>iW ALTERNATIVE SIF</v>
      </c>
      <c r="C317" t="str">
        <f ca="1"/>
        <v>iW ALTERNATIVE SIF</v>
      </c>
      <c r="D317">
        <f ca="1"/>
        <v>67869</v>
      </c>
      <c r="E317" t="str">
        <f ca="1"/>
        <v>COMMODITIES &amp; GOLD EQUITIES</v>
      </c>
      <c r="F317" t="str">
        <f ca="1"/>
        <v>Commodities &amp; Gold Equities</v>
      </c>
      <c r="G317">
        <f ca="1"/>
        <v>147</v>
      </c>
      <c r="H317" t="str">
        <f ca="1"/>
        <v>Pictet Fund Accounting</v>
      </c>
      <c r="I317" t="str">
        <f ca="1"/>
        <v>17509187-0</v>
      </c>
      <c r="J317" s="50">
        <f ca="1"/>
        <v>44775</v>
      </c>
      <c r="K317">
        <f ca="1"/>
        <v>12000</v>
      </c>
      <c r="L317" t="str">
        <f ca="1"/>
        <v>67934-0</v>
      </c>
      <c r="M317" t="str">
        <f ca="1"/>
        <v>STRIKEPOINT GOLD</v>
      </c>
      <c r="N317" t="str">
        <f ca="1"/>
        <v>CAD</v>
      </c>
      <c r="O317" t="str">
        <f ca="1"/>
        <v>Equity</v>
      </c>
      <c r="P317" t="str">
        <f ca="1"/>
        <v/>
      </c>
      <c r="Q317" t="str">
        <f ca="1"/>
        <v/>
      </c>
      <c r="R317" t="str">
        <f ca="1"/>
        <v>CA86332K2020</v>
      </c>
      <c r="S317" t="str">
        <f ca="1"/>
        <v/>
      </c>
      <c r="T317" t="str">
        <f ca="1"/>
        <v>SKP CV Equity</v>
      </c>
      <c r="U317">
        <f ca="1">IF(LEFT(_xll.BDP($T317,U$2),4)="#N/A",0,_xll.BDP($T317,U$2))</f>
        <v>0</v>
      </c>
      <c r="V317" t="e">
        <f>_xll.BDP(#REF!,V$2)</f>
        <v>#REF!</v>
      </c>
      <c r="W317" t="e">
        <f>_xll.BDP(#REF!,W$2)</f>
        <v>#REF!</v>
      </c>
      <c r="X317" t="e">
        <f>_xll.BDP(#REF!,X$2)</f>
        <v>#REF!</v>
      </c>
      <c r="Y317" t="e">
        <f>_xll.BDP(#REF!,Y$2)</f>
        <v>#REF!</v>
      </c>
      <c r="Z317" t="e">
        <f>_xll.BDP(#REF!,Z$2)</f>
        <v>#REF!</v>
      </c>
      <c r="AA317" t="e">
        <f>_xll.BDP(#REF!,AA$2)</f>
        <v>#REF!</v>
      </c>
      <c r="AD317">
        <f ca="1">IF(LEFT(_xll.BDP($T317,AD$2),4)="#N/A",-1,_xll.BDP($T317,AD$2))</f>
        <v>299772</v>
      </c>
    </row>
    <row r="318" spans="1:30">
      <c r="A318">
        <f ca="1"/>
        <v>149</v>
      </c>
      <c r="B318" t="str">
        <f ca="1"/>
        <v>iW ALTERNATIVE SIF</v>
      </c>
      <c r="C318" t="str">
        <f ca="1"/>
        <v>iW ALTERNATIVE SIF</v>
      </c>
      <c r="D318">
        <f ca="1"/>
        <v>67869</v>
      </c>
      <c r="E318" t="str">
        <f ca="1"/>
        <v>COMMODITIES &amp; GOLD EQUITIES</v>
      </c>
      <c r="F318" t="str">
        <f ca="1"/>
        <v>Commodities &amp; Gold Equities</v>
      </c>
      <c r="G318">
        <f ca="1"/>
        <v>147</v>
      </c>
      <c r="H318" t="str">
        <f ca="1"/>
        <v>Pictet Fund Accounting</v>
      </c>
      <c r="I318" t="str">
        <f ca="1"/>
        <v>17509256-0</v>
      </c>
      <c r="J318" s="50">
        <f ca="1"/>
        <v>44775</v>
      </c>
      <c r="K318">
        <f ca="1"/>
        <v>26000</v>
      </c>
      <c r="L318" t="str">
        <f ca="1"/>
        <v>67988-0</v>
      </c>
      <c r="M318" t="str">
        <f ca="1"/>
        <v>SULLIDEN MINING CAPITAL</v>
      </c>
      <c r="N318" t="str">
        <f ca="1"/>
        <v>CAD</v>
      </c>
      <c r="O318" t="str">
        <f ca="1"/>
        <v>Equity</v>
      </c>
      <c r="P318" t="str">
        <f ca="1"/>
        <v/>
      </c>
      <c r="Q318" t="str">
        <f ca="1"/>
        <v/>
      </c>
      <c r="R318" t="str">
        <f ca="1"/>
        <v>CA8651251081</v>
      </c>
      <c r="S318" t="str">
        <f ca="1"/>
        <v/>
      </c>
      <c r="T318" t="str">
        <f ca="1"/>
        <v>SMC CT Equity</v>
      </c>
      <c r="U318">
        <f ca="1">IF(LEFT(_xll.BDP($T318,U$2),4)="#N/A",0,_xll.BDP($T318,U$2))</f>
        <v>0</v>
      </c>
      <c r="V318" t="e">
        <f>_xll.BDP(#REF!,V$2)</f>
        <v>#REF!</v>
      </c>
      <c r="W318" t="e">
        <f>_xll.BDP(#REF!,W$2)</f>
        <v>#REF!</v>
      </c>
      <c r="X318" t="e">
        <f>_xll.BDP(#REF!,X$2)</f>
        <v>#REF!</v>
      </c>
      <c r="Y318" t="e">
        <f>_xll.BDP(#REF!,Y$2)</f>
        <v>#REF!</v>
      </c>
      <c r="Z318" t="e">
        <f>_xll.BDP(#REF!,Z$2)</f>
        <v>#REF!</v>
      </c>
      <c r="AA318" t="e">
        <f>_xll.BDP(#REF!,AA$2)</f>
        <v>#REF!</v>
      </c>
      <c r="AD318">
        <f ca="1">IF(LEFT(_xll.BDP($T318,AD$2),4)="#N/A",-1,_xll.BDP($T318,AD$2))</f>
        <v>140327.70000000001</v>
      </c>
    </row>
    <row r="319" spans="1:30">
      <c r="A319">
        <f ca="1"/>
        <v>149</v>
      </c>
      <c r="B319" t="str">
        <f ca="1"/>
        <v>iW ALTERNATIVE SIF</v>
      </c>
      <c r="C319" t="str">
        <f ca="1"/>
        <v>iW ALTERNATIVE SIF</v>
      </c>
      <c r="D319">
        <f ca="1"/>
        <v>67869</v>
      </c>
      <c r="E319" t="str">
        <f ca="1"/>
        <v>COMMODITIES &amp; GOLD EQUITIES</v>
      </c>
      <c r="F319" t="str">
        <f ca="1"/>
        <v>Commodities &amp; Gold Equities</v>
      </c>
      <c r="G319">
        <f ca="1"/>
        <v>147</v>
      </c>
      <c r="H319" t="str">
        <f ca="1"/>
        <v>Pictet Fund Accounting</v>
      </c>
      <c r="I319" t="str">
        <f ca="1"/>
        <v>17509225-0</v>
      </c>
      <c r="J319" s="50">
        <f ca="1"/>
        <v>44775</v>
      </c>
      <c r="K319">
        <f ca="1"/>
        <v>130000</v>
      </c>
      <c r="L319" t="str">
        <f ca="1"/>
        <v>81100-0</v>
      </c>
      <c r="M319" t="str">
        <f ca="1"/>
        <v>TIER ONE SILVER</v>
      </c>
      <c r="N319" t="str">
        <f ca="1"/>
        <v>CAD</v>
      </c>
      <c r="O319" t="str">
        <f ca="1"/>
        <v>Equity</v>
      </c>
      <c r="P319" t="str">
        <f ca="1"/>
        <v/>
      </c>
      <c r="Q319" t="str">
        <f ca="1"/>
        <v/>
      </c>
      <c r="R319" t="str">
        <f ca="1"/>
        <v>CA88651M1086</v>
      </c>
      <c r="S319" t="str">
        <f ca="1"/>
        <v/>
      </c>
      <c r="T319" t="str">
        <f ca="1"/>
        <v>TSLV CV Equity</v>
      </c>
      <c r="U319">
        <f ca="1">IF(LEFT(_xll.BDP($T319,U$2),4)="#N/A",0,_xll.BDP($T319,U$2))</f>
        <v>0</v>
      </c>
      <c r="V319" t="e">
        <f>_xll.BDP(#REF!,V$2)</f>
        <v>#REF!</v>
      </c>
      <c r="W319" t="e">
        <f>_xll.BDP(#REF!,W$2)</f>
        <v>#REF!</v>
      </c>
      <c r="X319" t="e">
        <f>_xll.BDP(#REF!,X$2)</f>
        <v>#REF!</v>
      </c>
      <c r="Y319" t="e">
        <f>_xll.BDP(#REF!,Y$2)</f>
        <v>#REF!</v>
      </c>
      <c r="Z319" t="e">
        <f>_xll.BDP(#REF!,Z$2)</f>
        <v>#REF!</v>
      </c>
      <c r="AA319" t="e">
        <f>_xll.BDP(#REF!,AA$2)</f>
        <v>#REF!</v>
      </c>
      <c r="AD319">
        <f ca="1">IF(LEFT(_xll.BDP($T319,AD$2),4)="#N/A",-1,_xll.BDP($T319,AD$2))</f>
        <v>32180.05</v>
      </c>
    </row>
    <row r="320" spans="1:30">
      <c r="A320">
        <f ca="1"/>
        <v>149</v>
      </c>
      <c r="B320" t="str">
        <f ca="1"/>
        <v>iW ALTERNATIVE SIF</v>
      </c>
      <c r="C320" t="str">
        <f ca="1"/>
        <v>iW ALTERNATIVE SIF</v>
      </c>
      <c r="D320">
        <f ca="1"/>
        <v>67869</v>
      </c>
      <c r="E320" t="str">
        <f ca="1"/>
        <v>COMMODITIES &amp; GOLD EQUITIES</v>
      </c>
      <c r="F320" t="str">
        <f ca="1"/>
        <v>Commodities &amp; Gold Equities</v>
      </c>
      <c r="G320">
        <f ca="1"/>
        <v>147</v>
      </c>
      <c r="H320" t="str">
        <f ca="1"/>
        <v>Pictet Fund Accounting</v>
      </c>
      <c r="I320" t="str">
        <f ca="1"/>
        <v>17509245-0</v>
      </c>
      <c r="J320" s="50">
        <f ca="1"/>
        <v>44775</v>
      </c>
      <c r="K320">
        <f ca="1"/>
        <v>43372</v>
      </c>
      <c r="L320" t="str">
        <f ca="1"/>
        <v>114960-0</v>
      </c>
      <c r="M320" t="str">
        <f ca="1"/>
        <v>TREASURY METALS</v>
      </c>
      <c r="N320" t="str">
        <f ca="1"/>
        <v>CAD</v>
      </c>
      <c r="O320" t="str">
        <f ca="1"/>
        <v>Equity</v>
      </c>
      <c r="P320" t="str">
        <f ca="1"/>
        <v/>
      </c>
      <c r="Q320" t="str">
        <f ca="1"/>
        <v/>
      </c>
      <c r="R320" t="str">
        <f ca="1"/>
        <v>CA8946478259</v>
      </c>
      <c r="S320" t="str">
        <f ca="1"/>
        <v/>
      </c>
      <c r="T320" t="str">
        <f ca="1"/>
        <v>TML CT Equity</v>
      </c>
      <c r="U320">
        <f ca="1">IF(LEFT(_xll.BDP($T320,U$2),4)="#N/A",0,_xll.BDP($T320,U$2))</f>
        <v>0</v>
      </c>
      <c r="V320" t="e">
        <f>_xll.BDP(#REF!,V$2)</f>
        <v>#REF!</v>
      </c>
      <c r="W320" t="e">
        <f>_xll.BDP(#REF!,W$2)</f>
        <v>#REF!</v>
      </c>
      <c r="X320" t="e">
        <f>_xll.BDP(#REF!,X$2)</f>
        <v>#REF!</v>
      </c>
      <c r="Y320" t="e">
        <f>_xll.BDP(#REF!,Y$2)</f>
        <v>#REF!</v>
      </c>
      <c r="Z320" t="e">
        <f>_xll.BDP(#REF!,Z$2)</f>
        <v>#REF!</v>
      </c>
      <c r="AA320" t="e">
        <f>_xll.BDP(#REF!,AA$2)</f>
        <v>#REF!</v>
      </c>
      <c r="AD320">
        <f ca="1">IF(LEFT(_xll.BDP($T320,AD$2),4)="#N/A",-1,_xll.BDP($T320,AD$2))</f>
        <v>56874.6</v>
      </c>
    </row>
    <row r="321" spans="1:30">
      <c r="A321">
        <f ca="1"/>
        <v>149</v>
      </c>
      <c r="B321" t="str">
        <f ca="1"/>
        <v>iW ALTERNATIVE SIF</v>
      </c>
      <c r="C321" t="str">
        <f ca="1"/>
        <v>iW ALTERNATIVE SIF</v>
      </c>
      <c r="D321">
        <f ca="1"/>
        <v>67869</v>
      </c>
      <c r="E321" t="str">
        <f ca="1"/>
        <v>COMMODITIES &amp; GOLD EQUITIES</v>
      </c>
      <c r="F321" t="str">
        <f ca="1"/>
        <v>Commodities &amp; Gold Equities</v>
      </c>
      <c r="G321">
        <f ca="1"/>
        <v>147</v>
      </c>
      <c r="H321" t="str">
        <f ca="1"/>
        <v>Pictet Fund Accounting</v>
      </c>
      <c r="I321" t="str">
        <f ca="1"/>
        <v>17509261-0</v>
      </c>
      <c r="J321" s="50">
        <f ca="1"/>
        <v>44775</v>
      </c>
      <c r="K321">
        <f ca="1"/>
        <v>675319</v>
      </c>
      <c r="L321" t="str">
        <f ca="1"/>
        <v>147378-0</v>
      </c>
      <c r="M321" t="str">
        <f ca="1"/>
        <v>TRX GOLD</v>
      </c>
      <c r="N321" t="str">
        <f ca="1"/>
        <v>CAD</v>
      </c>
      <c r="O321" t="str">
        <f ca="1"/>
        <v>Equity</v>
      </c>
      <c r="P321" t="str">
        <f ca="1"/>
        <v/>
      </c>
      <c r="Q321" t="str">
        <f ca="1"/>
        <v/>
      </c>
      <c r="R321" t="str">
        <f ca="1"/>
        <v>CA87283P1099</v>
      </c>
      <c r="S321" t="str">
        <f ca="1"/>
        <v/>
      </c>
      <c r="T321" t="str">
        <f ca="1"/>
        <v>TNX CN Equity</v>
      </c>
      <c r="U321">
        <f ca="1">IF(LEFT(_xll.BDP($T321,U$2),4)="#N/A",0,_xll.BDP($T321,U$2))</f>
        <v>0</v>
      </c>
      <c r="V321" t="e">
        <f>_xll.BDP(#REF!,V$2)</f>
        <v>#REF!</v>
      </c>
      <c r="W321" t="e">
        <f>_xll.BDP(#REF!,W$2)</f>
        <v>#REF!</v>
      </c>
      <c r="X321" t="e">
        <f>_xll.BDP(#REF!,X$2)</f>
        <v>#REF!</v>
      </c>
      <c r="Y321" t="e">
        <f>_xll.BDP(#REF!,Y$2)</f>
        <v>#REF!</v>
      </c>
      <c r="Z321" t="e">
        <f>_xll.BDP(#REF!,Z$2)</f>
        <v>#REF!</v>
      </c>
      <c r="AA321" t="e">
        <f>_xll.BDP(#REF!,AA$2)</f>
        <v>#REF!</v>
      </c>
      <c r="AD321">
        <f ca="1">IF(LEFT(_xll.BDP($T321,AD$2),4)="#N/A",-1,_xll.BDP($T321,AD$2))</f>
        <v>71201.45</v>
      </c>
    </row>
    <row r="322" spans="1:30">
      <c r="A322">
        <f ca="1"/>
        <v>149</v>
      </c>
      <c r="B322" t="str">
        <f ca="1"/>
        <v>iW ALTERNATIVE SIF</v>
      </c>
      <c r="C322" t="str">
        <f ca="1"/>
        <v>iW ALTERNATIVE SIF</v>
      </c>
      <c r="D322">
        <f ca="1"/>
        <v>67869</v>
      </c>
      <c r="E322" t="str">
        <f ca="1"/>
        <v>COMMODITIES &amp; GOLD EQUITIES</v>
      </c>
      <c r="F322" t="str">
        <f ca="1"/>
        <v>Commodities &amp; Gold Equities</v>
      </c>
      <c r="G322">
        <f ca="1"/>
        <v>147</v>
      </c>
      <c r="H322" t="str">
        <f ca="1"/>
        <v>Pictet Fund Accounting</v>
      </c>
      <c r="I322" t="str">
        <f ca="1"/>
        <v>17509247-0</v>
      </c>
      <c r="J322" s="50">
        <f ca="1"/>
        <v>44775</v>
      </c>
      <c r="K322">
        <f ca="1"/>
        <v>100</v>
      </c>
      <c r="L322" t="str">
        <f ca="1"/>
        <v>75527-0</v>
      </c>
      <c r="M322" t="str">
        <f ca="1"/>
        <v>TURQUOISE HILL RESOURCES</v>
      </c>
      <c r="N322" t="str">
        <f ca="1"/>
        <v>CAD</v>
      </c>
      <c r="O322" t="str">
        <f ca="1"/>
        <v>Equity</v>
      </c>
      <c r="P322" t="str">
        <f ca="1"/>
        <v/>
      </c>
      <c r="Q322" t="str">
        <f ca="1"/>
        <v/>
      </c>
      <c r="R322" t="str">
        <f ca="1"/>
        <v>CA9004352071</v>
      </c>
      <c r="S322" t="str">
        <f ca="1"/>
        <v/>
      </c>
      <c r="T322" t="str">
        <f ca="1"/>
        <v>TRQ CT Equity</v>
      </c>
      <c r="U322">
        <f ca="1">IF(LEFT(_xll.BDP($T322,U$2),4)="#N/A",0,_xll.BDP($T322,U$2))</f>
        <v>0</v>
      </c>
      <c r="V322" t="e">
        <f>_xll.BDP(#REF!,V$2)</f>
        <v>#REF!</v>
      </c>
      <c r="W322" t="e">
        <f>_xll.BDP(#REF!,W$2)</f>
        <v>#REF!</v>
      </c>
      <c r="X322" t="e">
        <f>_xll.BDP(#REF!,X$2)</f>
        <v>#REF!</v>
      </c>
      <c r="Y322" t="e">
        <f>_xll.BDP(#REF!,Y$2)</f>
        <v>#REF!</v>
      </c>
      <c r="Z322" t="e">
        <f>_xll.BDP(#REF!,Z$2)</f>
        <v>#REF!</v>
      </c>
      <c r="AA322" t="e">
        <f>_xll.BDP(#REF!,AA$2)</f>
        <v>#REF!</v>
      </c>
      <c r="AD322">
        <f ca="1">IF(LEFT(_xll.BDP($T322,AD$2),4)="#N/A",-1,_xll.BDP($T322,AD$2))</f>
        <v>327801.3</v>
      </c>
    </row>
    <row r="323" spans="1:30">
      <c r="A323">
        <f ca="1"/>
        <v>149</v>
      </c>
      <c r="B323" t="str">
        <f ca="1"/>
        <v>iW ALTERNATIVE SIF</v>
      </c>
      <c r="C323" t="str">
        <f ca="1"/>
        <v>iW ALTERNATIVE SIF</v>
      </c>
      <c r="D323">
        <f ca="1"/>
        <v>67869</v>
      </c>
      <c r="E323" t="str">
        <f ca="1"/>
        <v>COMMODITIES &amp; GOLD EQUITIES</v>
      </c>
      <c r="F323" t="str">
        <f ca="1"/>
        <v>Commodities &amp; Gold Equities</v>
      </c>
      <c r="G323">
        <f ca="1"/>
        <v>147</v>
      </c>
      <c r="H323" t="str">
        <f ca="1"/>
        <v>Pictet Fund Accounting</v>
      </c>
      <c r="I323" t="str">
        <f ca="1"/>
        <v>17509235-0</v>
      </c>
      <c r="J323" s="50">
        <f ca="1"/>
        <v>44775</v>
      </c>
      <c r="K323">
        <f ca="1"/>
        <v>7172</v>
      </c>
      <c r="L323" t="str">
        <f ca="1"/>
        <v>67969-0</v>
      </c>
      <c r="M323" t="str">
        <f ca="1"/>
        <v>WHEATON PRECIOUS METALS</v>
      </c>
      <c r="N323" t="str">
        <f ca="1"/>
        <v>USD</v>
      </c>
      <c r="O323" t="str">
        <f ca="1"/>
        <v>Equity</v>
      </c>
      <c r="P323" t="str">
        <f ca="1"/>
        <v/>
      </c>
      <c r="Q323" t="str">
        <f ca="1"/>
        <v/>
      </c>
      <c r="R323" t="str">
        <f ca="1"/>
        <v>CA9628791027</v>
      </c>
      <c r="S323" t="str">
        <f ca="1"/>
        <v/>
      </c>
      <c r="T323" t="str">
        <f ca="1"/>
        <v>WPM UN Equity</v>
      </c>
      <c r="U323">
        <f ca="1">IF(LEFT(_xll.BDP($T323,U$2),4)="#N/A",0,_xll.BDP($T323,U$2))</f>
        <v>0</v>
      </c>
      <c r="V323" t="e">
        <f>_xll.BDP(#REF!,V$2)</f>
        <v>#REF!</v>
      </c>
      <c r="W323" t="e">
        <f>_xll.BDP(#REF!,W$2)</f>
        <v>#REF!</v>
      </c>
      <c r="X323" t="e">
        <f>_xll.BDP(#REF!,X$2)</f>
        <v>#REF!</v>
      </c>
      <c r="Y323" t="e">
        <f>_xll.BDP(#REF!,Y$2)</f>
        <v>#REF!</v>
      </c>
      <c r="Z323" t="e">
        <f>_xll.BDP(#REF!,Z$2)</f>
        <v>#REF!</v>
      </c>
      <c r="AA323" t="e">
        <f>_xll.BDP(#REF!,AA$2)</f>
        <v>#REF!</v>
      </c>
      <c r="AD323">
        <f ca="1">IF(LEFT(_xll.BDP($T323,AD$2),4)="#N/A",-1,_xll.BDP($T323,AD$2))</f>
        <v>649176.125</v>
      </c>
    </row>
    <row r="324" spans="1:30">
      <c r="A324">
        <f ca="1"/>
        <v>149</v>
      </c>
      <c r="B324" t="str">
        <f ca="1"/>
        <v>iW ALTERNATIVE SIF</v>
      </c>
      <c r="C324" t="str">
        <f ca="1"/>
        <v>iW ALTERNATIVE SIF</v>
      </c>
      <c r="D324">
        <f ca="1"/>
        <v>67869</v>
      </c>
      <c r="E324" t="str">
        <f ca="1"/>
        <v>COMMODITIES &amp; GOLD EQUITIES</v>
      </c>
      <c r="F324" t="str">
        <f ca="1"/>
        <v>Commodities &amp; Gold Equities</v>
      </c>
      <c r="G324">
        <f ca="1"/>
        <v>147</v>
      </c>
      <c r="H324" t="str">
        <f ca="1"/>
        <v>Pictet Fund Accounting</v>
      </c>
      <c r="I324" t="str">
        <f ca="1"/>
        <v>17509204-0</v>
      </c>
      <c r="J324" s="50">
        <f ca="1"/>
        <v>44775</v>
      </c>
      <c r="K324">
        <f ca="1"/>
        <v>7399</v>
      </c>
      <c r="L324" t="str">
        <f ca="1"/>
        <v>67951-0</v>
      </c>
      <c r="M324" t="str">
        <f ca="1"/>
        <v>XTRA-GOLD RESOURCES</v>
      </c>
      <c r="N324" t="str">
        <f ca="1"/>
        <v>USD</v>
      </c>
      <c r="O324" t="str">
        <f ca="1"/>
        <v>Equity</v>
      </c>
      <c r="P324" t="str">
        <f ca="1"/>
        <v/>
      </c>
      <c r="Q324" t="str">
        <f ca="1"/>
        <v/>
      </c>
      <c r="R324" t="str">
        <f ca="1"/>
        <v>VGG9829R1038</v>
      </c>
      <c r="S324" t="str">
        <f ca="1"/>
        <v/>
      </c>
      <c r="T324" t="str">
        <f ca="1"/>
        <v>XTGRF UV Equity</v>
      </c>
      <c r="U324">
        <f ca="1">IF(LEFT(_xll.BDP($T324,U$2),4)="#N/A",0,_xll.BDP($T324,U$2))</f>
        <v>0</v>
      </c>
      <c r="V324" t="e">
        <f>_xll.BDP(#REF!,V$2)</f>
        <v>#REF!</v>
      </c>
      <c r="W324" t="e">
        <f>_xll.BDP(#REF!,W$2)</f>
        <v>#REF!</v>
      </c>
      <c r="X324" t="e">
        <f>_xll.BDP(#REF!,X$2)</f>
        <v>#REF!</v>
      </c>
      <c r="Y324" t="e">
        <f>_xll.BDP(#REF!,Y$2)</f>
        <v>#REF!</v>
      </c>
      <c r="Z324" t="e">
        <f>_xll.BDP(#REF!,Z$2)</f>
        <v>#REF!</v>
      </c>
      <c r="AA324" t="e">
        <f>_xll.BDP(#REF!,AA$2)</f>
        <v>#REF!</v>
      </c>
      <c r="AD324">
        <f ca="1">IF(LEFT(_xll.BDP($T324,AD$2),4)="#N/A",-1,_xll.BDP($T324,AD$2))</f>
        <v>4843</v>
      </c>
    </row>
    <row r="325" spans="1:30">
      <c r="A325">
        <f ca="1"/>
        <v>149</v>
      </c>
      <c r="B325" t="str">
        <f ca="1"/>
        <v>iW ALTERNATIVE SIF</v>
      </c>
      <c r="C325" t="str">
        <f ca="1"/>
        <v>iW ALTERNATIVE SIF</v>
      </c>
      <c r="D325">
        <f ca="1"/>
        <v>67869</v>
      </c>
      <c r="E325" t="str">
        <f ca="1"/>
        <v>COMMODITIES &amp; GOLD EQUITIES</v>
      </c>
      <c r="F325" t="str">
        <f ca="1"/>
        <v>Commodities &amp; Gold Equities</v>
      </c>
      <c r="G325">
        <f ca="1"/>
        <v>147</v>
      </c>
      <c r="H325" t="str">
        <f ca="1"/>
        <v>Pictet Fund Accounting</v>
      </c>
      <c r="I325" t="str">
        <f ca="1"/>
        <v>17509170-0</v>
      </c>
      <c r="J325" s="50">
        <f ca="1"/>
        <v>44775</v>
      </c>
      <c r="K325">
        <f ca="1"/>
        <v>61375</v>
      </c>
      <c r="L325" t="str">
        <f ca="1"/>
        <v>67923-0</v>
      </c>
      <c r="M325" t="str">
        <f ca="1"/>
        <v>YAMANA GOLD</v>
      </c>
      <c r="N325" t="str">
        <f ca="1"/>
        <v>CAD</v>
      </c>
      <c r="O325" t="str">
        <f ca="1"/>
        <v>Equity</v>
      </c>
      <c r="P325" t="str">
        <f ca="1"/>
        <v/>
      </c>
      <c r="Q325" t="str">
        <f ca="1"/>
        <v/>
      </c>
      <c r="R325" t="str">
        <f ca="1"/>
        <v>CA98462Y1007</v>
      </c>
      <c r="S325" t="str">
        <f ca="1"/>
        <v/>
      </c>
      <c r="T325" t="str">
        <f ca="1"/>
        <v>YRI CT Equity</v>
      </c>
      <c r="U325">
        <f ca="1">IF(LEFT(_xll.BDP($T325,U$2),4)="#N/A",0,_xll.BDP($T325,U$2))</f>
        <v>0</v>
      </c>
      <c r="V325" t="e">
        <f>_xll.BDP(#REF!,V$2)</f>
        <v>#REF!</v>
      </c>
      <c r="W325" t="e">
        <f>_xll.BDP(#REF!,W$2)</f>
        <v>#REF!</v>
      </c>
      <c r="X325" t="e">
        <f>_xll.BDP(#REF!,X$2)</f>
        <v>#REF!</v>
      </c>
      <c r="Y325" t="e">
        <f>_xll.BDP(#REF!,Y$2)</f>
        <v>#REF!</v>
      </c>
      <c r="Z325" t="e">
        <f>_xll.BDP(#REF!,Z$2)</f>
        <v>#REF!</v>
      </c>
      <c r="AA325" t="e">
        <f>_xll.BDP(#REF!,AA$2)</f>
        <v>#REF!</v>
      </c>
      <c r="AD325">
        <f ca="1">IF(LEFT(_xll.BDP($T325,AD$2),4)="#N/A",-1,_xll.BDP($T325,AD$2))</f>
        <v>1781949</v>
      </c>
    </row>
    <row r="326" spans="1:30">
      <c r="A326">
        <f ca="1"/>
        <v>149</v>
      </c>
      <c r="B326" t="str">
        <f ca="1"/>
        <v>iW ALTERNATIVE SIF</v>
      </c>
      <c r="C326" t="str">
        <f ca="1"/>
        <v>iW ALTERNATIVE SIF</v>
      </c>
      <c r="D326">
        <f ca="1"/>
        <v>67869</v>
      </c>
      <c r="E326" t="str">
        <f ca="1"/>
        <v>COMMODITIES &amp; GOLD EQUITIES</v>
      </c>
      <c r="F326" t="str">
        <f ca="1"/>
        <v>Commodities &amp; Gold Equities</v>
      </c>
      <c r="G326">
        <f ca="1"/>
        <v>147</v>
      </c>
      <c r="H326" t="str">
        <f ca="1"/>
        <v>Pictet Fund Accounting</v>
      </c>
      <c r="I326" t="str">
        <f ca="1"/>
        <v>17509272-0</v>
      </c>
      <c r="J326" s="50">
        <f ca="1"/>
        <v>44775</v>
      </c>
      <c r="K326">
        <f ca="1"/>
        <v>58625</v>
      </c>
      <c r="L326" t="str">
        <f ca="1"/>
        <v>68001-0</v>
      </c>
      <c r="M326" t="str">
        <f ca="1"/>
        <v>YAMANA GOLD</v>
      </c>
      <c r="N326" t="str">
        <f ca="1"/>
        <v>USD</v>
      </c>
      <c r="O326" t="str">
        <f ca="1"/>
        <v>Equity</v>
      </c>
      <c r="P326" t="str">
        <f ca="1"/>
        <v/>
      </c>
      <c r="Q326" t="str">
        <f ca="1"/>
        <v/>
      </c>
      <c r="R326" t="str">
        <f ca="1"/>
        <v>CA98462Y1007</v>
      </c>
      <c r="S326" t="str">
        <f ca="1"/>
        <v/>
      </c>
      <c r="T326" t="str">
        <f ca="1"/>
        <v>AUY UN Equity</v>
      </c>
      <c r="U326">
        <f ca="1">IF(LEFT(_xll.BDP($T326,U$2),4)="#N/A",0,_xll.BDP($T326,U$2))</f>
        <v>0</v>
      </c>
      <c r="V326" t="e">
        <f>_xll.BDP(#REF!,V$2)</f>
        <v>#REF!</v>
      </c>
      <c r="W326" t="e">
        <f>_xll.BDP(#REF!,W$2)</f>
        <v>#REF!</v>
      </c>
      <c r="X326" t="e">
        <f>_xll.BDP(#REF!,X$2)</f>
        <v>#REF!</v>
      </c>
      <c r="Y326" t="e">
        <f>_xll.BDP(#REF!,Y$2)</f>
        <v>#REF!</v>
      </c>
      <c r="Z326" t="e">
        <f>_xll.BDP(#REF!,Z$2)</f>
        <v>#REF!</v>
      </c>
      <c r="AA326" t="e">
        <f>_xll.BDP(#REF!,AA$2)</f>
        <v>#REF!</v>
      </c>
      <c r="AD326">
        <f ca="1">IF(LEFT(_xll.BDP($T326,AD$2),4)="#N/A",-1,_xll.BDP($T326,AD$2))</f>
        <v>1607538.5</v>
      </c>
    </row>
    <row r="327" spans="1:30">
      <c r="A327">
        <f ca="1"/>
        <v>149</v>
      </c>
      <c r="B327" t="str">
        <f ca="1"/>
        <v>iW ALTERNATIVE SIF</v>
      </c>
      <c r="C327" t="str">
        <f ca="1"/>
        <v>iW ALTERNATIVE SIF</v>
      </c>
      <c r="D327">
        <f ca="1"/>
        <v>67869</v>
      </c>
      <c r="E327" t="str">
        <f ca="1"/>
        <v>COMMODITIES &amp; GOLD EQUITIES</v>
      </c>
      <c r="F327" t="str">
        <f ca="1"/>
        <v>Commodities &amp; Gold Equities</v>
      </c>
      <c r="G327">
        <f ca="1"/>
        <v>147</v>
      </c>
      <c r="H327" t="str">
        <f ca="1"/>
        <v>Pictet Fund Accounting</v>
      </c>
      <c r="I327" t="str">
        <f ca="1"/>
        <v>17509254-0</v>
      </c>
      <c r="J327" s="50">
        <f ca="1"/>
        <v>44775</v>
      </c>
      <c r="K327">
        <f ca="1"/>
        <v>1666</v>
      </c>
      <c r="L327" t="str">
        <f ca="1"/>
        <v>67985-0</v>
      </c>
      <c r="M327" t="str">
        <f ca="1"/>
        <v>BMO JUNIOR GOLD INDEX ETF TR.UNITS</v>
      </c>
      <c r="N327" t="str">
        <f ca="1"/>
        <v>CAD</v>
      </c>
      <c r="O327" t="str">
        <f ca="1"/>
        <v>Exchange-traded Fund</v>
      </c>
      <c r="P327" t="str">
        <f ca="1"/>
        <v/>
      </c>
      <c r="Q327" t="str">
        <f ca="1"/>
        <v/>
      </c>
      <c r="R327" t="str">
        <f ca="1"/>
        <v>CA05571L3092</v>
      </c>
      <c r="S327" t="str">
        <f ca="1"/>
        <v/>
      </c>
      <c r="T327" t="str">
        <f ca="1"/>
        <v>ZJG CN Equity</v>
      </c>
      <c r="U327">
        <f ca="1">IF(LEFT(_xll.BDP($T327,U$2),4)="#N/A",0,_xll.BDP($T327,U$2))</f>
        <v>0</v>
      </c>
      <c r="V327" t="e">
        <f>_xll.BDP(#REF!,V$2)</f>
        <v>#REF!</v>
      </c>
      <c r="W327" t="e">
        <f>_xll.BDP(#REF!,W$2)</f>
        <v>#REF!</v>
      </c>
      <c r="X327" t="e">
        <f>_xll.BDP(#REF!,X$2)</f>
        <v>#REF!</v>
      </c>
      <c r="Y327" t="e">
        <f>_xll.BDP(#REF!,Y$2)</f>
        <v>#REF!</v>
      </c>
      <c r="Z327" t="e">
        <f>_xll.BDP(#REF!,Z$2)</f>
        <v>#REF!</v>
      </c>
      <c r="AA327" t="e">
        <f>_xll.BDP(#REF!,AA$2)</f>
        <v>#REF!</v>
      </c>
      <c r="AD327">
        <f ca="1">IF(LEFT(_xll.BDP($T327,AD$2),4)="#N/A",-1,_xll.BDP($T327,AD$2))</f>
        <v>6480.25</v>
      </c>
    </row>
    <row r="328" spans="1:30">
      <c r="A328">
        <f ca="1"/>
        <v>149</v>
      </c>
      <c r="B328" t="str">
        <f ca="1"/>
        <v>iW ALTERNATIVE SIF</v>
      </c>
      <c r="C328" t="str">
        <f ca="1"/>
        <v>iW ALTERNATIVE SIF</v>
      </c>
      <c r="D328">
        <f ca="1"/>
        <v>67869</v>
      </c>
      <c r="E328" t="str">
        <f ca="1"/>
        <v>COMMODITIES &amp; GOLD EQUITIES</v>
      </c>
      <c r="F328" t="str">
        <f ca="1"/>
        <v>Commodities &amp; Gold Equities</v>
      </c>
      <c r="G328">
        <f ca="1"/>
        <v>147</v>
      </c>
      <c r="H328" t="str">
        <f ca="1"/>
        <v>Pictet Fund Accounting</v>
      </c>
      <c r="I328" t="str">
        <f ca="1"/>
        <v>17509162-0</v>
      </c>
      <c r="J328" s="50">
        <f ca="1"/>
        <v>44775</v>
      </c>
      <c r="K328">
        <f ca="1"/>
        <v>55000</v>
      </c>
      <c r="L328" t="str">
        <f ca="1"/>
        <v>67912-0</v>
      </c>
      <c r="M328" t="str">
        <f ca="1"/>
        <v>ETF MAN.TRUST PRIME JUNIOR SILV.USD</v>
      </c>
      <c r="N328" t="str">
        <f ca="1"/>
        <v>USD</v>
      </c>
      <c r="O328" t="str">
        <f ca="1"/>
        <v>Exchange-traded Fund</v>
      </c>
      <c r="P328" t="str">
        <f ca="1"/>
        <v/>
      </c>
      <c r="Q328" t="str">
        <f ca="1"/>
        <v/>
      </c>
      <c r="R328" t="str">
        <f ca="1"/>
        <v>US26924G1022</v>
      </c>
      <c r="S328" t="str">
        <f ca="1"/>
        <v/>
      </c>
      <c r="T328" t="str">
        <f ca="1"/>
        <v>SILJ UP Equity</v>
      </c>
      <c r="U328">
        <f ca="1">IF(LEFT(_xll.BDP($T328,U$2),4)="#N/A",0,_xll.BDP($T328,U$2))</f>
        <v>0</v>
      </c>
      <c r="V328" t="e">
        <f>_xll.BDP(#REF!,V$2)</f>
        <v>#REF!</v>
      </c>
      <c r="W328" t="e">
        <f>_xll.BDP(#REF!,W$2)</f>
        <v>#REF!</v>
      </c>
      <c r="X328" t="e">
        <f>_xll.BDP(#REF!,X$2)</f>
        <v>#REF!</v>
      </c>
      <c r="Y328" t="e">
        <f>_xll.BDP(#REF!,Y$2)</f>
        <v>#REF!</v>
      </c>
      <c r="Z328" t="e">
        <f>_xll.BDP(#REF!,Z$2)</f>
        <v>#REF!</v>
      </c>
      <c r="AA328" t="e">
        <f>_xll.BDP(#REF!,AA$2)</f>
        <v>#REF!</v>
      </c>
      <c r="AD328">
        <f ca="1">IF(LEFT(_xll.BDP($T328,AD$2),4)="#N/A",-1,_xll.BDP($T328,AD$2))</f>
        <v>247098.953125</v>
      </c>
    </row>
    <row r="329" spans="1:30">
      <c r="A329">
        <f ca="1"/>
        <v>149</v>
      </c>
      <c r="B329" t="str">
        <f ca="1"/>
        <v>iW ALTERNATIVE SIF</v>
      </c>
      <c r="C329" t="str">
        <f ca="1"/>
        <v>iW ALTERNATIVE SIF</v>
      </c>
      <c r="D329">
        <f ca="1"/>
        <v>67869</v>
      </c>
      <c r="E329" t="str">
        <f ca="1"/>
        <v>COMMODITIES &amp; GOLD EQUITIES</v>
      </c>
      <c r="F329" t="str">
        <f ca="1"/>
        <v>Commodities &amp; Gold Equities</v>
      </c>
      <c r="G329">
        <f ca="1"/>
        <v>147</v>
      </c>
      <c r="H329" t="str">
        <f ca="1"/>
        <v>Pictet Fund Accounting</v>
      </c>
      <c r="I329" t="str">
        <f ca="1"/>
        <v>17509160-0</v>
      </c>
      <c r="J329" s="50">
        <f ca="1"/>
        <v>44775</v>
      </c>
      <c r="K329">
        <f ca="1"/>
        <v>3484.076</v>
      </c>
      <c r="L329" t="str">
        <f ca="1"/>
        <v>139771-0</v>
      </c>
      <c r="M329" t="str">
        <f ca="1"/>
        <v>PROTEA II-IW PR.M.MIN.EQ.P2 EUR-ACC</v>
      </c>
      <c r="N329" t="str">
        <f ca="1"/>
        <v>EUR</v>
      </c>
      <c r="O329" t="str">
        <f ca="1"/>
        <v>Investment Fund</v>
      </c>
      <c r="P329" t="str">
        <f ca="1"/>
        <v/>
      </c>
      <c r="Q329" t="str">
        <f ca="1"/>
        <v/>
      </c>
      <c r="R329" t="str">
        <f ca="1"/>
        <v>LU1726320929</v>
      </c>
      <c r="S329" t="str">
        <f ca="1"/>
        <v/>
      </c>
      <c r="T329" t="str">
        <f ca="1"/>
        <v>PMMP2EC LX Equity</v>
      </c>
      <c r="U329">
        <f ca="1">IF(LEFT(_xll.BDP($T329,U$2),4)="#N/A",0,_xll.BDP($T329,U$2))</f>
        <v>0</v>
      </c>
      <c r="V329" t="e">
        <f>_xll.BDP(#REF!,V$2)</f>
        <v>#REF!</v>
      </c>
      <c r="W329" t="e">
        <f>_xll.BDP(#REF!,W$2)</f>
        <v>#REF!</v>
      </c>
      <c r="X329" t="e">
        <f>_xll.BDP(#REF!,X$2)</f>
        <v>#REF!</v>
      </c>
      <c r="Y329" t="e">
        <f>_xll.BDP(#REF!,Y$2)</f>
        <v>#REF!</v>
      </c>
      <c r="Z329" t="e">
        <f>_xll.BDP(#REF!,Z$2)</f>
        <v>#REF!</v>
      </c>
      <c r="AA329" t="e">
        <f>_xll.BDP(#REF!,AA$2)</f>
        <v>#REF!</v>
      </c>
      <c r="AD329">
        <f ca="1">IF(LEFT(_xll.BDP($T329,AD$2),4)="#N/A",-1,_xll.BDP($T329,AD$2))</f>
        <v>-1</v>
      </c>
    </row>
    <row r="330" spans="1:30">
      <c r="A330">
        <f ca="1"/>
        <v>149</v>
      </c>
      <c r="B330" t="str">
        <f ca="1"/>
        <v>iW ALTERNATIVE SIF</v>
      </c>
      <c r="C330" t="str">
        <f ca="1"/>
        <v>iW ALTERNATIVE SIF</v>
      </c>
      <c r="D330">
        <f ca="1"/>
        <v>67869</v>
      </c>
      <c r="E330" t="str">
        <f ca="1"/>
        <v>COMMODITIES &amp; GOLD EQUITIES</v>
      </c>
      <c r="F330" t="str">
        <f ca="1"/>
        <v>Commodities &amp; Gold Equities</v>
      </c>
      <c r="G330">
        <f ca="1"/>
        <v>147</v>
      </c>
      <c r="H330" t="str">
        <f ca="1"/>
        <v>Pictet Fund Accounting</v>
      </c>
      <c r="I330" t="str">
        <f ca="1"/>
        <v>17509167-0</v>
      </c>
      <c r="J330" s="50">
        <f ca="1"/>
        <v>44775</v>
      </c>
      <c r="K330">
        <f ca="1"/>
        <v>139536.39217000001</v>
      </c>
      <c r="L330" t="str">
        <f ca="1"/>
        <v>67921-0</v>
      </c>
      <c r="M330" t="str">
        <f ca="1"/>
        <v>PROTEA II-IW PR.M.MIN.EQ.S1 EUR-ACC</v>
      </c>
      <c r="N330" t="str">
        <f ca="1"/>
        <v>EUR</v>
      </c>
      <c r="O330" t="str">
        <f ca="1"/>
        <v>Investment Fund</v>
      </c>
      <c r="P330" t="str">
        <f ca="1"/>
        <v/>
      </c>
      <c r="Q330" t="str">
        <f ca="1"/>
        <v/>
      </c>
      <c r="R330" t="str">
        <f ca="1"/>
        <v>LU1726319756</v>
      </c>
      <c r="S330" t="str">
        <f ca="1"/>
        <v/>
      </c>
      <c r="T330" t="str">
        <f ca="1"/>
        <v>PMMS1EC LX Equity</v>
      </c>
      <c r="U330">
        <f ca="1">IF(LEFT(_xll.BDP($T330,U$2),4)="#N/A",0,_xll.BDP($T330,U$2))</f>
        <v>0</v>
      </c>
      <c r="V330" t="e">
        <f>_xll.BDP(#REF!,V$2)</f>
        <v>#REF!</v>
      </c>
      <c r="W330" t="e">
        <f>_xll.BDP(#REF!,W$2)</f>
        <v>#REF!</v>
      </c>
      <c r="X330" t="e">
        <f>_xll.BDP(#REF!,X$2)</f>
        <v>#REF!</v>
      </c>
      <c r="Y330" t="e">
        <f>_xll.BDP(#REF!,Y$2)</f>
        <v>#REF!</v>
      </c>
      <c r="Z330" t="e">
        <f>_xll.BDP(#REF!,Z$2)</f>
        <v>#REF!</v>
      </c>
      <c r="AA330" t="e">
        <f>_xll.BDP(#REF!,AA$2)</f>
        <v>#REF!</v>
      </c>
      <c r="AD330">
        <f ca="1">IF(LEFT(_xll.BDP($T330,AD$2),4)="#N/A",-1,_xll.BDP($T330,AD$2))</f>
        <v>-1</v>
      </c>
    </row>
    <row r="331" spans="1:30">
      <c r="A331">
        <f ca="1"/>
        <v>149</v>
      </c>
      <c r="B331" t="str">
        <f ca="1"/>
        <v>iW ALTERNATIVE SIF</v>
      </c>
      <c r="C331" t="str">
        <f ca="1"/>
        <v>iW ALTERNATIVE SIF</v>
      </c>
      <c r="D331">
        <f ca="1"/>
        <v>67869</v>
      </c>
      <c r="E331" t="str">
        <f ca="1"/>
        <v>COMMODITIES &amp; GOLD EQUITIES</v>
      </c>
      <c r="F331" t="str">
        <f ca="1"/>
        <v>Commodities &amp; Gold Equities</v>
      </c>
      <c r="G331">
        <f ca="1"/>
        <v>147</v>
      </c>
      <c r="H331" t="str">
        <f ca="1"/>
        <v>Pictet Fund Accounting</v>
      </c>
      <c r="I331" t="str">
        <f ca="1"/>
        <v>17509189-0</v>
      </c>
      <c r="J331" s="50">
        <f ca="1"/>
        <v>44775</v>
      </c>
      <c r="K331">
        <f ca="1"/>
        <v>-180</v>
      </c>
      <c r="L331" t="str">
        <f ca="1"/>
        <v>137159-0</v>
      </c>
      <c r="M331" t="str">
        <f ca="1"/>
        <v>PUT AGNICO EAGLE MINES</v>
      </c>
      <c r="N331" t="str">
        <f ca="1"/>
        <v>USD</v>
      </c>
      <c r="O331" t="str">
        <f ca="1"/>
        <v>Stock Option</v>
      </c>
      <c r="P331" t="str">
        <f ca="1"/>
        <v/>
      </c>
      <c r="Q331" t="str">
        <f ca="1"/>
        <v/>
      </c>
      <c r="R331" t="str">
        <f ca="1"/>
        <v>ZZ00AB44L3 0</v>
      </c>
      <c r="S331" t="str">
        <f ca="1"/>
        <v/>
      </c>
      <c r="T331" t="str">
        <f ca="1"/>
        <v>AEM1 US 01/20/23 P45 Equity</v>
      </c>
      <c r="U331">
        <f ca="1">IF(LEFT(_xll.BDP($T331,U$2),4)="#N/A",0,_xll.BDP($T331,U$2))</f>
        <v>0</v>
      </c>
      <c r="V331" t="e">
        <f>_xll.BDP(#REF!,V$2)</f>
        <v>#REF!</v>
      </c>
      <c r="W331" t="e">
        <f>_xll.BDP(#REF!,W$2)</f>
        <v>#REF!</v>
      </c>
      <c r="X331" t="e">
        <f>_xll.BDP(#REF!,X$2)</f>
        <v>#REF!</v>
      </c>
      <c r="Y331" t="e">
        <f>_xll.BDP(#REF!,Y$2)</f>
        <v>#REF!</v>
      </c>
      <c r="Z331" t="e">
        <f>_xll.BDP(#REF!,Z$2)</f>
        <v>#REF!</v>
      </c>
      <c r="AA331" t="e">
        <f>_xll.BDP(#REF!,AA$2)</f>
        <v>#REF!</v>
      </c>
      <c r="AD331">
        <f ca="1">IF(LEFT(_xll.BDP($T331,AD$2),4)="#N/A",-1,_xll.BDP($T331,AD$2))</f>
        <v>-1</v>
      </c>
    </row>
    <row r="332" spans="1:30">
      <c r="A332">
        <f ca="1"/>
        <v>149</v>
      </c>
      <c r="B332" t="str">
        <f ca="1"/>
        <v>iW ALTERNATIVE SIF</v>
      </c>
      <c r="C332" t="str">
        <f ca="1"/>
        <v>iW ALTERNATIVE SIF</v>
      </c>
      <c r="D332">
        <f ca="1"/>
        <v>67869</v>
      </c>
      <c r="E332" t="str">
        <f ca="1"/>
        <v>COMMODITIES &amp; GOLD EQUITIES</v>
      </c>
      <c r="F332" t="str">
        <f ca="1"/>
        <v>Commodities &amp; Gold Equities</v>
      </c>
      <c r="G332">
        <f ca="1"/>
        <v>147</v>
      </c>
      <c r="H332" t="str">
        <f ca="1"/>
        <v>Pictet Fund Accounting</v>
      </c>
      <c r="I332" t="str">
        <f ca="1"/>
        <v>17509229-0</v>
      </c>
      <c r="J332" s="50">
        <f ca="1"/>
        <v>44775</v>
      </c>
      <c r="K332">
        <f ca="1"/>
        <v>-120</v>
      </c>
      <c r="L332" t="str">
        <f ca="1"/>
        <v>154959-0</v>
      </c>
      <c r="M332" t="str">
        <f ca="1"/>
        <v>PUT GOLD FIELDS</v>
      </c>
      <c r="N332" t="str">
        <f ca="1"/>
        <v>USD</v>
      </c>
      <c r="O332" t="str">
        <f ca="1"/>
        <v>Stock Option</v>
      </c>
      <c r="P332" t="str">
        <f ca="1"/>
        <v/>
      </c>
      <c r="Q332" t="str">
        <f ca="1"/>
        <v/>
      </c>
      <c r="R332" t="str">
        <f ca="1"/>
        <v>ZZ00AB4OXY 0</v>
      </c>
      <c r="S332" t="str">
        <f ca="1"/>
        <v/>
      </c>
      <c r="T332" t="str">
        <f ca="1"/>
        <v>GFI US 10/21/22 P13 Equity</v>
      </c>
      <c r="U332">
        <f ca="1">IF(LEFT(_xll.BDP($T332,U$2),4)="#N/A",0,_xll.BDP($T332,U$2))</f>
        <v>0</v>
      </c>
      <c r="V332" t="e">
        <f>_xll.BDP(#REF!,V$2)</f>
        <v>#REF!</v>
      </c>
      <c r="W332" t="e">
        <f>_xll.BDP(#REF!,W$2)</f>
        <v>#REF!</v>
      </c>
      <c r="X332" t="e">
        <f>_xll.BDP(#REF!,X$2)</f>
        <v>#REF!</v>
      </c>
      <c r="Y332" t="e">
        <f>_xll.BDP(#REF!,Y$2)</f>
        <v>#REF!</v>
      </c>
      <c r="Z332" t="e">
        <f>_xll.BDP(#REF!,Z$2)</f>
        <v>#REF!</v>
      </c>
      <c r="AA332" t="e">
        <f>_xll.BDP(#REF!,AA$2)</f>
        <v>#REF!</v>
      </c>
      <c r="AD332">
        <f ca="1">IF(LEFT(_xll.BDP($T332,AD$2),4)="#N/A",-1,_xll.BDP($T332,AD$2))</f>
        <v>-1</v>
      </c>
    </row>
    <row r="333" spans="1:30">
      <c r="A333">
        <f ca="1"/>
        <v>149</v>
      </c>
      <c r="B333" t="str">
        <f ca="1"/>
        <v>iW ALTERNATIVE SIF</v>
      </c>
      <c r="C333" t="str">
        <f ca="1"/>
        <v>iW ALTERNATIVE SIF</v>
      </c>
      <c r="D333">
        <f ca="1"/>
        <v>67869</v>
      </c>
      <c r="E333" t="str">
        <f ca="1"/>
        <v>COMMODITIES &amp; GOLD EQUITIES</v>
      </c>
      <c r="F333" t="str">
        <f ca="1"/>
        <v>Commodities &amp; Gold Equities</v>
      </c>
      <c r="G333">
        <f ca="1"/>
        <v>147</v>
      </c>
      <c r="H333" t="str">
        <f ca="1"/>
        <v>Pictet Fund Accounting</v>
      </c>
      <c r="I333" t="str">
        <f ca="1"/>
        <v>17509258-0</v>
      </c>
      <c r="J333" s="50">
        <f ca="1"/>
        <v>44775</v>
      </c>
      <c r="K333">
        <f ca="1"/>
        <v>-697</v>
      </c>
      <c r="L333" t="str">
        <f ca="1"/>
        <v>136482-0</v>
      </c>
      <c r="M333" t="str">
        <f ca="1"/>
        <v>PUT HARMONY GOLD MINING -ADR SPONS.-</v>
      </c>
      <c r="N333" t="str">
        <f ca="1"/>
        <v>USD</v>
      </c>
      <c r="O333" t="str">
        <f ca="1"/>
        <v>Stock Option</v>
      </c>
      <c r="P333" t="str">
        <f ca="1"/>
        <v/>
      </c>
      <c r="Q333" t="str">
        <f ca="1"/>
        <v/>
      </c>
      <c r="R333" t="str">
        <f ca="1"/>
        <v>ZZ00AB42JJ 0</v>
      </c>
      <c r="S333" t="str">
        <f ca="1"/>
        <v/>
      </c>
      <c r="T333" t="str">
        <f ca="1"/>
        <v>HMY US 08/19/22 P5 Equity</v>
      </c>
      <c r="U333">
        <f ca="1">IF(LEFT(_xll.BDP($T333,U$2),4)="#N/A",0,_xll.BDP($T333,U$2))</f>
        <v>0</v>
      </c>
      <c r="V333" t="e">
        <f>_xll.BDP(#REF!,V$2)</f>
        <v>#REF!</v>
      </c>
      <c r="W333" t="e">
        <f>_xll.BDP(#REF!,W$2)</f>
        <v>#REF!</v>
      </c>
      <c r="X333" t="e">
        <f>_xll.BDP(#REF!,X$2)</f>
        <v>#REF!</v>
      </c>
      <c r="Y333" t="e">
        <f>_xll.BDP(#REF!,Y$2)</f>
        <v>#REF!</v>
      </c>
      <c r="Z333" t="e">
        <f>_xll.BDP(#REF!,Z$2)</f>
        <v>#REF!</v>
      </c>
      <c r="AA333" t="e">
        <f>_xll.BDP(#REF!,AA$2)</f>
        <v>#REF!</v>
      </c>
      <c r="AD333">
        <f ca="1">IF(LEFT(_xll.BDP($T333,AD$2),4)="#N/A",-1,_xll.BDP($T333,AD$2))</f>
        <v>-1</v>
      </c>
    </row>
    <row r="334" spans="1:30">
      <c r="A334">
        <f ca="1"/>
        <v>149</v>
      </c>
      <c r="B334" t="str">
        <f ca="1"/>
        <v>iW ALTERNATIVE SIF</v>
      </c>
      <c r="C334" t="str">
        <f ca="1"/>
        <v>iW ALTERNATIVE SIF</v>
      </c>
      <c r="D334">
        <f ca="1"/>
        <v>67869</v>
      </c>
      <c r="E334" t="str">
        <f ca="1"/>
        <v>COMMODITIES &amp; GOLD EQUITIES</v>
      </c>
      <c r="F334" t="str">
        <f ca="1"/>
        <v>Commodities &amp; Gold Equities</v>
      </c>
      <c r="G334">
        <f ca="1"/>
        <v>147</v>
      </c>
      <c r="H334" t="str">
        <f ca="1"/>
        <v>Pictet Fund Accounting</v>
      </c>
      <c r="I334" t="str">
        <f ca="1"/>
        <v>17509255-0</v>
      </c>
      <c r="J334" s="50">
        <f ca="1"/>
        <v>44775</v>
      </c>
      <c r="K334">
        <f ca="1"/>
        <v>-150</v>
      </c>
      <c r="L334" t="str">
        <f ca="1"/>
        <v>135202-0</v>
      </c>
      <c r="M334" t="str">
        <f ca="1"/>
        <v>PUT NEWMONT CORP</v>
      </c>
      <c r="N334" t="str">
        <f ca="1"/>
        <v>USD</v>
      </c>
      <c r="O334" t="str">
        <f ca="1"/>
        <v>Stock Option</v>
      </c>
      <c r="P334" t="str">
        <f ca="1"/>
        <v/>
      </c>
      <c r="Q334" t="str">
        <f ca="1"/>
        <v/>
      </c>
      <c r="R334" t="str">
        <f ca="1"/>
        <v>ZZ00AB40BE 0</v>
      </c>
      <c r="S334" t="str">
        <f ca="1"/>
        <v/>
      </c>
      <c r="T334" t="str">
        <f ca="1"/>
        <v>NEM US 01/20/23 P65 Equity</v>
      </c>
      <c r="U334">
        <f ca="1">IF(LEFT(_xll.BDP($T334,U$2),4)="#N/A",0,_xll.BDP($T334,U$2))</f>
        <v>0</v>
      </c>
      <c r="V334" t="e">
        <f>_xll.BDP(#REF!,V$2)</f>
        <v>#REF!</v>
      </c>
      <c r="W334" t="e">
        <f>_xll.BDP(#REF!,W$2)</f>
        <v>#REF!</v>
      </c>
      <c r="X334" t="e">
        <f>_xll.BDP(#REF!,X$2)</f>
        <v>#REF!</v>
      </c>
      <c r="Y334" t="e">
        <f>_xll.BDP(#REF!,Y$2)</f>
        <v>#REF!</v>
      </c>
      <c r="Z334" t="e">
        <f>_xll.BDP(#REF!,Z$2)</f>
        <v>#REF!</v>
      </c>
      <c r="AA334" t="e">
        <f>_xll.BDP(#REF!,AA$2)</f>
        <v>#REF!</v>
      </c>
      <c r="AD334">
        <f ca="1">IF(LEFT(_xll.BDP($T334,AD$2),4)="#N/A",-1,_xll.BDP($T334,AD$2))</f>
        <v>-1</v>
      </c>
    </row>
    <row r="335" spans="1:30">
      <c r="A335">
        <f ca="1"/>
        <v>149</v>
      </c>
      <c r="B335" t="str">
        <f ca="1"/>
        <v>iW ALTERNATIVE SIF</v>
      </c>
      <c r="C335" t="str">
        <f ca="1"/>
        <v>iW ALTERNATIVE SIF</v>
      </c>
      <c r="D335">
        <f ca="1"/>
        <v>67869</v>
      </c>
      <c r="E335" t="str">
        <f ca="1"/>
        <v>COMMODITIES &amp; GOLD EQUITIES</v>
      </c>
      <c r="F335" t="str">
        <f ca="1"/>
        <v>Commodities &amp; Gold Equities</v>
      </c>
      <c r="G335">
        <f ca="1"/>
        <v>147</v>
      </c>
      <c r="H335" t="str">
        <f ca="1"/>
        <v>Pictet Fund Accounting</v>
      </c>
      <c r="I335" t="str">
        <f ca="1"/>
        <v>17509182-0</v>
      </c>
      <c r="J335" s="50">
        <f ca="1"/>
        <v>44775</v>
      </c>
      <c r="K335">
        <f ca="1"/>
        <v>-300</v>
      </c>
      <c r="L335" t="str">
        <f ca="1"/>
        <v>115007-0</v>
      </c>
      <c r="M335" t="str">
        <f ca="1"/>
        <v>PUT PAN AMERICAN SILVER</v>
      </c>
      <c r="N335" t="str">
        <f ca="1"/>
        <v>USD</v>
      </c>
      <c r="O335" t="str">
        <f ca="1"/>
        <v>Stock Option</v>
      </c>
      <c r="P335" t="str">
        <f ca="1"/>
        <v/>
      </c>
      <c r="Q335" t="str">
        <f ca="1"/>
        <v/>
      </c>
      <c r="R335" t="str">
        <f ca="1"/>
        <v>ZZ00AB3A32 0</v>
      </c>
      <c r="S335" t="str">
        <f ca="1"/>
        <v/>
      </c>
      <c r="T335" t="str">
        <f ca="1"/>
        <v>PAAS US 01/20/23 P30 Equity</v>
      </c>
      <c r="U335">
        <f ca="1">IF(LEFT(_xll.BDP($T335,U$2),4)="#N/A",0,_xll.BDP($T335,U$2))</f>
        <v>0</v>
      </c>
      <c r="V335" t="e">
        <f>_xll.BDP(#REF!,V$2)</f>
        <v>#REF!</v>
      </c>
      <c r="W335" t="e">
        <f>_xll.BDP(#REF!,W$2)</f>
        <v>#REF!</v>
      </c>
      <c r="X335" t="e">
        <f>_xll.BDP(#REF!,X$2)</f>
        <v>#REF!</v>
      </c>
      <c r="Y335" t="e">
        <f>_xll.BDP(#REF!,Y$2)</f>
        <v>#REF!</v>
      </c>
      <c r="Z335" t="e">
        <f>_xll.BDP(#REF!,Z$2)</f>
        <v>#REF!</v>
      </c>
      <c r="AA335" t="e">
        <f>_xll.BDP(#REF!,AA$2)</f>
        <v>#REF!</v>
      </c>
      <c r="AD335">
        <f ca="1">IF(LEFT(_xll.BDP($T335,AD$2),4)="#N/A",-1,_xll.BDP($T335,AD$2))</f>
        <v>-1</v>
      </c>
    </row>
    <row r="336" spans="1:30">
      <c r="A336">
        <f ca="1"/>
        <v>149</v>
      </c>
      <c r="B336" t="str">
        <f ca="1"/>
        <v>iW ALTERNATIVE SIF</v>
      </c>
      <c r="C336" t="str">
        <f ca="1"/>
        <v>iW ALTERNATIVE SIF</v>
      </c>
      <c r="D336">
        <f ca="1"/>
        <v>67869</v>
      </c>
      <c r="E336" t="str">
        <f ca="1"/>
        <v>COMMODITIES &amp; GOLD EQUITIES</v>
      </c>
      <c r="F336" t="str">
        <f ca="1"/>
        <v>Commodities &amp; Gold Equities</v>
      </c>
      <c r="G336">
        <f ca="1"/>
        <v>147</v>
      </c>
      <c r="H336" t="str">
        <f ca="1"/>
        <v>Pictet Fund Accounting</v>
      </c>
      <c r="I336" t="str">
        <f ca="1"/>
        <v>17509228-0</v>
      </c>
      <c r="J336" s="50">
        <f ca="1"/>
        <v>44775</v>
      </c>
      <c r="K336">
        <f ca="1"/>
        <v>-100</v>
      </c>
      <c r="L336" t="str">
        <f ca="1"/>
        <v>154958-0</v>
      </c>
      <c r="M336" t="str">
        <f ca="1"/>
        <v>PUT PAN AMERICAN SILVER</v>
      </c>
      <c r="N336" t="str">
        <f ca="1"/>
        <v>USD</v>
      </c>
      <c r="O336" t="str">
        <f ca="1"/>
        <v>Stock Option</v>
      </c>
      <c r="P336" t="str">
        <f ca="1"/>
        <v/>
      </c>
      <c r="Q336" t="str">
        <f ca="1"/>
        <v/>
      </c>
      <c r="R336" t="str">
        <f ca="1"/>
        <v>ZZ00AB4OXZ 0</v>
      </c>
      <c r="S336" t="str">
        <f ca="1"/>
        <v/>
      </c>
      <c r="T336" t="str">
        <f ca="1"/>
        <v>PAAS US 10/21/22 P24 Equity</v>
      </c>
      <c r="U336">
        <f ca="1">IF(LEFT(_xll.BDP($T336,U$2),4)="#N/A",0,_xll.BDP($T336,U$2))</f>
        <v>0</v>
      </c>
      <c r="V336" t="e">
        <f>_xll.BDP(#REF!,V$2)</f>
        <v>#REF!</v>
      </c>
      <c r="W336" t="e">
        <f>_xll.BDP(#REF!,W$2)</f>
        <v>#REF!</v>
      </c>
      <c r="X336" t="e">
        <f>_xll.BDP(#REF!,X$2)</f>
        <v>#REF!</v>
      </c>
      <c r="Y336" t="e">
        <f>_xll.BDP(#REF!,Y$2)</f>
        <v>#REF!</v>
      </c>
      <c r="Z336" t="e">
        <f>_xll.BDP(#REF!,Z$2)</f>
        <v>#REF!</v>
      </c>
      <c r="AA336" t="e">
        <f>_xll.BDP(#REF!,AA$2)</f>
        <v>#REF!</v>
      </c>
      <c r="AD336">
        <f ca="1">IF(LEFT(_xll.BDP($T336,AD$2),4)="#N/A",-1,_xll.BDP($T336,AD$2))</f>
        <v>-1</v>
      </c>
    </row>
    <row r="337" spans="1:30">
      <c r="A337">
        <f ca="1"/>
        <v>149</v>
      </c>
      <c r="B337" t="str">
        <f ca="1"/>
        <v>iW ALTERNATIVE SIF</v>
      </c>
      <c r="C337" t="str">
        <f ca="1"/>
        <v>iW ALTERNATIVE SIF</v>
      </c>
      <c r="D337">
        <f ca="1"/>
        <v>67869</v>
      </c>
      <c r="E337" t="str">
        <f ca="1"/>
        <v>COMMODITIES &amp; GOLD EQUITIES</v>
      </c>
      <c r="F337" t="str">
        <f ca="1"/>
        <v>Commodities &amp; Gold Equities</v>
      </c>
      <c r="G337">
        <f ca="1"/>
        <v>147</v>
      </c>
      <c r="H337" t="str">
        <f ca="1"/>
        <v>Pictet Fund Accounting</v>
      </c>
      <c r="I337" t="str">
        <f ca="1"/>
        <v>17509188-0</v>
      </c>
      <c r="J337" s="50">
        <f ca="1"/>
        <v>44775</v>
      </c>
      <c r="K337">
        <f ca="1"/>
        <v>-180.84</v>
      </c>
      <c r="L337" t="str">
        <f ca="1"/>
        <v>67891-0</v>
      </c>
      <c r="M337" t="str">
        <f ca="1"/>
        <v>Prov Audit Annual report</v>
      </c>
      <c r="N337" t="str">
        <f ca="1"/>
        <v>EUR</v>
      </c>
      <c r="O337" t="str">
        <f ca="1"/>
        <v>Uncategorized (Treasury)</v>
      </c>
      <c r="P337" t="str">
        <f ca="1"/>
        <v/>
      </c>
      <c r="Q337" t="str">
        <f ca="1"/>
        <v/>
      </c>
      <c r="R337" t="str">
        <f ca="1"/>
        <v/>
      </c>
      <c r="S337" t="str">
        <f ca="1"/>
        <v/>
      </c>
      <c r="T337" t="str">
        <f ca="1"/>
        <v/>
      </c>
      <c r="U337">
        <f ca="1">IF(LEFT(_xll.BDP($T337,U$2),4)="#N/A",0,_xll.BDP($T337,U$2))</f>
        <v>0</v>
      </c>
      <c r="V337" t="e">
        <f>_xll.BDP(#REF!,V$2)</f>
        <v>#REF!</v>
      </c>
      <c r="W337" t="e">
        <f>_xll.BDP(#REF!,W$2)</f>
        <v>#REF!</v>
      </c>
      <c r="X337" t="e">
        <f>_xll.BDP(#REF!,X$2)</f>
        <v>#REF!</v>
      </c>
      <c r="Y337" t="e">
        <f>_xll.BDP(#REF!,Y$2)</f>
        <v>#REF!</v>
      </c>
      <c r="Z337" t="e">
        <f>_xll.BDP(#REF!,Z$2)</f>
        <v>#REF!</v>
      </c>
      <c r="AA337" t="e">
        <f>_xll.BDP(#REF!,AA$2)</f>
        <v>#REF!</v>
      </c>
      <c r="AD337">
        <f ca="1">IF(LEFT(_xll.BDP($T337,AD$2),4)="#N/A",-1,_xll.BDP($T337,AD$2))</f>
        <v>-1</v>
      </c>
    </row>
    <row r="338" spans="1:30">
      <c r="A338">
        <f ca="1"/>
        <v>149</v>
      </c>
      <c r="B338" t="str">
        <f ca="1"/>
        <v>iW ALTERNATIVE SIF</v>
      </c>
      <c r="C338" t="str">
        <f ca="1"/>
        <v>iW ALTERNATIVE SIF</v>
      </c>
      <c r="D338">
        <f ca="1"/>
        <v>67869</v>
      </c>
      <c r="E338" t="str">
        <f ca="1"/>
        <v>COMMODITIES &amp; GOLD EQUITIES</v>
      </c>
      <c r="F338" t="str">
        <f ca="1"/>
        <v>Commodities &amp; Gold Equities</v>
      </c>
      <c r="G338">
        <f ca="1"/>
        <v>147</v>
      </c>
      <c r="H338" t="str">
        <f ca="1"/>
        <v>Pictet Fund Accounting</v>
      </c>
      <c r="I338" t="str">
        <f ca="1"/>
        <v>17509178-0</v>
      </c>
      <c r="J338" s="50">
        <f ca="1"/>
        <v>44775</v>
      </c>
      <c r="K338">
        <f ca="1"/>
        <v>-904.15</v>
      </c>
      <c r="L338" t="str">
        <f ca="1"/>
        <v>67898-0</v>
      </c>
      <c r="M338" t="str">
        <f ca="1"/>
        <v>Prov Fees for calcul. of perf.</v>
      </c>
      <c r="N338" t="str">
        <f ca="1"/>
        <v>EUR</v>
      </c>
      <c r="O338" t="str">
        <f ca="1"/>
        <v>Uncategorized (Treasury)</v>
      </c>
      <c r="P338" t="str">
        <f ca="1"/>
        <v/>
      </c>
      <c r="Q338" t="str">
        <f ca="1"/>
        <v/>
      </c>
      <c r="R338" t="str">
        <f ca="1"/>
        <v/>
      </c>
      <c r="S338" t="str">
        <f ca="1"/>
        <v/>
      </c>
      <c r="T338" t="str">
        <f ca="1"/>
        <v/>
      </c>
      <c r="U338">
        <f ca="1">IF(LEFT(_xll.BDP($T338,U$2),4)="#N/A",0,_xll.BDP($T338,U$2))</f>
        <v>0</v>
      </c>
      <c r="V338" t="e">
        <f>_xll.BDP(#REF!,V$2)</f>
        <v>#REF!</v>
      </c>
      <c r="W338" t="e">
        <f>_xll.BDP(#REF!,W$2)</f>
        <v>#REF!</v>
      </c>
      <c r="X338" t="e">
        <f>_xll.BDP(#REF!,X$2)</f>
        <v>#REF!</v>
      </c>
      <c r="Y338" t="e">
        <f>_xll.BDP(#REF!,Y$2)</f>
        <v>#REF!</v>
      </c>
      <c r="Z338" t="e">
        <f>_xll.BDP(#REF!,Z$2)</f>
        <v>#REF!</v>
      </c>
      <c r="AA338" t="e">
        <f>_xll.BDP(#REF!,AA$2)</f>
        <v>#REF!</v>
      </c>
      <c r="AD338">
        <f ca="1">IF(LEFT(_xll.BDP($T338,AD$2),4)="#N/A",-1,_xll.BDP($T338,AD$2))</f>
        <v>-1</v>
      </c>
    </row>
    <row r="339" spans="1:30">
      <c r="A339">
        <f ca="1"/>
        <v>149</v>
      </c>
      <c r="B339" t="str">
        <f ca="1"/>
        <v>iW ALTERNATIVE SIF</v>
      </c>
      <c r="C339" t="str">
        <f ca="1"/>
        <v>iW ALTERNATIVE SIF</v>
      </c>
      <c r="D339">
        <f ca="1"/>
        <v>67869</v>
      </c>
      <c r="E339" t="str">
        <f ca="1"/>
        <v>COMMODITIES &amp; GOLD EQUITIES</v>
      </c>
      <c r="F339" t="str">
        <f ca="1"/>
        <v>Commodities &amp; Gold Equities</v>
      </c>
      <c r="G339">
        <f ca="1"/>
        <v>147</v>
      </c>
      <c r="H339" t="str">
        <f ca="1"/>
        <v>Pictet Fund Accounting</v>
      </c>
      <c r="I339" t="str">
        <f ca="1"/>
        <v>17509220-0</v>
      </c>
      <c r="J339" s="50">
        <f ca="1"/>
        <v>44775</v>
      </c>
      <c r="K339">
        <f ca="1"/>
        <v>-148.51</v>
      </c>
      <c r="L339" t="str">
        <f ca="1"/>
        <v>67904-0</v>
      </c>
      <c r="M339" t="str">
        <f ca="1"/>
        <v>Prov Risk Management fees</v>
      </c>
      <c r="N339" t="str">
        <f ca="1"/>
        <v>EUR</v>
      </c>
      <c r="O339" t="str">
        <f ca="1"/>
        <v>Uncategorized (Treasury)</v>
      </c>
      <c r="P339" t="str">
        <f ca="1"/>
        <v/>
      </c>
      <c r="Q339" t="str">
        <f ca="1"/>
        <v/>
      </c>
      <c r="R339" t="str">
        <f ca="1"/>
        <v/>
      </c>
      <c r="S339" t="str">
        <f ca="1"/>
        <v/>
      </c>
      <c r="T339" t="str">
        <f ca="1"/>
        <v/>
      </c>
      <c r="U339">
        <f ca="1">IF(LEFT(_xll.BDP($T339,U$2),4)="#N/A",0,_xll.BDP($T339,U$2))</f>
        <v>0</v>
      </c>
      <c r="V339" t="e">
        <f>_xll.BDP(#REF!,V$2)</f>
        <v>#REF!</v>
      </c>
      <c r="W339" t="e">
        <f>_xll.BDP(#REF!,W$2)</f>
        <v>#REF!</v>
      </c>
      <c r="X339" t="e">
        <f>_xll.BDP(#REF!,X$2)</f>
        <v>#REF!</v>
      </c>
      <c r="Y339" t="e">
        <f>_xll.BDP(#REF!,Y$2)</f>
        <v>#REF!</v>
      </c>
      <c r="Z339" t="e">
        <f>_xll.BDP(#REF!,Z$2)</f>
        <v>#REF!</v>
      </c>
      <c r="AA339" t="e">
        <f>_xll.BDP(#REF!,AA$2)</f>
        <v>#REF!</v>
      </c>
      <c r="AD339">
        <f ca="1">IF(LEFT(_xll.BDP($T339,AD$2),4)="#N/A",-1,_xll.BDP($T339,AD$2))</f>
        <v>-1</v>
      </c>
    </row>
    <row r="340" spans="1:30">
      <c r="A340">
        <f ca="1"/>
        <v>149</v>
      </c>
      <c r="B340" t="str">
        <f ca="1"/>
        <v>iW ALTERNATIVE SIF</v>
      </c>
      <c r="C340" t="str">
        <f ca="1"/>
        <v>iW ALTERNATIVE SIF</v>
      </c>
      <c r="D340">
        <f ca="1"/>
        <v>67869</v>
      </c>
      <c r="E340" t="str">
        <f ca="1"/>
        <v>COMMODITIES &amp; GOLD EQUITIES</v>
      </c>
      <c r="F340" t="str">
        <f ca="1"/>
        <v>Commodities &amp; Gold Equities</v>
      </c>
      <c r="G340">
        <f ca="1"/>
        <v>147</v>
      </c>
      <c r="H340" t="str">
        <f ca="1"/>
        <v>Pictet Fund Accounting</v>
      </c>
      <c r="I340" t="str">
        <f ca="1"/>
        <v>17509241-0</v>
      </c>
      <c r="J340" s="50">
        <f ca="1"/>
        <v>44775</v>
      </c>
      <c r="K340">
        <f ca="1"/>
        <v>-31196.080000000002</v>
      </c>
      <c r="L340" t="str">
        <f ca="1"/>
        <v>70137-0</v>
      </c>
      <c r="M340" t="str">
        <f ca="1"/>
        <v>Prov/paiemt directors fees ant</v>
      </c>
      <c r="N340" t="str">
        <f ca="1"/>
        <v>EUR</v>
      </c>
      <c r="O340" t="str">
        <f ca="1"/>
        <v>Uncategorized (Treasury)</v>
      </c>
      <c r="P340" t="str">
        <f ca="1"/>
        <v/>
      </c>
      <c r="Q340" t="str">
        <f ca="1"/>
        <v/>
      </c>
      <c r="R340" t="str">
        <f ca="1"/>
        <v/>
      </c>
      <c r="S340" t="str">
        <f ca="1"/>
        <v/>
      </c>
      <c r="T340" t="str">
        <f ca="1"/>
        <v/>
      </c>
      <c r="U340">
        <f ca="1">IF(LEFT(_xll.BDP($T340,U$2),4)="#N/A",0,_xll.BDP($T340,U$2))</f>
        <v>0</v>
      </c>
      <c r="V340" t="e">
        <f>_xll.BDP(#REF!,V$2)</f>
        <v>#REF!</v>
      </c>
      <c r="W340" t="e">
        <f>_xll.BDP(#REF!,W$2)</f>
        <v>#REF!</v>
      </c>
      <c r="X340" t="e">
        <f>_xll.BDP(#REF!,X$2)</f>
        <v>#REF!</v>
      </c>
      <c r="Y340" t="e">
        <f>_xll.BDP(#REF!,Y$2)</f>
        <v>#REF!</v>
      </c>
      <c r="Z340" t="e">
        <f>_xll.BDP(#REF!,Z$2)</f>
        <v>#REF!</v>
      </c>
      <c r="AA340" t="e">
        <f>_xll.BDP(#REF!,AA$2)</f>
        <v>#REF!</v>
      </c>
      <c r="AD340">
        <f ca="1">IF(LEFT(_xll.BDP($T340,AD$2),4)="#N/A",-1,_xll.BDP($T340,AD$2))</f>
        <v>-1</v>
      </c>
    </row>
    <row r="341" spans="1:30">
      <c r="A341">
        <f ca="1"/>
        <v>149</v>
      </c>
      <c r="B341" t="str">
        <f ca="1"/>
        <v>iW ALTERNATIVE SIF</v>
      </c>
      <c r="C341" t="str">
        <f ca="1"/>
        <v>iW ALTERNATIVE SIF</v>
      </c>
      <c r="D341">
        <f ca="1"/>
        <v>67869</v>
      </c>
      <c r="E341" t="str">
        <f ca="1"/>
        <v>COMMODITIES &amp; GOLD EQUITIES</v>
      </c>
      <c r="F341" t="str">
        <f ca="1"/>
        <v>Commodities &amp; Gold Equities</v>
      </c>
      <c r="G341">
        <f ca="1"/>
        <v>147</v>
      </c>
      <c r="H341" t="str">
        <f ca="1"/>
        <v>Pictet Fund Accounting</v>
      </c>
      <c r="I341" t="str">
        <f ca="1"/>
        <v>17509269-0</v>
      </c>
      <c r="J341" s="50">
        <f ca="1"/>
        <v>44775</v>
      </c>
      <c r="K341">
        <f ca="1"/>
        <v>-172.17</v>
      </c>
      <c r="L341" t="str">
        <f ca="1"/>
        <v>67896-0</v>
      </c>
      <c r="M341" t="str">
        <f ca="1"/>
        <v>Provis. taxe d'abonnemt 0.01 %</v>
      </c>
      <c r="N341" t="str">
        <f ca="1"/>
        <v>EUR</v>
      </c>
      <c r="O341" t="str">
        <f ca="1"/>
        <v>Uncategorized (Treasury)</v>
      </c>
      <c r="P341" t="str">
        <f ca="1"/>
        <v/>
      </c>
      <c r="Q341" t="str">
        <f ca="1"/>
        <v/>
      </c>
      <c r="R341" t="str">
        <f ca="1"/>
        <v/>
      </c>
      <c r="S341" t="str">
        <f ca="1"/>
        <v/>
      </c>
      <c r="T341" t="str">
        <f ca="1"/>
        <v/>
      </c>
      <c r="U341">
        <f ca="1">IF(LEFT(_xll.BDP($T341,U$2),4)="#N/A",0,_xll.BDP($T341,U$2))</f>
        <v>0</v>
      </c>
      <c r="V341" t="e">
        <f>_xll.BDP(#REF!,V$2)</f>
        <v>#REF!</v>
      </c>
      <c r="W341" t="e">
        <f>_xll.BDP(#REF!,W$2)</f>
        <v>#REF!</v>
      </c>
      <c r="X341" t="e">
        <f>_xll.BDP(#REF!,X$2)</f>
        <v>#REF!</v>
      </c>
      <c r="Y341" t="e">
        <f>_xll.BDP(#REF!,Y$2)</f>
        <v>#REF!</v>
      </c>
      <c r="Z341" t="e">
        <f>_xll.BDP(#REF!,Z$2)</f>
        <v>#REF!</v>
      </c>
      <c r="AA341" t="e">
        <f>_xll.BDP(#REF!,AA$2)</f>
        <v>#REF!</v>
      </c>
      <c r="AD341">
        <f ca="1">IF(LEFT(_xll.BDP($T341,AD$2),4)="#N/A",-1,_xll.BDP($T341,AD$2))</f>
        <v>-1</v>
      </c>
    </row>
    <row r="342" spans="1:30">
      <c r="A342">
        <f ca="1"/>
        <v>149</v>
      </c>
      <c r="B342" t="str">
        <f ca="1"/>
        <v>iW ALTERNATIVE SIF</v>
      </c>
      <c r="C342" t="str">
        <f ca="1"/>
        <v>iW ALTERNATIVE SIF</v>
      </c>
      <c r="D342">
        <f ca="1"/>
        <v>67869</v>
      </c>
      <c r="E342" t="str">
        <f ca="1"/>
        <v>COMMODITIES &amp; GOLD EQUITIES</v>
      </c>
      <c r="F342" t="str">
        <f ca="1"/>
        <v>Commodities &amp; Gold Equities</v>
      </c>
      <c r="G342">
        <f ca="1"/>
        <v>147</v>
      </c>
      <c r="H342" t="str">
        <f ca="1"/>
        <v>Pictet Fund Accounting</v>
      </c>
      <c r="I342" t="str">
        <f ca="1"/>
        <v>17509195-0</v>
      </c>
      <c r="J342" s="50">
        <f ca="1"/>
        <v>44775</v>
      </c>
      <c r="K342">
        <f ca="1"/>
        <v>7686.56</v>
      </c>
      <c r="L342" t="str">
        <f ca="1"/>
        <v>67899-0</v>
      </c>
      <c r="M342" t="str">
        <f ca="1"/>
        <v>Provis/paiemt audit fees ant</v>
      </c>
      <c r="N342" t="str">
        <f ca="1"/>
        <v>EUR</v>
      </c>
      <c r="O342" t="str">
        <f ca="1"/>
        <v>Uncategorized (Treasury)</v>
      </c>
      <c r="P342" t="str">
        <f ca="1"/>
        <v/>
      </c>
      <c r="Q342" t="str">
        <f ca="1"/>
        <v/>
      </c>
      <c r="R342" t="str">
        <f ca="1"/>
        <v/>
      </c>
      <c r="S342" t="str">
        <f ca="1"/>
        <v/>
      </c>
      <c r="T342" t="str">
        <f ca="1"/>
        <v/>
      </c>
      <c r="U342">
        <f ca="1">IF(LEFT(_xll.BDP($T342,U$2),4)="#N/A",0,_xll.BDP($T342,U$2))</f>
        <v>0</v>
      </c>
      <c r="V342" t="e">
        <f>_xll.BDP(#REF!,V$2)</f>
        <v>#REF!</v>
      </c>
      <c r="W342" t="e">
        <f>_xll.BDP(#REF!,W$2)</f>
        <v>#REF!</v>
      </c>
      <c r="X342" t="e">
        <f>_xll.BDP(#REF!,X$2)</f>
        <v>#REF!</v>
      </c>
      <c r="Y342" t="e">
        <f>_xll.BDP(#REF!,Y$2)</f>
        <v>#REF!</v>
      </c>
      <c r="Z342" t="e">
        <f>_xll.BDP(#REF!,Z$2)</f>
        <v>#REF!</v>
      </c>
      <c r="AA342" t="e">
        <f>_xll.BDP(#REF!,AA$2)</f>
        <v>#REF!</v>
      </c>
      <c r="AD342">
        <f ca="1">IF(LEFT(_xll.BDP($T342,AD$2),4)="#N/A",-1,_xll.BDP($T342,AD$2))</f>
        <v>-1</v>
      </c>
    </row>
    <row r="343" spans="1:30">
      <c r="A343">
        <f ca="1"/>
        <v>149</v>
      </c>
      <c r="B343" t="str">
        <f ca="1"/>
        <v>iW ALTERNATIVE SIF</v>
      </c>
      <c r="C343" t="str">
        <f ca="1"/>
        <v>iW ALTERNATIVE SIF</v>
      </c>
      <c r="D343">
        <f ca="1"/>
        <v>67869</v>
      </c>
      <c r="E343" t="str">
        <f ca="1"/>
        <v>COMMODITIES &amp; GOLD EQUITIES</v>
      </c>
      <c r="F343" t="str">
        <f ca="1"/>
        <v>Commodities &amp; Gold Equities</v>
      </c>
      <c r="G343">
        <f ca="1"/>
        <v>147</v>
      </c>
      <c r="H343" t="str">
        <f ca="1"/>
        <v>Pictet Fund Accounting</v>
      </c>
      <c r="I343" t="str">
        <f ca="1"/>
        <v>17509176-0</v>
      </c>
      <c r="J343" s="50">
        <f ca="1"/>
        <v>44775</v>
      </c>
      <c r="K343">
        <f ca="1"/>
        <v>-5518.41</v>
      </c>
      <c r="L343" t="str">
        <f ca="1"/>
        <v>67895-0</v>
      </c>
      <c r="M343" t="str">
        <f ca="1"/>
        <v>Provision administration fee</v>
      </c>
      <c r="N343" t="str">
        <f ca="1"/>
        <v>EUR</v>
      </c>
      <c r="O343" t="str">
        <f ca="1"/>
        <v>Uncategorized (Treasury)</v>
      </c>
      <c r="P343" t="str">
        <f ca="1"/>
        <v/>
      </c>
      <c r="Q343" t="str">
        <f ca="1"/>
        <v/>
      </c>
      <c r="R343" t="str">
        <f ca="1"/>
        <v/>
      </c>
      <c r="S343" t="str">
        <f ca="1"/>
        <v/>
      </c>
      <c r="T343" t="str">
        <f ca="1"/>
        <v/>
      </c>
      <c r="U343">
        <f ca="1">IF(LEFT(_xll.BDP($T343,U$2),4)="#N/A",0,_xll.BDP($T343,U$2))</f>
        <v>0</v>
      </c>
      <c r="V343" t="e">
        <f>_xll.BDP(#REF!,V$2)</f>
        <v>#REF!</v>
      </c>
      <c r="W343" t="e">
        <f>_xll.BDP(#REF!,W$2)</f>
        <v>#REF!</v>
      </c>
      <c r="X343" t="e">
        <f>_xll.BDP(#REF!,X$2)</f>
        <v>#REF!</v>
      </c>
      <c r="Y343" t="e">
        <f>_xll.BDP(#REF!,Y$2)</f>
        <v>#REF!</v>
      </c>
      <c r="Z343" t="e">
        <f>_xll.BDP(#REF!,Z$2)</f>
        <v>#REF!</v>
      </c>
      <c r="AA343" t="e">
        <f>_xll.BDP(#REF!,AA$2)</f>
        <v>#REF!</v>
      </c>
      <c r="AD343">
        <f ca="1">IF(LEFT(_xll.BDP($T343,AD$2),4)="#N/A",-1,_xll.BDP($T343,AD$2))</f>
        <v>-1</v>
      </c>
    </row>
    <row r="344" spans="1:30">
      <c r="A344">
        <f ca="1"/>
        <v>149</v>
      </c>
      <c r="B344" t="str">
        <f ca="1"/>
        <v>iW ALTERNATIVE SIF</v>
      </c>
      <c r="C344" t="str">
        <f ca="1"/>
        <v>iW ALTERNATIVE SIF</v>
      </c>
      <c r="D344">
        <f ca="1"/>
        <v>67869</v>
      </c>
      <c r="E344" t="str">
        <f ca="1"/>
        <v>COMMODITIES &amp; GOLD EQUITIES</v>
      </c>
      <c r="F344" t="str">
        <f ca="1"/>
        <v>Commodities &amp; Gold Equities</v>
      </c>
      <c r="G344">
        <f ca="1"/>
        <v>147</v>
      </c>
      <c r="H344" t="str">
        <f ca="1"/>
        <v>Pictet Fund Accounting</v>
      </c>
      <c r="I344" t="str">
        <f ca="1"/>
        <v>17509174-0</v>
      </c>
      <c r="J344" s="50">
        <f ca="1"/>
        <v>44775</v>
      </c>
      <c r="K344">
        <f ca="1"/>
        <v>-528.94000000000005</v>
      </c>
      <c r="L344" t="str">
        <f ca="1"/>
        <v>67890-0</v>
      </c>
      <c r="M344" t="str">
        <f ca="1"/>
        <v>Provision AIFM Fees</v>
      </c>
      <c r="N344" t="str">
        <f ca="1"/>
        <v>EUR</v>
      </c>
      <c r="O344" t="str">
        <f ca="1"/>
        <v>Uncategorized (Treasury)</v>
      </c>
      <c r="P344" t="str">
        <f ca="1"/>
        <v/>
      </c>
      <c r="Q344" t="str">
        <f ca="1"/>
        <v/>
      </c>
      <c r="R344" t="str">
        <f ca="1"/>
        <v/>
      </c>
      <c r="S344" t="str">
        <f ca="1"/>
        <v/>
      </c>
      <c r="T344" t="str">
        <f ca="1"/>
        <v/>
      </c>
      <c r="U344">
        <f ca="1">IF(LEFT(_xll.BDP($T344,U$2),4)="#N/A",0,_xll.BDP($T344,U$2))</f>
        <v>0</v>
      </c>
      <c r="V344" t="e">
        <f>_xll.BDP(#REF!,V$2)</f>
        <v>#REF!</v>
      </c>
      <c r="W344" t="e">
        <f>_xll.BDP(#REF!,W$2)</f>
        <v>#REF!</v>
      </c>
      <c r="X344" t="e">
        <f>_xll.BDP(#REF!,X$2)</f>
        <v>#REF!</v>
      </c>
      <c r="Y344" t="e">
        <f>_xll.BDP(#REF!,Y$2)</f>
        <v>#REF!</v>
      </c>
      <c r="Z344" t="e">
        <f>_xll.BDP(#REF!,Z$2)</f>
        <v>#REF!</v>
      </c>
      <c r="AA344" t="e">
        <f>_xll.BDP(#REF!,AA$2)</f>
        <v>#REF!</v>
      </c>
      <c r="AD344">
        <f ca="1">IF(LEFT(_xll.BDP($T344,AD$2),4)="#N/A",-1,_xll.BDP($T344,AD$2))</f>
        <v>-1</v>
      </c>
    </row>
    <row r="345" spans="1:30">
      <c r="A345">
        <f ca="1"/>
        <v>149</v>
      </c>
      <c r="B345" t="str">
        <f ca="1"/>
        <v>iW ALTERNATIVE SIF</v>
      </c>
      <c r="C345" t="str">
        <f ca="1"/>
        <v>iW ALTERNATIVE SIF</v>
      </c>
      <c r="D345">
        <f ca="1"/>
        <v>67869</v>
      </c>
      <c r="E345" t="str">
        <f ca="1"/>
        <v>COMMODITIES &amp; GOLD EQUITIES</v>
      </c>
      <c r="F345" t="str">
        <f ca="1"/>
        <v>Commodities &amp; Gold Equities</v>
      </c>
      <c r="G345">
        <f ca="1"/>
        <v>147</v>
      </c>
      <c r="H345" t="str">
        <f ca="1"/>
        <v>Pictet Fund Accounting</v>
      </c>
      <c r="I345" t="str">
        <f ca="1"/>
        <v>17509179-0</v>
      </c>
      <c r="J345" s="50">
        <f ca="1"/>
        <v>44775</v>
      </c>
      <c r="K345">
        <f ca="1"/>
        <v>-85.33</v>
      </c>
      <c r="L345" t="str">
        <f ca="1"/>
        <v>123132-0</v>
      </c>
      <c r="M345" t="str">
        <f ca="1"/>
        <v>Provision AIFM Legal Reporting</v>
      </c>
      <c r="N345" t="str">
        <f ca="1"/>
        <v>EUR</v>
      </c>
      <c r="O345" t="str">
        <f ca="1"/>
        <v>Uncategorized (Treasury)</v>
      </c>
      <c r="P345" t="str">
        <f ca="1"/>
        <v/>
      </c>
      <c r="Q345" t="str">
        <f ca="1"/>
        <v/>
      </c>
      <c r="R345" t="str">
        <f ca="1"/>
        <v/>
      </c>
      <c r="S345" t="str">
        <f ca="1"/>
        <v/>
      </c>
      <c r="T345" t="str">
        <f ca="1"/>
        <v/>
      </c>
      <c r="U345">
        <f ca="1">IF(LEFT(_xll.BDP($T345,U$2),4)="#N/A",0,_xll.BDP($T345,U$2))</f>
        <v>0</v>
      </c>
      <c r="V345" t="e">
        <f>_xll.BDP(#REF!,V$2)</f>
        <v>#REF!</v>
      </c>
      <c r="W345" t="e">
        <f>_xll.BDP(#REF!,W$2)</f>
        <v>#REF!</v>
      </c>
      <c r="X345" t="e">
        <f>_xll.BDP(#REF!,X$2)</f>
        <v>#REF!</v>
      </c>
      <c r="Y345" t="e">
        <f>_xll.BDP(#REF!,Y$2)</f>
        <v>#REF!</v>
      </c>
      <c r="Z345" t="e">
        <f>_xll.BDP(#REF!,Z$2)</f>
        <v>#REF!</v>
      </c>
      <c r="AA345" t="e">
        <f>_xll.BDP(#REF!,AA$2)</f>
        <v>#REF!</v>
      </c>
      <c r="AD345">
        <f ca="1">IF(LEFT(_xll.BDP($T345,AD$2),4)="#N/A",-1,_xll.BDP($T345,AD$2))</f>
        <v>-1</v>
      </c>
    </row>
    <row r="346" spans="1:30">
      <c r="A346">
        <f ca="1"/>
        <v>149</v>
      </c>
      <c r="B346" t="str">
        <f ca="1"/>
        <v>iW ALTERNATIVE SIF</v>
      </c>
      <c r="C346" t="str">
        <f ca="1"/>
        <v>iW ALTERNATIVE SIF</v>
      </c>
      <c r="D346">
        <f ca="1"/>
        <v>67869</v>
      </c>
      <c r="E346" t="str">
        <f ca="1"/>
        <v>COMMODITIES &amp; GOLD EQUITIES</v>
      </c>
      <c r="F346" t="str">
        <f ca="1"/>
        <v>Commodities &amp; Gold Equities</v>
      </c>
      <c r="G346">
        <f ca="1"/>
        <v>147</v>
      </c>
      <c r="H346" t="str">
        <f ca="1"/>
        <v>Pictet Fund Accounting</v>
      </c>
      <c r="I346" t="str">
        <f ca="1"/>
        <v>17509156-0</v>
      </c>
      <c r="J346" s="50">
        <f ca="1"/>
        <v>44775</v>
      </c>
      <c r="K346">
        <f ca="1"/>
        <v>-10363.17</v>
      </c>
      <c r="L346" t="str">
        <f ca="1"/>
        <v>67889-0</v>
      </c>
      <c r="M346" t="str">
        <f ca="1"/>
        <v>Provision audit fees</v>
      </c>
      <c r="N346" t="str">
        <f ca="1"/>
        <v>EUR</v>
      </c>
      <c r="O346" t="str">
        <f ca="1"/>
        <v>Uncategorized (Treasury)</v>
      </c>
      <c r="P346" t="str">
        <f ca="1"/>
        <v/>
      </c>
      <c r="Q346" t="str">
        <f ca="1"/>
        <v/>
      </c>
      <c r="R346" t="str">
        <f ca="1"/>
        <v/>
      </c>
      <c r="S346" t="str">
        <f ca="1"/>
        <v/>
      </c>
      <c r="T346" t="str">
        <f ca="1"/>
        <v/>
      </c>
      <c r="U346">
        <f ca="1">IF(LEFT(_xll.BDP($T346,U$2),4)="#N/A",0,_xll.BDP($T346,U$2))</f>
        <v>0</v>
      </c>
      <c r="V346" t="e">
        <f>_xll.BDP(#REF!,V$2)</f>
        <v>#REF!</v>
      </c>
      <c r="W346" t="e">
        <f>_xll.BDP(#REF!,W$2)</f>
        <v>#REF!</v>
      </c>
      <c r="X346" t="e">
        <f>_xll.BDP(#REF!,X$2)</f>
        <v>#REF!</v>
      </c>
      <c r="Y346" t="e">
        <f>_xll.BDP(#REF!,Y$2)</f>
        <v>#REF!</v>
      </c>
      <c r="Z346" t="e">
        <f>_xll.BDP(#REF!,Z$2)</f>
        <v>#REF!</v>
      </c>
      <c r="AA346" t="e">
        <f>_xll.BDP(#REF!,AA$2)</f>
        <v>#REF!</v>
      </c>
      <c r="AD346">
        <f ca="1">IF(LEFT(_xll.BDP($T346,AD$2),4)="#N/A",-1,_xll.BDP($T346,AD$2))</f>
        <v>-1</v>
      </c>
    </row>
    <row r="347" spans="1:30">
      <c r="A347">
        <f ca="1"/>
        <v>149</v>
      </c>
      <c r="B347" t="str">
        <f ca="1"/>
        <v>iW ALTERNATIVE SIF</v>
      </c>
      <c r="C347" t="str">
        <f ca="1"/>
        <v>iW ALTERNATIVE SIF</v>
      </c>
      <c r="D347">
        <f ca="1"/>
        <v>67869</v>
      </c>
      <c r="E347" t="str">
        <f ca="1"/>
        <v>COMMODITIES &amp; GOLD EQUITIES</v>
      </c>
      <c r="F347" t="str">
        <f ca="1"/>
        <v>Commodities &amp; Gold Equities</v>
      </c>
      <c r="G347">
        <f ca="1"/>
        <v>147</v>
      </c>
      <c r="H347" t="str">
        <f ca="1"/>
        <v>Pictet Fund Accounting</v>
      </c>
      <c r="I347" t="str">
        <f ca="1"/>
        <v>17509177-0</v>
      </c>
      <c r="J347" s="50">
        <f ca="1"/>
        <v>44775</v>
      </c>
      <c r="K347">
        <f ca="1"/>
        <v>-2075.73</v>
      </c>
      <c r="L347" t="str">
        <f ca="1"/>
        <v>67897-0</v>
      </c>
      <c r="M347" t="str">
        <f ca="1"/>
        <v>Provision custody fee</v>
      </c>
      <c r="N347" t="str">
        <f ca="1"/>
        <v>EUR</v>
      </c>
      <c r="O347" t="str">
        <f ca="1"/>
        <v>Uncategorized (Treasury)</v>
      </c>
      <c r="P347" t="str">
        <f ca="1"/>
        <v/>
      </c>
      <c r="Q347" t="str">
        <f ca="1"/>
        <v/>
      </c>
      <c r="R347" t="str">
        <f ca="1"/>
        <v/>
      </c>
      <c r="S347" t="str">
        <f ca="1"/>
        <v/>
      </c>
      <c r="T347" t="str">
        <f ca="1"/>
        <v/>
      </c>
      <c r="U347">
        <f ca="1">IF(LEFT(_xll.BDP($T347,U$2),4)="#N/A",0,_xll.BDP($T347,U$2))</f>
        <v>0</v>
      </c>
      <c r="V347" t="e">
        <f>_xll.BDP(#REF!,V$2)</f>
        <v>#REF!</v>
      </c>
      <c r="W347" t="e">
        <f>_xll.BDP(#REF!,W$2)</f>
        <v>#REF!</v>
      </c>
      <c r="X347" t="e">
        <f>_xll.BDP(#REF!,X$2)</f>
        <v>#REF!</v>
      </c>
      <c r="Y347" t="e">
        <f>_xll.BDP(#REF!,Y$2)</f>
        <v>#REF!</v>
      </c>
      <c r="Z347" t="e">
        <f>_xll.BDP(#REF!,Z$2)</f>
        <v>#REF!</v>
      </c>
      <c r="AA347" t="e">
        <f>_xll.BDP(#REF!,AA$2)</f>
        <v>#REF!</v>
      </c>
      <c r="AD347">
        <f ca="1">IF(LEFT(_xll.BDP($T347,AD$2),4)="#N/A",-1,_xll.BDP($T347,AD$2))</f>
        <v>-1</v>
      </c>
    </row>
    <row r="348" spans="1:30">
      <c r="A348">
        <f ca="1"/>
        <v>149</v>
      </c>
      <c r="B348" t="str">
        <f ca="1"/>
        <v>iW ALTERNATIVE SIF</v>
      </c>
      <c r="C348" t="str">
        <f ca="1"/>
        <v>iW ALTERNATIVE SIF</v>
      </c>
      <c r="D348">
        <f ca="1"/>
        <v>67869</v>
      </c>
      <c r="E348" t="str">
        <f ca="1"/>
        <v>COMMODITIES &amp; GOLD EQUITIES</v>
      </c>
      <c r="F348" t="str">
        <f ca="1"/>
        <v>Commodities &amp; Gold Equities</v>
      </c>
      <c r="G348">
        <f ca="1"/>
        <v>147</v>
      </c>
      <c r="H348" t="str">
        <f ca="1"/>
        <v>Pictet Fund Accounting</v>
      </c>
      <c r="I348" t="str">
        <f ca="1"/>
        <v>17509263-0</v>
      </c>
      <c r="J348" s="50">
        <f ca="1"/>
        <v>44775</v>
      </c>
      <c r="K348">
        <f ca="1"/>
        <v>-230.63</v>
      </c>
      <c r="L348" t="str">
        <f ca="1"/>
        <v>67905-0</v>
      </c>
      <c r="M348" t="str">
        <f ca="1"/>
        <v>Provision Deposit supervi duty</v>
      </c>
      <c r="N348" t="str">
        <f ca="1"/>
        <v>EUR</v>
      </c>
      <c r="O348" t="str">
        <f ca="1"/>
        <v>Uncategorized (Treasury)</v>
      </c>
      <c r="P348" t="str">
        <f ca="1"/>
        <v/>
      </c>
      <c r="Q348" t="str">
        <f ca="1"/>
        <v/>
      </c>
      <c r="R348" t="str">
        <f ca="1"/>
        <v/>
      </c>
      <c r="S348" t="str">
        <f ca="1"/>
        <v/>
      </c>
      <c r="T348" t="str">
        <f ca="1"/>
        <v/>
      </c>
      <c r="U348">
        <f ca="1">IF(LEFT(_xll.BDP($T348,U$2),4)="#N/A",0,_xll.BDP($T348,U$2))</f>
        <v>0</v>
      </c>
      <c r="V348" t="e">
        <f>_xll.BDP(#REF!,V$2)</f>
        <v>#REF!</v>
      </c>
      <c r="W348" t="e">
        <f>_xll.BDP(#REF!,W$2)</f>
        <v>#REF!</v>
      </c>
      <c r="X348" t="e">
        <f>_xll.BDP(#REF!,X$2)</f>
        <v>#REF!</v>
      </c>
      <c r="Y348" t="e">
        <f>_xll.BDP(#REF!,Y$2)</f>
        <v>#REF!</v>
      </c>
      <c r="Z348" t="e">
        <f>_xll.BDP(#REF!,Z$2)</f>
        <v>#REF!</v>
      </c>
      <c r="AA348" t="e">
        <f>_xll.BDP(#REF!,AA$2)</f>
        <v>#REF!</v>
      </c>
      <c r="AD348">
        <f ca="1">IF(LEFT(_xll.BDP($T348,AD$2),4)="#N/A",-1,_xll.BDP($T348,AD$2))</f>
        <v>-1</v>
      </c>
    </row>
    <row r="349" spans="1:30">
      <c r="A349">
        <f ca="1"/>
        <v>149</v>
      </c>
      <c r="B349" t="str">
        <f ca="1"/>
        <v>iW ALTERNATIVE SIF</v>
      </c>
      <c r="C349" t="str">
        <f ca="1"/>
        <v>iW ALTERNATIVE SIF</v>
      </c>
      <c r="D349">
        <f ca="1"/>
        <v>67869</v>
      </c>
      <c r="E349" t="str">
        <f ca="1"/>
        <v>COMMODITIES &amp; GOLD EQUITIES</v>
      </c>
      <c r="F349" t="str">
        <f ca="1"/>
        <v>Commodities &amp; Gold Equities</v>
      </c>
      <c r="G349">
        <f ca="1"/>
        <v>147</v>
      </c>
      <c r="H349" t="str">
        <f ca="1"/>
        <v>Pictet Fund Accounting</v>
      </c>
      <c r="I349" t="str">
        <f ca="1"/>
        <v>17509168-0</v>
      </c>
      <c r="J349" s="50">
        <f ca="1"/>
        <v>44775</v>
      </c>
      <c r="K349">
        <f ca="1"/>
        <v>35892.129999999997</v>
      </c>
      <c r="L349" t="str">
        <f ca="1"/>
        <v>67903-0</v>
      </c>
      <c r="M349" t="str">
        <f ca="1"/>
        <v>Provision directors fees</v>
      </c>
      <c r="N349" t="str">
        <f ca="1"/>
        <v>EUR</v>
      </c>
      <c r="O349" t="str">
        <f ca="1"/>
        <v>Uncategorized (Treasury)</v>
      </c>
      <c r="P349" t="str">
        <f ca="1"/>
        <v/>
      </c>
      <c r="Q349" t="str">
        <f ca="1"/>
        <v/>
      </c>
      <c r="R349" t="str">
        <f ca="1"/>
        <v/>
      </c>
      <c r="S349" t="str">
        <f ca="1"/>
        <v/>
      </c>
      <c r="T349" t="str">
        <f ca="1"/>
        <v/>
      </c>
      <c r="U349">
        <f ca="1">IF(LEFT(_xll.BDP($T349,U$2),4)="#N/A",0,_xll.BDP($T349,U$2))</f>
        <v>0</v>
      </c>
      <c r="V349" t="e">
        <f>_xll.BDP(#REF!,V$2)</f>
        <v>#REF!</v>
      </c>
      <c r="W349" t="e">
        <f>_xll.BDP(#REF!,W$2)</f>
        <v>#REF!</v>
      </c>
      <c r="X349" t="e">
        <f>_xll.BDP(#REF!,X$2)</f>
        <v>#REF!</v>
      </c>
      <c r="Y349" t="e">
        <f>_xll.BDP(#REF!,Y$2)</f>
        <v>#REF!</v>
      </c>
      <c r="Z349" t="e">
        <f>_xll.BDP(#REF!,Z$2)</f>
        <v>#REF!</v>
      </c>
      <c r="AA349" t="e">
        <f>_xll.BDP(#REF!,AA$2)</f>
        <v>#REF!</v>
      </c>
      <c r="AD349">
        <f ca="1">IF(LEFT(_xll.BDP($T349,AD$2),4)="#N/A",-1,_xll.BDP($T349,AD$2))</f>
        <v>-1</v>
      </c>
    </row>
    <row r="350" spans="1:30">
      <c r="A350">
        <f ca="1"/>
        <v>149</v>
      </c>
      <c r="B350" t="str">
        <f ca="1"/>
        <v>iW ALTERNATIVE SIF</v>
      </c>
      <c r="C350" t="str">
        <f ca="1"/>
        <v>iW ALTERNATIVE SIF</v>
      </c>
      <c r="D350">
        <f ca="1"/>
        <v>67869</v>
      </c>
      <c r="E350" t="str">
        <f ca="1"/>
        <v>COMMODITIES &amp; GOLD EQUITIES</v>
      </c>
      <c r="F350" t="str">
        <f ca="1"/>
        <v>Commodities &amp; Gold Equities</v>
      </c>
      <c r="G350">
        <f ca="1"/>
        <v>147</v>
      </c>
      <c r="H350" t="str">
        <f ca="1"/>
        <v>Pictet Fund Accounting</v>
      </c>
      <c r="I350" t="str">
        <f ca="1"/>
        <v>17509175-0</v>
      </c>
      <c r="J350" s="50">
        <f ca="1"/>
        <v>44775</v>
      </c>
      <c r="K350">
        <f ca="1"/>
        <v>-299.05</v>
      </c>
      <c r="L350" t="str">
        <f ca="1"/>
        <v>67893-0</v>
      </c>
      <c r="M350" t="str">
        <f ca="1"/>
        <v>Provision Domiciliation fees</v>
      </c>
      <c r="N350" t="str">
        <f ca="1"/>
        <v>EUR</v>
      </c>
      <c r="O350" t="str">
        <f ca="1"/>
        <v>Uncategorized (Treasury)</v>
      </c>
      <c r="P350" t="str">
        <f ca="1"/>
        <v/>
      </c>
      <c r="Q350" t="str">
        <f ca="1"/>
        <v/>
      </c>
      <c r="R350" t="str">
        <f ca="1"/>
        <v/>
      </c>
      <c r="S350" t="str">
        <f ca="1"/>
        <v/>
      </c>
      <c r="T350" t="str">
        <f ca="1"/>
        <v/>
      </c>
      <c r="U350">
        <f ca="1">IF(LEFT(_xll.BDP($T350,U$2),4)="#N/A",0,_xll.BDP($T350,U$2))</f>
        <v>0</v>
      </c>
      <c r="V350" t="e">
        <f>_xll.BDP(#REF!,V$2)</f>
        <v>#REF!</v>
      </c>
      <c r="W350" t="e">
        <f>_xll.BDP(#REF!,W$2)</f>
        <v>#REF!</v>
      </c>
      <c r="X350" t="e">
        <f>_xll.BDP(#REF!,X$2)</f>
        <v>#REF!</v>
      </c>
      <c r="Y350" t="e">
        <f>_xll.BDP(#REF!,Y$2)</f>
        <v>#REF!</v>
      </c>
      <c r="Z350" t="e">
        <f>_xll.BDP(#REF!,Z$2)</f>
        <v>#REF!</v>
      </c>
      <c r="AA350" t="e">
        <f>_xll.BDP(#REF!,AA$2)</f>
        <v>#REF!</v>
      </c>
      <c r="AD350">
        <f ca="1">IF(LEFT(_xll.BDP($T350,AD$2),4)="#N/A",-1,_xll.BDP($T350,AD$2))</f>
        <v>-1</v>
      </c>
    </row>
    <row r="351" spans="1:30">
      <c r="A351">
        <f ca="1"/>
        <v>149</v>
      </c>
      <c r="B351" t="str">
        <f ca="1"/>
        <v>iW ALTERNATIVE SIF</v>
      </c>
      <c r="C351" t="str">
        <f ca="1"/>
        <v>iW ALTERNATIVE SIF</v>
      </c>
      <c r="D351">
        <f ca="1"/>
        <v>67869</v>
      </c>
      <c r="E351" t="str">
        <f ca="1"/>
        <v>COMMODITIES &amp; GOLD EQUITIES</v>
      </c>
      <c r="F351" t="str">
        <f ca="1"/>
        <v>Commodities &amp; Gold Equities</v>
      </c>
      <c r="G351">
        <f ca="1"/>
        <v>147</v>
      </c>
      <c r="H351" t="str">
        <f ca="1"/>
        <v>Pictet Fund Accounting</v>
      </c>
      <c r="I351" t="str">
        <f ca="1"/>
        <v>17509230-0</v>
      </c>
      <c r="J351" s="50">
        <f ca="1"/>
        <v>44775</v>
      </c>
      <c r="K351">
        <f ca="1"/>
        <v>-497.89</v>
      </c>
      <c r="L351" t="str">
        <f ca="1"/>
        <v>67894-0</v>
      </c>
      <c r="M351" t="str">
        <f ca="1"/>
        <v>Provision Mgt Institutional</v>
      </c>
      <c r="N351" t="str">
        <f ca="1"/>
        <v>EUR</v>
      </c>
      <c r="O351" t="str">
        <f ca="1"/>
        <v>Uncategorized (Treasury)</v>
      </c>
      <c r="P351" t="str">
        <f ca="1"/>
        <v/>
      </c>
      <c r="Q351" t="str">
        <f ca="1"/>
        <v/>
      </c>
      <c r="R351" t="str">
        <f ca="1"/>
        <v/>
      </c>
      <c r="S351" t="str">
        <f ca="1"/>
        <v/>
      </c>
      <c r="T351" t="str">
        <f ca="1"/>
        <v/>
      </c>
      <c r="U351">
        <f ca="1">IF(LEFT(_xll.BDP($T351,U$2),4)="#N/A",0,_xll.BDP($T351,U$2))</f>
        <v>0</v>
      </c>
      <c r="V351" t="e">
        <f>_xll.BDP(#REF!,V$2)</f>
        <v>#REF!</v>
      </c>
      <c r="W351" t="e">
        <f>_xll.BDP(#REF!,W$2)</f>
        <v>#REF!</v>
      </c>
      <c r="X351" t="e">
        <f>_xll.BDP(#REF!,X$2)</f>
        <v>#REF!</v>
      </c>
      <c r="Y351" t="e">
        <f>_xll.BDP(#REF!,Y$2)</f>
        <v>#REF!</v>
      </c>
      <c r="Z351" t="e">
        <f>_xll.BDP(#REF!,Z$2)</f>
        <v>#REF!</v>
      </c>
      <c r="AA351" t="e">
        <f>_xll.BDP(#REF!,AA$2)</f>
        <v>#REF!</v>
      </c>
      <c r="AD351">
        <f ca="1">IF(LEFT(_xll.BDP($T351,AD$2),4)="#N/A",-1,_xll.BDP($T351,AD$2))</f>
        <v>-1</v>
      </c>
    </row>
    <row r="352" spans="1:30">
      <c r="A352">
        <f ca="1"/>
        <v>149</v>
      </c>
      <c r="B352" t="str">
        <f ca="1"/>
        <v>iW ALTERNATIVE SIF</v>
      </c>
      <c r="C352" t="str">
        <f ca="1"/>
        <v>iW ALTERNATIVE SIF</v>
      </c>
      <c r="D352">
        <f ca="1"/>
        <v>67869</v>
      </c>
      <c r="E352" t="str">
        <f ca="1"/>
        <v>COMMODITIES &amp; GOLD EQUITIES</v>
      </c>
      <c r="F352" t="str">
        <f ca="1"/>
        <v>Commodities &amp; Gold Equities</v>
      </c>
      <c r="G352">
        <f ca="1"/>
        <v>147</v>
      </c>
      <c r="H352" t="str">
        <f ca="1"/>
        <v>Pictet Fund Accounting</v>
      </c>
      <c r="I352" t="str">
        <f ca="1"/>
        <v>17509227-0</v>
      </c>
      <c r="J352" s="50">
        <f ca="1"/>
        <v>44775</v>
      </c>
      <c r="K352">
        <f ca="1"/>
        <v>-1630.15</v>
      </c>
      <c r="L352" t="str">
        <f ca="1"/>
        <v>67892-0</v>
      </c>
      <c r="M352" t="str">
        <f ca="1"/>
        <v>Provision Mgt Private</v>
      </c>
      <c r="N352" t="str">
        <f ca="1"/>
        <v>EUR</v>
      </c>
      <c r="O352" t="str">
        <f ca="1"/>
        <v>Uncategorized (Treasury)</v>
      </c>
      <c r="P352" t="str">
        <f ca="1"/>
        <v/>
      </c>
      <c r="Q352" t="str">
        <f ca="1"/>
        <v/>
      </c>
      <c r="R352" t="str">
        <f ca="1"/>
        <v/>
      </c>
      <c r="S352" t="str">
        <f ca="1"/>
        <v/>
      </c>
      <c r="T352" t="str">
        <f ca="1"/>
        <v/>
      </c>
      <c r="U352">
        <f ca="1">IF(LEFT(_xll.BDP($T352,U$2),4)="#N/A",0,_xll.BDP($T352,U$2))</f>
        <v>0</v>
      </c>
      <c r="V352" t="e">
        <f>_xll.BDP(#REF!,V$2)</f>
        <v>#REF!</v>
      </c>
      <c r="W352" t="e">
        <f>_xll.BDP(#REF!,W$2)</f>
        <v>#REF!</v>
      </c>
      <c r="X352" t="e">
        <f>_xll.BDP(#REF!,X$2)</f>
        <v>#REF!</v>
      </c>
      <c r="Y352" t="e">
        <f>_xll.BDP(#REF!,Y$2)</f>
        <v>#REF!</v>
      </c>
      <c r="Z352" t="e">
        <f>_xll.BDP(#REF!,Z$2)</f>
        <v>#REF!</v>
      </c>
      <c r="AA352" t="e">
        <f>_xll.BDP(#REF!,AA$2)</f>
        <v>#REF!</v>
      </c>
      <c r="AD352">
        <f ca="1">IF(LEFT(_xll.BDP($T352,AD$2),4)="#N/A",-1,_xll.BDP($T352,AD$2))</f>
        <v>-1</v>
      </c>
    </row>
    <row r="353" spans="1:30">
      <c r="A353">
        <f ca="1"/>
        <v>149</v>
      </c>
      <c r="B353" t="str">
        <f ca="1"/>
        <v>iW ALTERNATIVE SIF</v>
      </c>
      <c r="C353" t="str">
        <f ca="1"/>
        <v>iW ALTERNATIVE SIF</v>
      </c>
      <c r="D353">
        <f ca="1"/>
        <v>67869</v>
      </c>
      <c r="E353" t="str">
        <f ca="1"/>
        <v>COMMODITIES &amp; GOLD EQUITIES</v>
      </c>
      <c r="F353" t="str">
        <f ca="1"/>
        <v>Commodities &amp; Gold Equities</v>
      </c>
      <c r="G353">
        <f ca="1"/>
        <v>147</v>
      </c>
      <c r="H353" t="str">
        <f ca="1"/>
        <v>Pictet Fund Accounting</v>
      </c>
      <c r="I353" t="str">
        <f ca="1"/>
        <v>17509275-0</v>
      </c>
      <c r="J353" s="50">
        <f ca="1"/>
        <v>44775</v>
      </c>
      <c r="K353">
        <f ca="1"/>
        <v>-59.78</v>
      </c>
      <c r="L353" t="str">
        <f ca="1"/>
        <v>67902-0</v>
      </c>
      <c r="M353" t="str">
        <f ca="1"/>
        <v>Provision VAT Declaration</v>
      </c>
      <c r="N353" t="str">
        <f ca="1"/>
        <v>EUR</v>
      </c>
      <c r="O353" t="str">
        <f ca="1"/>
        <v>Uncategorized (Treasury)</v>
      </c>
      <c r="P353" t="str">
        <f ca="1"/>
        <v/>
      </c>
      <c r="Q353" t="str">
        <f ca="1"/>
        <v/>
      </c>
      <c r="R353" t="str">
        <f ca="1"/>
        <v/>
      </c>
      <c r="S353" t="str">
        <f ca="1"/>
        <v/>
      </c>
      <c r="T353" t="str">
        <f ca="1"/>
        <v/>
      </c>
      <c r="U353">
        <f ca="1">IF(LEFT(_xll.BDP($T353,U$2),4)="#N/A",0,_xll.BDP($T353,U$2))</f>
        <v>0</v>
      </c>
      <c r="V353" t="e">
        <f>_xll.BDP(#REF!,V$2)</f>
        <v>#REF!</v>
      </c>
      <c r="W353" t="e">
        <f>_xll.BDP(#REF!,W$2)</f>
        <v>#REF!</v>
      </c>
      <c r="X353" t="e">
        <f>_xll.BDP(#REF!,X$2)</f>
        <v>#REF!</v>
      </c>
      <c r="Y353" t="e">
        <f>_xll.BDP(#REF!,Y$2)</f>
        <v>#REF!</v>
      </c>
      <c r="Z353" t="e">
        <f>_xll.BDP(#REF!,Z$2)</f>
        <v>#REF!</v>
      </c>
      <c r="AA353" t="e">
        <f>_xll.BDP(#REF!,AA$2)</f>
        <v>#REF!</v>
      </c>
      <c r="AD353">
        <f ca="1">IF(LEFT(_xll.BDP($T353,AD$2),4)="#N/A",-1,_xll.BDP($T353,AD$2))</f>
        <v>-1</v>
      </c>
    </row>
    <row r="354" spans="1:30">
      <c r="A354">
        <f ca="1"/>
        <v>149</v>
      </c>
      <c r="B354" t="str">
        <f ca="1"/>
        <v>iW ALTERNATIVE SIF</v>
      </c>
      <c r="C354" t="str">
        <f ca="1"/>
        <v>iW ALTERNATIVE SIF</v>
      </c>
      <c r="D354">
        <f ca="1"/>
        <v>67869</v>
      </c>
      <c r="E354" t="str">
        <f ca="1"/>
        <v>COMMODITIES &amp; GOLD EQUITIES</v>
      </c>
      <c r="F354" t="str">
        <f ca="1"/>
        <v>Commodities &amp; Gold Equities</v>
      </c>
      <c r="G354">
        <f ca="1"/>
        <v>147</v>
      </c>
      <c r="H354" t="str">
        <f ca="1"/>
        <v>Pictet Fund Accounting</v>
      </c>
      <c r="I354" t="str">
        <f ca="1"/>
        <v>17509196-0</v>
      </c>
      <c r="J354" s="50">
        <f ca="1"/>
        <v>44775</v>
      </c>
      <c r="K354">
        <f ca="1"/>
        <v>-19.920000000000002</v>
      </c>
      <c r="L354" t="str">
        <f ca="1"/>
        <v>119820-0</v>
      </c>
      <c r="M354" t="str">
        <f ca="1"/>
        <v>Ultimate Beneficial declaratio</v>
      </c>
      <c r="N354" t="str">
        <f ca="1"/>
        <v>EUR</v>
      </c>
      <c r="O354" t="str">
        <f ca="1"/>
        <v>Uncategorized (Treasury)</v>
      </c>
      <c r="P354" t="str">
        <f ca="1"/>
        <v/>
      </c>
      <c r="Q354" t="str">
        <f ca="1"/>
        <v/>
      </c>
      <c r="R354" t="str">
        <f ca="1"/>
        <v/>
      </c>
      <c r="S354" t="str">
        <f ca="1"/>
        <v/>
      </c>
      <c r="T354" t="str">
        <f ca="1"/>
        <v/>
      </c>
      <c r="U354">
        <f ca="1">IF(LEFT(_xll.BDP($T354,U$2),4)="#N/A",0,_xll.BDP($T354,U$2))</f>
        <v>0</v>
      </c>
      <c r="V354" t="e">
        <f>_xll.BDP(#REF!,V$2)</f>
        <v>#REF!</v>
      </c>
      <c r="W354" t="e">
        <f>_xll.BDP(#REF!,W$2)</f>
        <v>#REF!</v>
      </c>
      <c r="X354" t="e">
        <f>_xll.BDP(#REF!,X$2)</f>
        <v>#REF!</v>
      </c>
      <c r="Y354" t="e">
        <f>_xll.BDP(#REF!,Y$2)</f>
        <v>#REF!</v>
      </c>
      <c r="Z354" t="e">
        <f>_xll.BDP(#REF!,Z$2)</f>
        <v>#REF!</v>
      </c>
      <c r="AA354" t="e">
        <f>_xll.BDP(#REF!,AA$2)</f>
        <v>#REF!</v>
      </c>
      <c r="AD354">
        <f ca="1">IF(LEFT(_xll.BDP($T354,AD$2),4)="#N/A",-1,_xll.BDP($T354,AD$2))</f>
        <v>-1</v>
      </c>
    </row>
    <row r="355" spans="1:30">
      <c r="A355">
        <f ca="1"/>
        <v>149</v>
      </c>
      <c r="B355" t="str">
        <f ca="1"/>
        <v>iW ALTERNATIVE SIF</v>
      </c>
      <c r="C355" t="str">
        <f ca="1"/>
        <v>iW ALTERNATIVE SIF</v>
      </c>
      <c r="D355">
        <f ca="1"/>
        <v>67869</v>
      </c>
      <c r="E355" t="str">
        <f ca="1"/>
        <v>COMMODITIES &amp; GOLD EQUITIES</v>
      </c>
      <c r="F355" t="str">
        <f ca="1"/>
        <v>Commodities &amp; Gold Equities</v>
      </c>
      <c r="G355">
        <f ca="1"/>
        <v>147</v>
      </c>
      <c r="H355" t="str">
        <f ca="1"/>
        <v>Pictet Fund Accounting</v>
      </c>
      <c r="I355" t="str">
        <f ca="1"/>
        <v>17509169-0</v>
      </c>
      <c r="J355" s="50">
        <f ca="1"/>
        <v>44775</v>
      </c>
      <c r="K355">
        <f ca="1"/>
        <v>21686</v>
      </c>
      <c r="L355" t="str">
        <f ca="1"/>
        <v>115006-0</v>
      </c>
      <c r="M355" t="str">
        <f ca="1"/>
        <v>TREASURY METALS (1.5) WTS 070823</v>
      </c>
      <c r="N355" t="str">
        <f ca="1"/>
        <v>CAD</v>
      </c>
      <c r="O355" t="str">
        <f ca="1"/>
        <v>Warrant</v>
      </c>
      <c r="P355" t="str">
        <f ca="1"/>
        <v/>
      </c>
      <c r="Q355" t="str">
        <f ca="1"/>
        <v/>
      </c>
      <c r="R355" t="str">
        <f ca="1"/>
        <v>CA8946472476</v>
      </c>
      <c r="S355" t="str">
        <f ca="1"/>
        <v/>
      </c>
      <c r="T355" t="str">
        <f ca="1"/>
        <v>TML-W CN Equity</v>
      </c>
      <c r="U355">
        <f ca="1">IF(LEFT(_xll.BDP($T355,U$2),4)="#N/A",0,_xll.BDP($T355,U$2))</f>
        <v>0</v>
      </c>
      <c r="V355" t="e">
        <f>_xll.BDP(#REF!,V$2)</f>
        <v>#REF!</v>
      </c>
      <c r="W355" t="e">
        <f>_xll.BDP(#REF!,W$2)</f>
        <v>#REF!</v>
      </c>
      <c r="X355" t="e">
        <f>_xll.BDP(#REF!,X$2)</f>
        <v>#REF!</v>
      </c>
      <c r="Y355" t="e">
        <f>_xll.BDP(#REF!,Y$2)</f>
        <v>#REF!</v>
      </c>
      <c r="Z355" t="e">
        <f>_xll.BDP(#REF!,Z$2)</f>
        <v>#REF!</v>
      </c>
      <c r="AA355" t="e">
        <f>_xll.BDP(#REF!,AA$2)</f>
        <v>#REF!</v>
      </c>
      <c r="AD355">
        <f ca="1">IF(LEFT(_xll.BDP($T355,AD$2),4)="#N/A",-1,_xll.BDP($T355,AD$2))</f>
        <v>3399.5</v>
      </c>
    </row>
    <row r="356" spans="1:30">
      <c r="A356">
        <f ca="1"/>
        <v>149</v>
      </c>
      <c r="B356" t="str">
        <f ca="1"/>
        <v>iW ALTERNATIVE SIF</v>
      </c>
      <c r="C356" t="str">
        <f ca="1"/>
        <v>iW ALTERNATIVE SIF</v>
      </c>
      <c r="D356">
        <f ca="1"/>
        <v>68098</v>
      </c>
      <c r="E356" t="str">
        <f ca="1"/>
        <v>LOW RISK</v>
      </c>
      <c r="F356" t="str">
        <f ca="1"/>
        <v>Low Risk</v>
      </c>
      <c r="G356">
        <f ca="1"/>
        <v>147</v>
      </c>
      <c r="H356" t="str">
        <f ca="1"/>
        <v>Pictet Fund Accounting</v>
      </c>
      <c r="I356" t="str">
        <f ca="1"/>
        <v>17417528-0</v>
      </c>
      <c r="J356" s="50">
        <f ca="1"/>
        <v>44764</v>
      </c>
      <c r="K356">
        <f ca="1"/>
        <v>1125890.4099999999</v>
      </c>
      <c r="L356" t="str">
        <f ca="1"/>
        <v>60587-0</v>
      </c>
      <c r="M356" t="str">
        <f ca="1"/>
        <v>Current account Pictet &amp; Cie (Europe) S.A. @@@</v>
      </c>
      <c r="N356" t="str">
        <f ca="1"/>
        <v>EUR</v>
      </c>
      <c r="O356" t="str">
        <f ca="1"/>
        <v>Cash</v>
      </c>
      <c r="P356" t="str">
        <f ca="1"/>
        <v/>
      </c>
      <c r="Q356" t="str">
        <f ca="1"/>
        <v/>
      </c>
      <c r="R356" t="str">
        <f ca="1"/>
        <v/>
      </c>
      <c r="S356" t="str">
        <f ca="1"/>
        <v/>
      </c>
      <c r="T356" t="str">
        <f ca="1"/>
        <v/>
      </c>
      <c r="U356">
        <f ca="1">IF(LEFT(_xll.BDP($T356,U$2),4)="#N/A",0,_xll.BDP($T356,U$2))</f>
        <v>0</v>
      </c>
      <c r="V356" t="e">
        <f>_xll.BDP(#REF!,V$2)</f>
        <v>#REF!</v>
      </c>
      <c r="W356" t="e">
        <f>_xll.BDP(#REF!,W$2)</f>
        <v>#REF!</v>
      </c>
      <c r="X356" t="e">
        <f>_xll.BDP(#REF!,X$2)</f>
        <v>#REF!</v>
      </c>
      <c r="Y356" t="e">
        <f>_xll.BDP(#REF!,Y$2)</f>
        <v>#REF!</v>
      </c>
      <c r="Z356" t="e">
        <f>_xll.BDP(#REF!,Z$2)</f>
        <v>#REF!</v>
      </c>
      <c r="AA356" t="e">
        <f>_xll.BDP(#REF!,AA$2)</f>
        <v>#REF!</v>
      </c>
      <c r="AD356">
        <f ca="1">IF(LEFT(_xll.BDP($T356,AD$2),4)="#N/A",-1,_xll.BDP($T356,AD$2))</f>
        <v>-1</v>
      </c>
    </row>
    <row r="357" spans="1:30">
      <c r="A357">
        <f ca="1"/>
        <v>149</v>
      </c>
      <c r="B357" t="str">
        <f ca="1"/>
        <v>iW ALTERNATIVE SIF</v>
      </c>
      <c r="C357" t="str">
        <f ca="1"/>
        <v>iW ALTERNATIVE SIF</v>
      </c>
      <c r="D357">
        <f ca="1"/>
        <v>68098</v>
      </c>
      <c r="E357" t="str">
        <f ca="1"/>
        <v>LOW RISK</v>
      </c>
      <c r="F357" t="str">
        <f ca="1"/>
        <v>Low Risk</v>
      </c>
      <c r="G357">
        <f ca="1"/>
        <v>147</v>
      </c>
      <c r="H357" t="str">
        <f ca="1"/>
        <v>Pictet Fund Accounting</v>
      </c>
      <c r="I357" t="str">
        <f ca="1"/>
        <v>17417533-0</v>
      </c>
      <c r="J357" s="50">
        <f ca="1"/>
        <v>44764</v>
      </c>
      <c r="K357">
        <f ca="1"/>
        <v>7534.232</v>
      </c>
      <c r="L357" t="str">
        <f ca="1"/>
        <v>139609-0</v>
      </c>
      <c r="M357" t="str">
        <f ca="1"/>
        <v>DCM SYSTEMATIC-DIVERS.ALPHA P EUR</v>
      </c>
      <c r="N357" t="str">
        <f ca="1"/>
        <v>EUR</v>
      </c>
      <c r="O357" t="str">
        <f ca="1"/>
        <v>Investment Fund</v>
      </c>
      <c r="P357" t="str">
        <f ca="1"/>
        <v/>
      </c>
      <c r="Q357" t="str">
        <f ca="1"/>
        <v/>
      </c>
      <c r="R357" t="str">
        <f ca="1"/>
        <v>LU1212745589</v>
      </c>
      <c r="S357" t="str">
        <f ca="1"/>
        <v/>
      </c>
      <c r="T357" t="str">
        <f ca="1"/>
        <v>DCMSYPE LX Equity</v>
      </c>
      <c r="U357">
        <f ca="1">IF(LEFT(_xll.BDP($T357,U$2),4)="#N/A",0,_xll.BDP($T357,U$2))</f>
        <v>0</v>
      </c>
      <c r="V357" t="e">
        <f>_xll.BDP(#REF!,V$2)</f>
        <v>#REF!</v>
      </c>
      <c r="W357" t="e">
        <f>_xll.BDP(#REF!,W$2)</f>
        <v>#REF!</v>
      </c>
      <c r="X357" t="e">
        <f>_xll.BDP(#REF!,X$2)</f>
        <v>#REF!</v>
      </c>
      <c r="Y357" t="e">
        <f>_xll.BDP(#REF!,Y$2)</f>
        <v>#REF!</v>
      </c>
      <c r="Z357" t="e">
        <f>_xll.BDP(#REF!,Z$2)</f>
        <v>#REF!</v>
      </c>
      <c r="AA357" t="e">
        <f>_xll.BDP(#REF!,AA$2)</f>
        <v>#REF!</v>
      </c>
      <c r="AD357">
        <f ca="1">IF(LEFT(_xll.BDP($T357,AD$2),4)="#N/A",-1,_xll.BDP($T357,AD$2))</f>
        <v>-1</v>
      </c>
    </row>
    <row r="358" spans="1:30">
      <c r="A358">
        <f ca="1"/>
        <v>149</v>
      </c>
      <c r="B358" t="str">
        <f ca="1"/>
        <v>iW ALTERNATIVE SIF</v>
      </c>
      <c r="C358" t="str">
        <f ca="1"/>
        <v>iW ALTERNATIVE SIF</v>
      </c>
      <c r="D358">
        <f ca="1"/>
        <v>68098</v>
      </c>
      <c r="E358" t="str">
        <f ca="1"/>
        <v>LOW RISK</v>
      </c>
      <c r="F358" t="str">
        <f ca="1"/>
        <v>Low Risk</v>
      </c>
      <c r="G358">
        <f ca="1"/>
        <v>147</v>
      </c>
      <c r="H358" t="str">
        <f ca="1"/>
        <v>Pictet Fund Accounting</v>
      </c>
      <c r="I358" t="str">
        <f ca="1"/>
        <v>17417526-0</v>
      </c>
      <c r="J358" s="50">
        <f ca="1"/>
        <v>44764</v>
      </c>
      <c r="K358">
        <f ca="1"/>
        <v>4562.8209999999999</v>
      </c>
      <c r="L358" t="str">
        <f ca="1"/>
        <v>68793-0</v>
      </c>
      <c r="M358" t="str">
        <f ca="1"/>
        <v>HARVEST IFS-GLOBAL CONVERTIBLE H</v>
      </c>
      <c r="N358" t="str">
        <f ca="1"/>
        <v>EUR</v>
      </c>
      <c r="O358" t="str">
        <f ca="1"/>
        <v>Investment Fund</v>
      </c>
      <c r="P358" t="str">
        <f ca="1"/>
        <v/>
      </c>
      <c r="Q358" t="str">
        <f ca="1"/>
        <v/>
      </c>
      <c r="R358" t="str">
        <f ca="1"/>
        <v>LU0944844058</v>
      </c>
      <c r="S358" t="str">
        <f ca="1"/>
        <v/>
      </c>
      <c r="T358" t="str">
        <f ca="1"/>
        <v>HVGLHAE LX Equity</v>
      </c>
      <c r="U358">
        <f ca="1">IF(LEFT(_xll.BDP($T358,U$2),4)="#N/A",0,_xll.BDP($T358,U$2))</f>
        <v>0</v>
      </c>
      <c r="V358" t="e">
        <f>_xll.BDP(#REF!,V$2)</f>
        <v>#REF!</v>
      </c>
      <c r="W358" t="e">
        <f>_xll.BDP(#REF!,W$2)</f>
        <v>#REF!</v>
      </c>
      <c r="X358" t="e">
        <f>_xll.BDP(#REF!,X$2)</f>
        <v>#REF!</v>
      </c>
      <c r="Y358" t="e">
        <f>_xll.BDP(#REF!,Y$2)</f>
        <v>#REF!</v>
      </c>
      <c r="Z358" t="e">
        <f>_xll.BDP(#REF!,Z$2)</f>
        <v>#REF!</v>
      </c>
      <c r="AA358" t="e">
        <f>_xll.BDP(#REF!,AA$2)</f>
        <v>#REF!</v>
      </c>
      <c r="AD358">
        <f ca="1">IF(LEFT(_xll.BDP($T358,AD$2),4)="#N/A",-1,_xll.BDP($T358,AD$2))</f>
        <v>-1</v>
      </c>
    </row>
    <row r="359" spans="1:30">
      <c r="A359">
        <f ca="1"/>
        <v>149</v>
      </c>
      <c r="B359" t="str">
        <f ca="1"/>
        <v>iW ALTERNATIVE SIF</v>
      </c>
      <c r="C359" t="str">
        <f ca="1"/>
        <v>iW ALTERNATIVE SIF</v>
      </c>
      <c r="D359">
        <f ca="1"/>
        <v>68098</v>
      </c>
      <c r="E359" t="str">
        <f ca="1"/>
        <v>LOW RISK</v>
      </c>
      <c r="F359" t="str">
        <f ca="1"/>
        <v>Low Risk</v>
      </c>
      <c r="G359">
        <f ca="1"/>
        <v>147</v>
      </c>
      <c r="H359" t="str">
        <f ca="1"/>
        <v>Pictet Fund Accounting</v>
      </c>
      <c r="I359" t="str">
        <f ca="1"/>
        <v>17417532-0</v>
      </c>
      <c r="J359" s="50">
        <f ca="1"/>
        <v>44764</v>
      </c>
      <c r="K359">
        <f ca="1"/>
        <v>994.04399999999998</v>
      </c>
      <c r="L359" t="str">
        <f ca="1"/>
        <v>68795-0</v>
      </c>
      <c r="M359" t="str">
        <f ca="1"/>
        <v>IW ALTERNATIVE SIF-REVO I EUR-ACC.</v>
      </c>
      <c r="N359" t="str">
        <f ca="1"/>
        <v>EUR</v>
      </c>
      <c r="O359" t="str">
        <f ca="1"/>
        <v>Investment Fund</v>
      </c>
      <c r="P359" t="str">
        <f ca="1"/>
        <v/>
      </c>
      <c r="Q359" t="str">
        <f ca="1"/>
        <v/>
      </c>
      <c r="R359" t="str">
        <f ca="1"/>
        <v>LU2110340333</v>
      </c>
      <c r="S359" t="str">
        <f ca="1"/>
        <v/>
      </c>
      <c r="T359" t="str">
        <f ca="1"/>
        <v>IWREIEA LX Equity</v>
      </c>
      <c r="U359">
        <f ca="1">IF(LEFT(_xll.BDP($T359,U$2),4)="#N/A",0,_xll.BDP($T359,U$2))</f>
        <v>0</v>
      </c>
      <c r="V359" t="e">
        <f>_xll.BDP(#REF!,V$2)</f>
        <v>#REF!</v>
      </c>
      <c r="W359" t="e">
        <f>_xll.BDP(#REF!,W$2)</f>
        <v>#REF!</v>
      </c>
      <c r="X359" t="e">
        <f>_xll.BDP(#REF!,X$2)</f>
        <v>#REF!</v>
      </c>
      <c r="Y359" t="e">
        <f>_xll.BDP(#REF!,Y$2)</f>
        <v>#REF!</v>
      </c>
      <c r="Z359" t="e">
        <f>_xll.BDP(#REF!,Z$2)</f>
        <v>#REF!</v>
      </c>
      <c r="AA359" t="e">
        <f>_xll.BDP(#REF!,AA$2)</f>
        <v>#REF!</v>
      </c>
      <c r="AD359">
        <f ca="1">IF(LEFT(_xll.BDP($T359,AD$2),4)="#N/A",-1,_xll.BDP($T359,AD$2))</f>
        <v>-1</v>
      </c>
    </row>
    <row r="360" spans="1:30">
      <c r="A360">
        <f ca="1"/>
        <v>149</v>
      </c>
      <c r="B360" t="str">
        <f ca="1"/>
        <v>iW ALTERNATIVE SIF</v>
      </c>
      <c r="C360" t="str">
        <f ca="1"/>
        <v>iW ALTERNATIVE SIF</v>
      </c>
      <c r="D360">
        <f ca="1"/>
        <v>68098</v>
      </c>
      <c r="E360" t="str">
        <f ca="1"/>
        <v>LOW RISK</v>
      </c>
      <c r="F360" t="str">
        <f ca="1"/>
        <v>Low Risk</v>
      </c>
      <c r="G360">
        <f ca="1"/>
        <v>147</v>
      </c>
      <c r="H360" t="str">
        <f ca="1"/>
        <v>Pictet Fund Accounting</v>
      </c>
      <c r="I360" t="str">
        <f ca="1"/>
        <v>17417541-0</v>
      </c>
      <c r="J360" s="50">
        <f ca="1"/>
        <v>44764</v>
      </c>
      <c r="K360">
        <f ca="1"/>
        <v>1267.8869999999999</v>
      </c>
      <c r="L360" t="str">
        <f ca="1"/>
        <v>77675-0</v>
      </c>
      <c r="M360" t="str">
        <f ca="1"/>
        <v>IW ALTERNATIVE-COMMODITIES I EUR</v>
      </c>
      <c r="N360" t="str">
        <f ca="1"/>
        <v>EUR</v>
      </c>
      <c r="O360" t="str">
        <f ca="1"/>
        <v>Investment Fund</v>
      </c>
      <c r="P360" t="str">
        <f ca="1"/>
        <v/>
      </c>
      <c r="Q360" t="str">
        <f ca="1"/>
        <v/>
      </c>
      <c r="R360" t="str">
        <f ca="1"/>
        <v>LU1244155518</v>
      </c>
      <c r="S360" t="str">
        <f ca="1"/>
        <v/>
      </c>
      <c r="T360" t="str">
        <f ca="1"/>
        <v>IWCOMIE LX Equity</v>
      </c>
      <c r="U360">
        <f ca="1">IF(LEFT(_xll.BDP($T360,U$2),4)="#N/A",0,_xll.BDP($T360,U$2))</f>
        <v>0</v>
      </c>
      <c r="V360" t="e">
        <f>_xll.BDP(#REF!,V$2)</f>
        <v>#REF!</v>
      </c>
      <c r="W360" t="e">
        <f>_xll.BDP(#REF!,W$2)</f>
        <v>#REF!</v>
      </c>
      <c r="X360" t="e">
        <f>_xll.BDP(#REF!,X$2)</f>
        <v>#REF!</v>
      </c>
      <c r="Y360" t="e">
        <f>_xll.BDP(#REF!,Y$2)</f>
        <v>#REF!</v>
      </c>
      <c r="Z360" t="e">
        <f>_xll.BDP(#REF!,Z$2)</f>
        <v>#REF!</v>
      </c>
      <c r="AA360" t="e">
        <f>_xll.BDP(#REF!,AA$2)</f>
        <v>#REF!</v>
      </c>
      <c r="AD360">
        <f ca="1">IF(LEFT(_xll.BDP($T360,AD$2),4)="#N/A",-1,_xll.BDP($T360,AD$2))</f>
        <v>-1</v>
      </c>
    </row>
    <row r="361" spans="1:30">
      <c r="A361">
        <f ca="1"/>
        <v>149</v>
      </c>
      <c r="B361" t="str">
        <f ca="1"/>
        <v>iW ALTERNATIVE SIF</v>
      </c>
      <c r="C361" t="str">
        <f ca="1"/>
        <v>iW ALTERNATIVE SIF</v>
      </c>
      <c r="D361">
        <f ca="1"/>
        <v>68098</v>
      </c>
      <c r="E361" t="str">
        <f ca="1"/>
        <v>LOW RISK</v>
      </c>
      <c r="F361" t="str">
        <f ca="1"/>
        <v>Low Risk</v>
      </c>
      <c r="G361">
        <f ca="1"/>
        <v>147</v>
      </c>
      <c r="H361" t="str">
        <f ca="1"/>
        <v>Pictet Fund Accounting</v>
      </c>
      <c r="I361" t="str">
        <f ca="1"/>
        <v>17417543-0</v>
      </c>
      <c r="J361" s="50">
        <f ca="1"/>
        <v>44764</v>
      </c>
      <c r="K361">
        <f ca="1"/>
        <v>4669.47</v>
      </c>
      <c r="L361" t="str">
        <f ca="1"/>
        <v>67921-0</v>
      </c>
      <c r="M361" t="str">
        <f ca="1"/>
        <v>PROTEA II-IW PR.M.MIN.EQ.S1 EUR-ACC</v>
      </c>
      <c r="N361" t="str">
        <f ca="1"/>
        <v>EUR</v>
      </c>
      <c r="O361" t="str">
        <f ca="1"/>
        <v>Investment Fund</v>
      </c>
      <c r="P361" t="str">
        <f ca="1"/>
        <v/>
      </c>
      <c r="Q361" t="str">
        <f ca="1"/>
        <v/>
      </c>
      <c r="R361" t="str">
        <f ca="1"/>
        <v>LU1726319756</v>
      </c>
      <c r="S361" t="str">
        <f ca="1"/>
        <v/>
      </c>
      <c r="T361" t="str">
        <f ca="1"/>
        <v>PMMS1EC LX Equity</v>
      </c>
      <c r="U361">
        <f ca="1">IF(LEFT(_xll.BDP($T361,U$2),4)="#N/A",0,_xll.BDP($T361,U$2))</f>
        <v>0</v>
      </c>
      <c r="V361" t="e">
        <f>_xll.BDP(#REF!,V$2)</f>
        <v>#REF!</v>
      </c>
      <c r="W361" t="e">
        <f>_xll.BDP(#REF!,W$2)</f>
        <v>#REF!</v>
      </c>
      <c r="X361" t="e">
        <f>_xll.BDP(#REF!,X$2)</f>
        <v>#REF!</v>
      </c>
      <c r="Y361" t="e">
        <f>_xll.BDP(#REF!,Y$2)</f>
        <v>#REF!</v>
      </c>
      <c r="Z361" t="e">
        <f>_xll.BDP(#REF!,Z$2)</f>
        <v>#REF!</v>
      </c>
      <c r="AA361" t="e">
        <f>_xll.BDP(#REF!,AA$2)</f>
        <v>#REF!</v>
      </c>
      <c r="AD361">
        <f ca="1">IF(LEFT(_xll.BDP($T361,AD$2),4)="#N/A",-1,_xll.BDP($T361,AD$2))</f>
        <v>-1</v>
      </c>
    </row>
    <row r="362" spans="1:30">
      <c r="A362">
        <f ca="1"/>
        <v>149</v>
      </c>
      <c r="B362" t="str">
        <f ca="1"/>
        <v>iW ALTERNATIVE SIF</v>
      </c>
      <c r="C362" t="str">
        <f ca="1"/>
        <v>iW ALTERNATIVE SIF</v>
      </c>
      <c r="D362">
        <f ca="1"/>
        <v>68098</v>
      </c>
      <c r="E362" t="str">
        <f ca="1"/>
        <v>LOW RISK</v>
      </c>
      <c r="F362" t="str">
        <f ca="1"/>
        <v>Low Risk</v>
      </c>
      <c r="G362">
        <f ca="1"/>
        <v>147</v>
      </c>
      <c r="H362" t="str">
        <f ca="1"/>
        <v>Pictet Fund Accounting</v>
      </c>
      <c r="I362" t="str">
        <f ca="1"/>
        <v>17417529-0</v>
      </c>
      <c r="J362" s="50">
        <f ca="1"/>
        <v>44764</v>
      </c>
      <c r="K362">
        <f ca="1"/>
        <v>-120.56</v>
      </c>
      <c r="L362" t="str">
        <f ca="1"/>
        <v>67891-0</v>
      </c>
      <c r="M362" t="str">
        <f ca="1"/>
        <v>Prov Audit Annual report</v>
      </c>
      <c r="N362" t="str">
        <f ca="1"/>
        <v>EUR</v>
      </c>
      <c r="O362" t="str">
        <f ca="1"/>
        <v>Uncategorized (Treasury)</v>
      </c>
      <c r="P362" t="str">
        <f ca="1"/>
        <v/>
      </c>
      <c r="Q362" t="str">
        <f ca="1"/>
        <v/>
      </c>
      <c r="R362" t="str">
        <f ca="1"/>
        <v/>
      </c>
      <c r="S362" t="str">
        <f ca="1"/>
        <v/>
      </c>
      <c r="T362" t="str">
        <f ca="1"/>
        <v/>
      </c>
      <c r="U362">
        <f ca="1">IF(LEFT(_xll.BDP($T362,U$2),4)="#N/A",0,_xll.BDP($T362,U$2))</f>
        <v>0</v>
      </c>
      <c r="V362" t="e">
        <f>_xll.BDP(#REF!,V$2)</f>
        <v>#REF!</v>
      </c>
      <c r="W362" t="e">
        <f>_xll.BDP(#REF!,W$2)</f>
        <v>#REF!</v>
      </c>
      <c r="X362" t="e">
        <f>_xll.BDP(#REF!,X$2)</f>
        <v>#REF!</v>
      </c>
      <c r="Y362" t="e">
        <f>_xll.BDP(#REF!,Y$2)</f>
        <v>#REF!</v>
      </c>
      <c r="Z362" t="e">
        <f>_xll.BDP(#REF!,Z$2)</f>
        <v>#REF!</v>
      </c>
      <c r="AA362" t="e">
        <f>_xll.BDP(#REF!,AA$2)</f>
        <v>#REF!</v>
      </c>
      <c r="AD362">
        <f ca="1">IF(LEFT(_xll.BDP($T362,AD$2),4)="#N/A",-1,_xll.BDP($T362,AD$2))</f>
        <v>-1</v>
      </c>
    </row>
    <row r="363" spans="1:30">
      <c r="A363">
        <f ca="1"/>
        <v>149</v>
      </c>
      <c r="B363" t="str">
        <f ca="1"/>
        <v>iW ALTERNATIVE SIF</v>
      </c>
      <c r="C363" t="str">
        <f ca="1"/>
        <v>iW ALTERNATIVE SIF</v>
      </c>
      <c r="D363">
        <f ca="1"/>
        <v>68098</v>
      </c>
      <c r="E363" t="str">
        <f ca="1"/>
        <v>LOW RISK</v>
      </c>
      <c r="F363" t="str">
        <f ca="1"/>
        <v>Low Risk</v>
      </c>
      <c r="G363">
        <f ca="1"/>
        <v>147</v>
      </c>
      <c r="H363" t="str">
        <f ca="1"/>
        <v>Pictet Fund Accounting</v>
      </c>
      <c r="I363" t="str">
        <f ca="1"/>
        <v>17417537-0</v>
      </c>
      <c r="J363" s="50">
        <f ca="1"/>
        <v>44764</v>
      </c>
      <c r="K363">
        <f ca="1"/>
        <v>-301.37</v>
      </c>
      <c r="L363" t="str">
        <f ca="1"/>
        <v>67898-0</v>
      </c>
      <c r="M363" t="str">
        <f ca="1"/>
        <v>Prov Fees for calcul. of perf.</v>
      </c>
      <c r="N363" t="str">
        <f ca="1"/>
        <v>EUR</v>
      </c>
      <c r="O363" t="str">
        <f ca="1"/>
        <v>Uncategorized (Treasury)</v>
      </c>
      <c r="P363" t="str">
        <f ca="1"/>
        <v/>
      </c>
      <c r="Q363" t="str">
        <f ca="1"/>
        <v/>
      </c>
      <c r="R363" t="str">
        <f ca="1"/>
        <v/>
      </c>
      <c r="S363" t="str">
        <f ca="1"/>
        <v/>
      </c>
      <c r="T363" t="str">
        <f ca="1"/>
        <v/>
      </c>
      <c r="U363">
        <f ca="1">IF(LEFT(_xll.BDP($T363,U$2),4)="#N/A",0,_xll.BDP($T363,U$2))</f>
        <v>0</v>
      </c>
      <c r="V363" t="e">
        <f>_xll.BDP(#REF!,V$2)</f>
        <v>#REF!</v>
      </c>
      <c r="W363" t="e">
        <f>_xll.BDP(#REF!,W$2)</f>
        <v>#REF!</v>
      </c>
      <c r="X363" t="e">
        <f>_xll.BDP(#REF!,X$2)</f>
        <v>#REF!</v>
      </c>
      <c r="Y363" t="e">
        <f>_xll.BDP(#REF!,Y$2)</f>
        <v>#REF!</v>
      </c>
      <c r="Z363" t="e">
        <f>_xll.BDP(#REF!,Z$2)</f>
        <v>#REF!</v>
      </c>
      <c r="AA363" t="e">
        <f>_xll.BDP(#REF!,AA$2)</f>
        <v>#REF!</v>
      </c>
      <c r="AD363">
        <f ca="1">IF(LEFT(_xll.BDP($T363,AD$2),4)="#N/A",-1,_xll.BDP($T363,AD$2))</f>
        <v>-1</v>
      </c>
    </row>
    <row r="364" spans="1:30">
      <c r="A364">
        <f ca="1"/>
        <v>149</v>
      </c>
      <c r="B364" t="str">
        <f ca="1"/>
        <v>iW ALTERNATIVE SIF</v>
      </c>
      <c r="C364" t="str">
        <f ca="1"/>
        <v>iW ALTERNATIVE SIF</v>
      </c>
      <c r="D364">
        <f ca="1"/>
        <v>68098</v>
      </c>
      <c r="E364" t="str">
        <f ca="1"/>
        <v>LOW RISK</v>
      </c>
      <c r="F364" t="str">
        <f ca="1"/>
        <v>Low Risk</v>
      </c>
      <c r="G364">
        <f ca="1"/>
        <v>147</v>
      </c>
      <c r="H364" t="str">
        <f ca="1"/>
        <v>Pictet Fund Accounting</v>
      </c>
      <c r="I364" t="str">
        <f ca="1"/>
        <v>17417545-0</v>
      </c>
      <c r="J364" s="50">
        <f ca="1"/>
        <v>44764</v>
      </c>
      <c r="K364">
        <f ca="1"/>
        <v>-1506.84</v>
      </c>
      <c r="L364" t="str">
        <f ca="1"/>
        <v>67904-0</v>
      </c>
      <c r="M364" t="str">
        <f ca="1"/>
        <v>Prov Risk Management fees</v>
      </c>
      <c r="N364" t="str">
        <f ca="1"/>
        <v>EUR</v>
      </c>
      <c r="O364" t="str">
        <f ca="1"/>
        <v>Uncategorized (Treasury)</v>
      </c>
      <c r="P364" t="str">
        <f ca="1"/>
        <v/>
      </c>
      <c r="Q364" t="str">
        <f ca="1"/>
        <v/>
      </c>
      <c r="R364" t="str">
        <f ca="1"/>
        <v/>
      </c>
      <c r="S364" t="str">
        <f ca="1"/>
        <v/>
      </c>
      <c r="T364" t="str">
        <f ca="1"/>
        <v/>
      </c>
      <c r="U364">
        <f ca="1">IF(LEFT(_xll.BDP($T364,U$2),4)="#N/A",0,_xll.BDP($T364,U$2))</f>
        <v>0</v>
      </c>
      <c r="V364" t="e">
        <f>_xll.BDP(#REF!,V$2)</f>
        <v>#REF!</v>
      </c>
      <c r="W364" t="e">
        <f>_xll.BDP(#REF!,W$2)</f>
        <v>#REF!</v>
      </c>
      <c r="X364" t="e">
        <f>_xll.BDP(#REF!,X$2)</f>
        <v>#REF!</v>
      </c>
      <c r="Y364" t="e">
        <f>_xll.BDP(#REF!,Y$2)</f>
        <v>#REF!</v>
      </c>
      <c r="Z364" t="e">
        <f>_xll.BDP(#REF!,Z$2)</f>
        <v>#REF!</v>
      </c>
      <c r="AA364" t="e">
        <f>_xll.BDP(#REF!,AA$2)</f>
        <v>#REF!</v>
      </c>
      <c r="AD364">
        <f ca="1">IF(LEFT(_xll.BDP($T364,AD$2),4)="#N/A",-1,_xll.BDP($T364,AD$2))</f>
        <v>-1</v>
      </c>
    </row>
    <row r="365" spans="1:30">
      <c r="A365">
        <f ca="1"/>
        <v>149</v>
      </c>
      <c r="B365" t="str">
        <f ca="1"/>
        <v>iW ALTERNATIVE SIF</v>
      </c>
      <c r="C365" t="str">
        <f ca="1"/>
        <v>iW ALTERNATIVE SIF</v>
      </c>
      <c r="D365">
        <f ca="1"/>
        <v>68098</v>
      </c>
      <c r="E365" t="str">
        <f ca="1"/>
        <v>LOW RISK</v>
      </c>
      <c r="F365" t="str">
        <f ca="1"/>
        <v>Low Risk</v>
      </c>
      <c r="G365">
        <f ca="1"/>
        <v>147</v>
      </c>
      <c r="H365" t="str">
        <f ca="1"/>
        <v>Pictet Fund Accounting</v>
      </c>
      <c r="I365" t="str">
        <f ca="1"/>
        <v>17417539-0</v>
      </c>
      <c r="J365" s="50">
        <f ca="1"/>
        <v>44764</v>
      </c>
      <c r="K365">
        <f ca="1"/>
        <v>664.8</v>
      </c>
      <c r="L365" t="str">
        <f ca="1"/>
        <v>67899-0</v>
      </c>
      <c r="M365" t="str">
        <f ca="1"/>
        <v>Provis/paiemt audit fees ant</v>
      </c>
      <c r="N365" t="str">
        <f ca="1"/>
        <v>EUR</v>
      </c>
      <c r="O365" t="str">
        <f ca="1"/>
        <v>Uncategorized (Treasury)</v>
      </c>
      <c r="P365" t="str">
        <f ca="1"/>
        <v/>
      </c>
      <c r="Q365" t="str">
        <f ca="1"/>
        <v/>
      </c>
      <c r="R365" t="str">
        <f ca="1"/>
        <v/>
      </c>
      <c r="S365" t="str">
        <f ca="1"/>
        <v/>
      </c>
      <c r="T365" t="str">
        <f ca="1"/>
        <v/>
      </c>
      <c r="U365">
        <f ca="1">IF(LEFT(_xll.BDP($T365,U$2),4)="#N/A",0,_xll.BDP($T365,U$2))</f>
        <v>0</v>
      </c>
      <c r="V365" t="e">
        <f>_xll.BDP(#REF!,V$2)</f>
        <v>#REF!</v>
      </c>
      <c r="W365" t="e">
        <f>_xll.BDP(#REF!,W$2)</f>
        <v>#REF!</v>
      </c>
      <c r="X365" t="e">
        <f>_xll.BDP(#REF!,X$2)</f>
        <v>#REF!</v>
      </c>
      <c r="Y365" t="e">
        <f>_xll.BDP(#REF!,Y$2)</f>
        <v>#REF!</v>
      </c>
      <c r="Z365" t="e">
        <f>_xll.BDP(#REF!,Z$2)</f>
        <v>#REF!</v>
      </c>
      <c r="AA365" t="e">
        <f>_xll.BDP(#REF!,AA$2)</f>
        <v>#REF!</v>
      </c>
      <c r="AD365">
        <f ca="1">IF(LEFT(_xll.BDP($T365,AD$2),4)="#N/A",-1,_xll.BDP($T365,AD$2))</f>
        <v>-1</v>
      </c>
    </row>
    <row r="366" spans="1:30">
      <c r="A366">
        <f ca="1"/>
        <v>149</v>
      </c>
      <c r="B366" t="str">
        <f ca="1"/>
        <v>iW ALTERNATIVE SIF</v>
      </c>
      <c r="C366" t="str">
        <f ca="1"/>
        <v>iW ALTERNATIVE SIF</v>
      </c>
      <c r="D366">
        <f ca="1"/>
        <v>68098</v>
      </c>
      <c r="E366" t="str">
        <f ca="1"/>
        <v>LOW RISK</v>
      </c>
      <c r="F366" t="str">
        <f ca="1"/>
        <v>Low Risk</v>
      </c>
      <c r="G366">
        <f ca="1"/>
        <v>147</v>
      </c>
      <c r="H366" t="str">
        <f ca="1"/>
        <v>Pictet Fund Accounting</v>
      </c>
      <c r="I366" t="str">
        <f ca="1"/>
        <v>17417534-0</v>
      </c>
      <c r="J366" s="50">
        <f ca="1"/>
        <v>44764</v>
      </c>
      <c r="K366">
        <f ca="1"/>
        <v>-1386.31</v>
      </c>
      <c r="L366" t="str">
        <f ca="1"/>
        <v>67895-0</v>
      </c>
      <c r="M366" t="str">
        <f ca="1"/>
        <v>Provision administration fee</v>
      </c>
      <c r="N366" t="str">
        <f ca="1"/>
        <v>EUR</v>
      </c>
      <c r="O366" t="str">
        <f ca="1"/>
        <v>Uncategorized (Treasury)</v>
      </c>
      <c r="P366" t="str">
        <f ca="1"/>
        <v/>
      </c>
      <c r="Q366" t="str">
        <f ca="1"/>
        <v/>
      </c>
      <c r="R366" t="str">
        <f ca="1"/>
        <v/>
      </c>
      <c r="S366" t="str">
        <f ca="1"/>
        <v/>
      </c>
      <c r="T366" t="str">
        <f ca="1"/>
        <v/>
      </c>
      <c r="U366">
        <f ca="1">IF(LEFT(_xll.BDP($T366,U$2),4)="#N/A",0,_xll.BDP($T366,U$2))</f>
        <v>0</v>
      </c>
      <c r="V366" t="e">
        <f>_xll.BDP(#REF!,V$2)</f>
        <v>#REF!</v>
      </c>
      <c r="W366" t="e">
        <f>_xll.BDP(#REF!,W$2)</f>
        <v>#REF!</v>
      </c>
      <c r="X366" t="e">
        <f>_xll.BDP(#REF!,X$2)</f>
        <v>#REF!</v>
      </c>
      <c r="Y366" t="e">
        <f>_xll.BDP(#REF!,Y$2)</f>
        <v>#REF!</v>
      </c>
      <c r="Z366" t="e">
        <f>_xll.BDP(#REF!,Z$2)</f>
        <v>#REF!</v>
      </c>
      <c r="AA366" t="e">
        <f>_xll.BDP(#REF!,AA$2)</f>
        <v>#REF!</v>
      </c>
      <c r="AD366">
        <f ca="1">IF(LEFT(_xll.BDP($T366,AD$2),4)="#N/A",-1,_xll.BDP($T366,AD$2))</f>
        <v>-1</v>
      </c>
    </row>
    <row r="367" spans="1:30">
      <c r="A367">
        <f ca="1"/>
        <v>149</v>
      </c>
      <c r="B367" t="str">
        <f ca="1"/>
        <v>iW ALTERNATIVE SIF</v>
      </c>
      <c r="C367" t="str">
        <f ca="1"/>
        <v>iW ALTERNATIVE SIF</v>
      </c>
      <c r="D367">
        <f ca="1"/>
        <v>68098</v>
      </c>
      <c r="E367" t="str">
        <f ca="1"/>
        <v>LOW RISK</v>
      </c>
      <c r="F367" t="str">
        <f ca="1"/>
        <v>Low Risk</v>
      </c>
      <c r="G367">
        <f ca="1"/>
        <v>147</v>
      </c>
      <c r="H367" t="str">
        <f ca="1"/>
        <v>Pictet Fund Accounting</v>
      </c>
      <c r="I367" t="str">
        <f ca="1"/>
        <v>17417527-0</v>
      </c>
      <c r="J367" s="50">
        <f ca="1"/>
        <v>44764</v>
      </c>
      <c r="K367">
        <f ca="1"/>
        <v>-352.6</v>
      </c>
      <c r="L367" t="str">
        <f ca="1"/>
        <v>67890-0</v>
      </c>
      <c r="M367" t="str">
        <f ca="1"/>
        <v>Provision AIFM Fees</v>
      </c>
      <c r="N367" t="str">
        <f ca="1"/>
        <v>EUR</v>
      </c>
      <c r="O367" t="str">
        <f ca="1"/>
        <v>Uncategorized (Treasury)</v>
      </c>
      <c r="P367" t="str">
        <f ca="1"/>
        <v/>
      </c>
      <c r="Q367" t="str">
        <f ca="1"/>
        <v/>
      </c>
      <c r="R367" t="str">
        <f ca="1"/>
        <v/>
      </c>
      <c r="S367" t="str">
        <f ca="1"/>
        <v/>
      </c>
      <c r="T367" t="str">
        <f ca="1"/>
        <v/>
      </c>
      <c r="U367">
        <f ca="1">IF(LEFT(_xll.BDP($T367,U$2),4)="#N/A",0,_xll.BDP($T367,U$2))</f>
        <v>0</v>
      </c>
      <c r="V367" t="e">
        <f>_xll.BDP(#REF!,V$2)</f>
        <v>#REF!</v>
      </c>
      <c r="W367" t="e">
        <f>_xll.BDP(#REF!,W$2)</f>
        <v>#REF!</v>
      </c>
      <c r="X367" t="e">
        <f>_xll.BDP(#REF!,X$2)</f>
        <v>#REF!</v>
      </c>
      <c r="Y367" t="e">
        <f>_xll.BDP(#REF!,Y$2)</f>
        <v>#REF!</v>
      </c>
      <c r="Z367" t="e">
        <f>_xll.BDP(#REF!,Z$2)</f>
        <v>#REF!</v>
      </c>
      <c r="AA367" t="e">
        <f>_xll.BDP(#REF!,AA$2)</f>
        <v>#REF!</v>
      </c>
      <c r="AD367">
        <f ca="1">IF(LEFT(_xll.BDP($T367,AD$2),4)="#N/A",-1,_xll.BDP($T367,AD$2))</f>
        <v>-1</v>
      </c>
    </row>
    <row r="368" spans="1:30">
      <c r="A368">
        <f ca="1"/>
        <v>149</v>
      </c>
      <c r="B368" t="str">
        <f ca="1"/>
        <v>iW ALTERNATIVE SIF</v>
      </c>
      <c r="C368" t="str">
        <f ca="1"/>
        <v>iW ALTERNATIVE SIF</v>
      </c>
      <c r="D368">
        <f ca="1"/>
        <v>68098</v>
      </c>
      <c r="E368" t="str">
        <f ca="1"/>
        <v>LOW RISK</v>
      </c>
      <c r="F368" t="str">
        <f ca="1"/>
        <v>Low Risk</v>
      </c>
      <c r="G368">
        <f ca="1"/>
        <v>147</v>
      </c>
      <c r="H368" t="str">
        <f ca="1"/>
        <v>Pictet Fund Accounting</v>
      </c>
      <c r="I368" t="str">
        <f ca="1"/>
        <v>17417538-0</v>
      </c>
      <c r="J368" s="50">
        <f ca="1"/>
        <v>44764</v>
      </c>
      <c r="K368">
        <f ca="1"/>
        <v>-11.47</v>
      </c>
      <c r="L368" t="str">
        <f ca="1"/>
        <v>123132-0</v>
      </c>
      <c r="M368" t="str">
        <f ca="1"/>
        <v>Provision AIFM Legal Reporting</v>
      </c>
      <c r="N368" t="str">
        <f ca="1"/>
        <v>EUR</v>
      </c>
      <c r="O368" t="str">
        <f ca="1"/>
        <v>Uncategorized (Treasury)</v>
      </c>
      <c r="P368" t="str">
        <f ca="1"/>
        <v/>
      </c>
      <c r="Q368" t="str">
        <f ca="1"/>
        <v/>
      </c>
      <c r="R368" t="str">
        <f ca="1"/>
        <v/>
      </c>
      <c r="S368" t="str">
        <f ca="1"/>
        <v/>
      </c>
      <c r="T368" t="str">
        <f ca="1"/>
        <v/>
      </c>
      <c r="U368">
        <f ca="1">IF(LEFT(_xll.BDP($T368,U$2),4)="#N/A",0,_xll.BDP($T368,U$2))</f>
        <v>0</v>
      </c>
      <c r="V368" t="e">
        <f>_xll.BDP(#REF!,V$2)</f>
        <v>#REF!</v>
      </c>
      <c r="W368" t="e">
        <f>_xll.BDP(#REF!,W$2)</f>
        <v>#REF!</v>
      </c>
      <c r="X368" t="e">
        <f>_xll.BDP(#REF!,X$2)</f>
        <v>#REF!</v>
      </c>
      <c r="Y368" t="e">
        <f>_xll.BDP(#REF!,Y$2)</f>
        <v>#REF!</v>
      </c>
      <c r="Z368" t="e">
        <f>_xll.BDP(#REF!,Z$2)</f>
        <v>#REF!</v>
      </c>
      <c r="AA368" t="e">
        <f>_xll.BDP(#REF!,AA$2)</f>
        <v>#REF!</v>
      </c>
      <c r="AD368">
        <f ca="1">IF(LEFT(_xll.BDP($T368,AD$2),4)="#N/A",-1,_xll.BDP($T368,AD$2))</f>
        <v>-1</v>
      </c>
    </row>
    <row r="369" spans="1:30">
      <c r="A369">
        <f ca="1"/>
        <v>149</v>
      </c>
      <c r="B369" t="str">
        <f ca="1"/>
        <v>iW ALTERNATIVE SIF</v>
      </c>
      <c r="C369" t="str">
        <f ca="1"/>
        <v>iW ALTERNATIVE SIF</v>
      </c>
      <c r="D369">
        <f ca="1"/>
        <v>68098</v>
      </c>
      <c r="E369" t="str">
        <f ca="1"/>
        <v>LOW RISK</v>
      </c>
      <c r="F369" t="str">
        <f ca="1"/>
        <v>Low Risk</v>
      </c>
      <c r="G369">
        <f ca="1"/>
        <v>147</v>
      </c>
      <c r="H369" t="str">
        <f ca="1"/>
        <v>Pictet Fund Accounting</v>
      </c>
      <c r="I369" t="str">
        <f ca="1"/>
        <v>17417525-0</v>
      </c>
      <c r="J369" s="50">
        <f ca="1"/>
        <v>44764</v>
      </c>
      <c r="K369">
        <f ca="1"/>
        <v>-1908.68</v>
      </c>
      <c r="L369" t="str">
        <f ca="1"/>
        <v>67889-0</v>
      </c>
      <c r="M369" t="str">
        <f ca="1"/>
        <v>Provision audit fees</v>
      </c>
      <c r="N369" t="str">
        <f ca="1"/>
        <v>EUR</v>
      </c>
      <c r="O369" t="str">
        <f ca="1"/>
        <v>Uncategorized (Treasury)</v>
      </c>
      <c r="P369" t="str">
        <f ca="1"/>
        <v/>
      </c>
      <c r="Q369" t="str">
        <f ca="1"/>
        <v/>
      </c>
      <c r="R369" t="str">
        <f ca="1"/>
        <v/>
      </c>
      <c r="S369" t="str">
        <f ca="1"/>
        <v/>
      </c>
      <c r="T369" t="str">
        <f ca="1"/>
        <v/>
      </c>
      <c r="U369">
        <f ca="1">IF(LEFT(_xll.BDP($T369,U$2),4)="#N/A",0,_xll.BDP($T369,U$2))</f>
        <v>0</v>
      </c>
      <c r="V369" t="e">
        <f>_xll.BDP(#REF!,V$2)</f>
        <v>#REF!</v>
      </c>
      <c r="W369" t="e">
        <f>_xll.BDP(#REF!,W$2)</f>
        <v>#REF!</v>
      </c>
      <c r="X369" t="e">
        <f>_xll.BDP(#REF!,X$2)</f>
        <v>#REF!</v>
      </c>
      <c r="Y369" t="e">
        <f>_xll.BDP(#REF!,Y$2)</f>
        <v>#REF!</v>
      </c>
      <c r="Z369" t="e">
        <f>_xll.BDP(#REF!,Z$2)</f>
        <v>#REF!</v>
      </c>
      <c r="AA369" t="e">
        <f>_xll.BDP(#REF!,AA$2)</f>
        <v>#REF!</v>
      </c>
      <c r="AD369">
        <f ca="1">IF(LEFT(_xll.BDP($T369,AD$2),4)="#N/A",-1,_xll.BDP($T369,AD$2))</f>
        <v>-1</v>
      </c>
    </row>
    <row r="370" spans="1:30">
      <c r="A370">
        <f ca="1"/>
        <v>149</v>
      </c>
      <c r="B370" t="str">
        <f ca="1"/>
        <v>iW ALTERNATIVE SIF</v>
      </c>
      <c r="C370" t="str">
        <f ca="1"/>
        <v>iW ALTERNATIVE SIF</v>
      </c>
      <c r="D370">
        <f ca="1"/>
        <v>68098</v>
      </c>
      <c r="E370" t="str">
        <f ca="1"/>
        <v>LOW RISK</v>
      </c>
      <c r="F370" t="str">
        <f ca="1"/>
        <v>Low Risk</v>
      </c>
      <c r="G370">
        <f ca="1"/>
        <v>147</v>
      </c>
      <c r="H370" t="str">
        <f ca="1"/>
        <v>Pictet Fund Accounting</v>
      </c>
      <c r="I370" t="str">
        <f ca="1"/>
        <v>17417536-0</v>
      </c>
      <c r="J370" s="50">
        <f ca="1"/>
        <v>44764</v>
      </c>
      <c r="K370">
        <f ca="1"/>
        <v>-602.74</v>
      </c>
      <c r="L370" t="str">
        <f ca="1"/>
        <v>67897-0</v>
      </c>
      <c r="M370" t="str">
        <f ca="1"/>
        <v>Provision custody fee</v>
      </c>
      <c r="N370" t="str">
        <f ca="1"/>
        <v>EUR</v>
      </c>
      <c r="O370" t="str">
        <f ca="1"/>
        <v>Uncategorized (Treasury)</v>
      </c>
      <c r="P370" t="str">
        <f ca="1"/>
        <v/>
      </c>
      <c r="Q370" t="str">
        <f ca="1"/>
        <v/>
      </c>
      <c r="R370" t="str">
        <f ca="1"/>
        <v/>
      </c>
      <c r="S370" t="str">
        <f ca="1"/>
        <v/>
      </c>
      <c r="T370" t="str">
        <f ca="1"/>
        <v/>
      </c>
      <c r="U370">
        <f ca="1">IF(LEFT(_xll.BDP($T370,U$2),4)="#N/A",0,_xll.BDP($T370,U$2))</f>
        <v>0</v>
      </c>
      <c r="V370" t="e">
        <f>_xll.BDP(#REF!,V$2)</f>
        <v>#REF!</v>
      </c>
      <c r="W370" t="e">
        <f>_xll.BDP(#REF!,W$2)</f>
        <v>#REF!</v>
      </c>
      <c r="X370" t="e">
        <f>_xll.BDP(#REF!,X$2)</f>
        <v>#REF!</v>
      </c>
      <c r="Y370" t="e">
        <f>_xll.BDP(#REF!,Y$2)</f>
        <v>#REF!</v>
      </c>
      <c r="Z370" t="e">
        <f>_xll.BDP(#REF!,Z$2)</f>
        <v>#REF!</v>
      </c>
      <c r="AA370" t="e">
        <f>_xll.BDP(#REF!,AA$2)</f>
        <v>#REF!</v>
      </c>
      <c r="AD370">
        <f ca="1">IF(LEFT(_xll.BDP($T370,AD$2),4)="#N/A",-1,_xll.BDP($T370,AD$2))</f>
        <v>-1</v>
      </c>
    </row>
    <row r="371" spans="1:30">
      <c r="A371">
        <f ca="1"/>
        <v>149</v>
      </c>
      <c r="B371" t="str">
        <f ca="1"/>
        <v>iW ALTERNATIVE SIF</v>
      </c>
      <c r="C371" t="str">
        <f ca="1"/>
        <v>iW ALTERNATIVE SIF</v>
      </c>
      <c r="D371">
        <f ca="1"/>
        <v>68098</v>
      </c>
      <c r="E371" t="str">
        <f ca="1"/>
        <v>LOW RISK</v>
      </c>
      <c r="F371" t="str">
        <f ca="1"/>
        <v>Low Risk</v>
      </c>
      <c r="G371">
        <f ca="1"/>
        <v>147</v>
      </c>
      <c r="H371" t="str">
        <f ca="1"/>
        <v>Pictet Fund Accounting</v>
      </c>
      <c r="I371" t="str">
        <f ca="1"/>
        <v>17417546-0</v>
      </c>
      <c r="J371" s="50">
        <f ca="1"/>
        <v>44764</v>
      </c>
      <c r="K371">
        <f ca="1"/>
        <v>-30.98</v>
      </c>
      <c r="L371" t="str">
        <f ca="1"/>
        <v>67905-0</v>
      </c>
      <c r="M371" t="str">
        <f ca="1"/>
        <v>Provision Deposit supervi duty</v>
      </c>
      <c r="N371" t="str">
        <f ca="1"/>
        <v>EUR</v>
      </c>
      <c r="O371" t="str">
        <f ca="1"/>
        <v>Uncategorized (Treasury)</v>
      </c>
      <c r="P371" t="str">
        <f ca="1"/>
        <v/>
      </c>
      <c r="Q371" t="str">
        <f ca="1"/>
        <v/>
      </c>
      <c r="R371" t="str">
        <f ca="1"/>
        <v/>
      </c>
      <c r="S371" t="str">
        <f ca="1"/>
        <v/>
      </c>
      <c r="T371" t="str">
        <f ca="1"/>
        <v/>
      </c>
      <c r="U371">
        <f ca="1">IF(LEFT(_xll.BDP($T371,U$2),4)="#N/A",0,_xll.BDP($T371,U$2))</f>
        <v>0</v>
      </c>
      <c r="V371" t="e">
        <f>_xll.BDP(#REF!,V$2)</f>
        <v>#REF!</v>
      </c>
      <c r="W371" t="e">
        <f>_xll.BDP(#REF!,W$2)</f>
        <v>#REF!</v>
      </c>
      <c r="X371" t="e">
        <f>_xll.BDP(#REF!,X$2)</f>
        <v>#REF!</v>
      </c>
      <c r="Y371" t="e">
        <f>_xll.BDP(#REF!,Y$2)</f>
        <v>#REF!</v>
      </c>
      <c r="Z371" t="e">
        <f>_xll.BDP(#REF!,Z$2)</f>
        <v>#REF!</v>
      </c>
      <c r="AA371" t="e">
        <f>_xll.BDP(#REF!,AA$2)</f>
        <v>#REF!</v>
      </c>
      <c r="AD371">
        <f ca="1">IF(LEFT(_xll.BDP($T371,AD$2),4)="#N/A",-1,_xll.BDP($T371,AD$2))</f>
        <v>-1</v>
      </c>
    </row>
    <row r="372" spans="1:30">
      <c r="A372">
        <f ca="1"/>
        <v>149</v>
      </c>
      <c r="B372" t="str">
        <f ca="1"/>
        <v>iW ALTERNATIVE SIF</v>
      </c>
      <c r="C372" t="str">
        <f ca="1"/>
        <v>iW ALTERNATIVE SIF</v>
      </c>
      <c r="D372">
        <f ca="1"/>
        <v>68098</v>
      </c>
      <c r="E372" t="str">
        <f ca="1"/>
        <v>LOW RISK</v>
      </c>
      <c r="F372" t="str">
        <f ca="1"/>
        <v>Low Risk</v>
      </c>
      <c r="G372">
        <f ca="1"/>
        <v>147</v>
      </c>
      <c r="H372" t="str">
        <f ca="1"/>
        <v>Pictet Fund Accounting</v>
      </c>
      <c r="I372" t="str">
        <f ca="1"/>
        <v>17417544-0</v>
      </c>
      <c r="J372" s="50">
        <f ca="1"/>
        <v>44764</v>
      </c>
      <c r="K372">
        <f ca="1"/>
        <v>51.29</v>
      </c>
      <c r="L372" t="str">
        <f ca="1"/>
        <v>67903-0</v>
      </c>
      <c r="M372" t="str">
        <f ca="1"/>
        <v>Provision directors fees</v>
      </c>
      <c r="N372" t="str">
        <f ca="1"/>
        <v>EUR</v>
      </c>
      <c r="O372" t="str">
        <f ca="1"/>
        <v>Uncategorized (Treasury)</v>
      </c>
      <c r="P372" t="str">
        <f ca="1"/>
        <v/>
      </c>
      <c r="Q372" t="str">
        <f ca="1"/>
        <v/>
      </c>
      <c r="R372" t="str">
        <f ca="1"/>
        <v/>
      </c>
      <c r="S372" t="str">
        <f ca="1"/>
        <v/>
      </c>
      <c r="T372" t="str">
        <f ca="1"/>
        <v/>
      </c>
      <c r="U372">
        <f ca="1">IF(LEFT(_xll.BDP($T372,U$2),4)="#N/A",0,_xll.BDP($T372,U$2))</f>
        <v>0</v>
      </c>
      <c r="V372" t="e">
        <f>_xll.BDP(#REF!,V$2)</f>
        <v>#REF!</v>
      </c>
      <c r="W372" t="e">
        <f>_xll.BDP(#REF!,W$2)</f>
        <v>#REF!</v>
      </c>
      <c r="X372" t="e">
        <f>_xll.BDP(#REF!,X$2)</f>
        <v>#REF!</v>
      </c>
      <c r="Y372" t="e">
        <f>_xll.BDP(#REF!,Y$2)</f>
        <v>#REF!</v>
      </c>
      <c r="Z372" t="e">
        <f>_xll.BDP(#REF!,Z$2)</f>
        <v>#REF!</v>
      </c>
      <c r="AA372" t="e">
        <f>_xll.BDP(#REF!,AA$2)</f>
        <v>#REF!</v>
      </c>
      <c r="AD372">
        <f ca="1">IF(LEFT(_xll.BDP($T372,AD$2),4)="#N/A",-1,_xll.BDP($T372,AD$2))</f>
        <v>-1</v>
      </c>
    </row>
    <row r="373" spans="1:30">
      <c r="A373">
        <f ca="1"/>
        <v>149</v>
      </c>
      <c r="B373" t="str">
        <f ca="1"/>
        <v>iW ALTERNATIVE SIF</v>
      </c>
      <c r="C373" t="str">
        <f ca="1"/>
        <v>iW ALTERNATIVE SIF</v>
      </c>
      <c r="D373">
        <f ca="1"/>
        <v>68098</v>
      </c>
      <c r="E373" t="str">
        <f ca="1"/>
        <v>LOW RISK</v>
      </c>
      <c r="F373" t="str">
        <f ca="1"/>
        <v>Low Risk</v>
      </c>
      <c r="G373">
        <f ca="1"/>
        <v>147</v>
      </c>
      <c r="H373" t="str">
        <f ca="1"/>
        <v>Pictet Fund Accounting</v>
      </c>
      <c r="I373" t="str">
        <f ca="1"/>
        <v>17417531-0</v>
      </c>
      <c r="J373" s="50">
        <f ca="1"/>
        <v>44764</v>
      </c>
      <c r="K373">
        <f ca="1"/>
        <v>-40.65</v>
      </c>
      <c r="L373" t="str">
        <f ca="1"/>
        <v>67893-0</v>
      </c>
      <c r="M373" t="str">
        <f ca="1"/>
        <v>Provision Domiciliation fees</v>
      </c>
      <c r="N373" t="str">
        <f ca="1"/>
        <v>EUR</v>
      </c>
      <c r="O373" t="str">
        <f ca="1"/>
        <v>Uncategorized (Treasury)</v>
      </c>
      <c r="P373" t="str">
        <f ca="1"/>
        <v/>
      </c>
      <c r="Q373" t="str">
        <f ca="1"/>
        <v/>
      </c>
      <c r="R373" t="str">
        <f ca="1"/>
        <v/>
      </c>
      <c r="S373" t="str">
        <f ca="1"/>
        <v/>
      </c>
      <c r="T373" t="str">
        <f ca="1"/>
        <v/>
      </c>
      <c r="U373">
        <f ca="1">IF(LEFT(_xll.BDP($T373,U$2),4)="#N/A",0,_xll.BDP($T373,U$2))</f>
        <v>0</v>
      </c>
      <c r="V373" t="e">
        <f>_xll.BDP(#REF!,V$2)</f>
        <v>#REF!</v>
      </c>
      <c r="W373" t="e">
        <f>_xll.BDP(#REF!,W$2)</f>
        <v>#REF!</v>
      </c>
      <c r="X373" t="e">
        <f>_xll.BDP(#REF!,X$2)</f>
        <v>#REF!</v>
      </c>
      <c r="Y373" t="e">
        <f>_xll.BDP(#REF!,Y$2)</f>
        <v>#REF!</v>
      </c>
      <c r="Z373" t="e">
        <f>_xll.BDP(#REF!,Z$2)</f>
        <v>#REF!</v>
      </c>
      <c r="AA373" t="e">
        <f>_xll.BDP(#REF!,AA$2)</f>
        <v>#REF!</v>
      </c>
      <c r="AD373">
        <f ca="1">IF(LEFT(_xll.BDP($T373,AD$2),4)="#N/A",-1,_xll.BDP($T373,AD$2))</f>
        <v>-1</v>
      </c>
    </row>
    <row r="374" spans="1:30">
      <c r="A374">
        <f ca="1"/>
        <v>149</v>
      </c>
      <c r="B374" t="str">
        <f ca="1"/>
        <v>iW ALTERNATIVE SIF</v>
      </c>
      <c r="C374" t="str">
        <f ca="1"/>
        <v>iW ALTERNATIVE SIF</v>
      </c>
      <c r="D374">
        <f ca="1"/>
        <v>68098</v>
      </c>
      <c r="E374" t="str">
        <f ca="1"/>
        <v>LOW RISK</v>
      </c>
      <c r="F374" t="str">
        <f ca="1"/>
        <v>Low Risk</v>
      </c>
      <c r="G374">
        <f ca="1"/>
        <v>147</v>
      </c>
      <c r="H374" t="str">
        <f ca="1"/>
        <v>Pictet Fund Accounting</v>
      </c>
      <c r="I374" t="str">
        <f ca="1"/>
        <v>17417535-0</v>
      </c>
      <c r="J374" s="50">
        <f ca="1"/>
        <v>44764</v>
      </c>
      <c r="K374">
        <f ca="1"/>
        <v>-539.26</v>
      </c>
      <c r="L374" t="str">
        <f ca="1"/>
        <v>68796-0</v>
      </c>
      <c r="M374" t="str">
        <f ca="1"/>
        <v>Provision management fee</v>
      </c>
      <c r="N374" t="str">
        <f ca="1"/>
        <v>EUR</v>
      </c>
      <c r="O374" t="str">
        <f ca="1"/>
        <v>Uncategorized (Treasury)</v>
      </c>
      <c r="P374" t="str">
        <f ca="1"/>
        <v/>
      </c>
      <c r="Q374" t="str">
        <f ca="1"/>
        <v/>
      </c>
      <c r="R374" t="str">
        <f ca="1"/>
        <v/>
      </c>
      <c r="S374" t="str">
        <f ca="1"/>
        <v/>
      </c>
      <c r="T374" t="str">
        <f ca="1"/>
        <v/>
      </c>
      <c r="U374">
        <f ca="1">IF(LEFT(_xll.BDP($T374,U$2),4)="#N/A",0,_xll.BDP($T374,U$2))</f>
        <v>0</v>
      </c>
      <c r="V374" t="e">
        <f>_xll.BDP(#REF!,V$2)</f>
        <v>#REF!</v>
      </c>
      <c r="W374" t="e">
        <f>_xll.BDP(#REF!,W$2)</f>
        <v>#REF!</v>
      </c>
      <c r="X374" t="e">
        <f>_xll.BDP(#REF!,X$2)</f>
        <v>#REF!</v>
      </c>
      <c r="Y374" t="e">
        <f>_xll.BDP(#REF!,Y$2)</f>
        <v>#REF!</v>
      </c>
      <c r="Z374" t="e">
        <f>_xll.BDP(#REF!,Z$2)</f>
        <v>#REF!</v>
      </c>
      <c r="AA374" t="e">
        <f>_xll.BDP(#REF!,AA$2)</f>
        <v>#REF!</v>
      </c>
      <c r="AD374">
        <f ca="1">IF(LEFT(_xll.BDP($T374,AD$2),4)="#N/A",-1,_xll.BDP($T374,AD$2))</f>
        <v>-1</v>
      </c>
    </row>
    <row r="375" spans="1:30">
      <c r="A375">
        <f ca="1"/>
        <v>149</v>
      </c>
      <c r="B375" t="str">
        <f ca="1"/>
        <v>iW ALTERNATIVE SIF</v>
      </c>
      <c r="C375" t="str">
        <f ca="1"/>
        <v>iW ALTERNATIVE SIF</v>
      </c>
      <c r="D375">
        <f ca="1"/>
        <v>68098</v>
      </c>
      <c r="E375" t="str">
        <f ca="1"/>
        <v>LOW RISK</v>
      </c>
      <c r="F375" t="str">
        <f ca="1"/>
        <v>Low Risk</v>
      </c>
      <c r="G375">
        <f ca="1"/>
        <v>147</v>
      </c>
      <c r="H375" t="str">
        <f ca="1"/>
        <v>Pictet Fund Accounting</v>
      </c>
      <c r="I375" t="str">
        <f ca="1"/>
        <v>17417530-0</v>
      </c>
      <c r="J375" s="50">
        <f ca="1"/>
        <v>44764</v>
      </c>
      <c r="K375">
        <f ca="1"/>
        <v>-2991.91</v>
      </c>
      <c r="L375" t="str">
        <f ca="1"/>
        <v>67892-0</v>
      </c>
      <c r="M375" t="str">
        <f ca="1"/>
        <v>Provision Mgt Private</v>
      </c>
      <c r="N375" t="str">
        <f ca="1"/>
        <v>EUR</v>
      </c>
      <c r="O375" t="str">
        <f ca="1"/>
        <v>Uncategorized (Treasury)</v>
      </c>
      <c r="P375" t="str">
        <f ca="1"/>
        <v/>
      </c>
      <c r="Q375" t="str">
        <f ca="1"/>
        <v/>
      </c>
      <c r="R375" t="str">
        <f ca="1"/>
        <v/>
      </c>
      <c r="S375" t="str">
        <f ca="1"/>
        <v/>
      </c>
      <c r="T375" t="str">
        <f ca="1"/>
        <v/>
      </c>
      <c r="U375">
        <f ca="1">IF(LEFT(_xll.BDP($T375,U$2),4)="#N/A",0,_xll.BDP($T375,U$2))</f>
        <v>0</v>
      </c>
      <c r="V375" t="e">
        <f>_xll.BDP(#REF!,V$2)</f>
        <v>#REF!</v>
      </c>
      <c r="W375" t="e">
        <f>_xll.BDP(#REF!,W$2)</f>
        <v>#REF!</v>
      </c>
      <c r="X375" t="e">
        <f>_xll.BDP(#REF!,X$2)</f>
        <v>#REF!</v>
      </c>
      <c r="Y375" t="e">
        <f>_xll.BDP(#REF!,Y$2)</f>
        <v>#REF!</v>
      </c>
      <c r="Z375" t="e">
        <f>_xll.BDP(#REF!,Z$2)</f>
        <v>#REF!</v>
      </c>
      <c r="AA375" t="e">
        <f>_xll.BDP(#REF!,AA$2)</f>
        <v>#REF!</v>
      </c>
      <c r="AD375">
        <f ca="1">IF(LEFT(_xll.BDP($T375,AD$2),4)="#N/A",-1,_xll.BDP($T375,AD$2))</f>
        <v>-1</v>
      </c>
    </row>
    <row r="376" spans="1:30">
      <c r="A376">
        <f ca="1"/>
        <v>149</v>
      </c>
      <c r="B376" t="str">
        <f ca="1"/>
        <v>iW ALTERNATIVE SIF</v>
      </c>
      <c r="C376" t="str">
        <f ca="1"/>
        <v>iW ALTERNATIVE SIF</v>
      </c>
      <c r="D376">
        <f ca="1"/>
        <v>68098</v>
      </c>
      <c r="E376" t="str">
        <f ca="1"/>
        <v>LOW RISK</v>
      </c>
      <c r="F376" t="str">
        <f ca="1"/>
        <v>Low Risk</v>
      </c>
      <c r="G376">
        <f ca="1"/>
        <v>147</v>
      </c>
      <c r="H376" t="str">
        <f ca="1"/>
        <v>Pictet Fund Accounting</v>
      </c>
      <c r="I376" t="str">
        <f ca="1"/>
        <v>17417542-0</v>
      </c>
      <c r="J376" s="50">
        <f ca="1"/>
        <v>44764</v>
      </c>
      <c r="K376">
        <f ca="1"/>
        <v>-8.1300000000000008</v>
      </c>
      <c r="L376" t="str">
        <f ca="1"/>
        <v>67902-0</v>
      </c>
      <c r="M376" t="str">
        <f ca="1"/>
        <v>Provision VAT Declaration</v>
      </c>
      <c r="N376" t="str">
        <f ca="1"/>
        <v>EUR</v>
      </c>
      <c r="O376" t="str">
        <f ca="1"/>
        <v>Uncategorized (Treasury)</v>
      </c>
      <c r="P376" t="str">
        <f ca="1"/>
        <v/>
      </c>
      <c r="Q376" t="str">
        <f ca="1"/>
        <v/>
      </c>
      <c r="R376" t="str">
        <f ca="1"/>
        <v/>
      </c>
      <c r="S376" t="str">
        <f ca="1"/>
        <v/>
      </c>
      <c r="T376" t="str">
        <f ca="1"/>
        <v/>
      </c>
      <c r="U376">
        <f ca="1">IF(LEFT(_xll.BDP($T376,U$2),4)="#N/A",0,_xll.BDP($T376,U$2))</f>
        <v>0</v>
      </c>
      <c r="V376" t="e">
        <f>_xll.BDP(#REF!,V$2)</f>
        <v>#REF!</v>
      </c>
      <c r="W376" t="e">
        <f>_xll.BDP(#REF!,W$2)</f>
        <v>#REF!</v>
      </c>
      <c r="X376" t="e">
        <f>_xll.BDP(#REF!,X$2)</f>
        <v>#REF!</v>
      </c>
      <c r="Y376" t="e">
        <f>_xll.BDP(#REF!,Y$2)</f>
        <v>#REF!</v>
      </c>
      <c r="Z376" t="e">
        <f>_xll.BDP(#REF!,Z$2)</f>
        <v>#REF!</v>
      </c>
      <c r="AA376" t="e">
        <f>_xll.BDP(#REF!,AA$2)</f>
        <v>#REF!</v>
      </c>
      <c r="AD376">
        <f ca="1">IF(LEFT(_xll.BDP($T376,AD$2),4)="#N/A",-1,_xll.BDP($T376,AD$2))</f>
        <v>-1</v>
      </c>
    </row>
    <row r="377" spans="1:30">
      <c r="A377">
        <f ca="1"/>
        <v>149</v>
      </c>
      <c r="B377" t="str">
        <f ca="1"/>
        <v>iW ALTERNATIVE SIF</v>
      </c>
      <c r="C377" t="str">
        <f ca="1"/>
        <v>iW ALTERNATIVE SIF</v>
      </c>
      <c r="D377">
        <f ca="1"/>
        <v>68098</v>
      </c>
      <c r="E377" t="str">
        <f ca="1"/>
        <v>LOW RISK</v>
      </c>
      <c r="F377" t="str">
        <f ca="1"/>
        <v>Low Risk</v>
      </c>
      <c r="G377">
        <f ca="1"/>
        <v>147</v>
      </c>
      <c r="H377" t="str">
        <f ca="1"/>
        <v>Pictet Fund Accounting</v>
      </c>
      <c r="I377" t="str">
        <f ca="1"/>
        <v>17417540-0</v>
      </c>
      <c r="J377" s="50">
        <f ca="1"/>
        <v>44764</v>
      </c>
      <c r="K377">
        <f ca="1"/>
        <v>-2.7</v>
      </c>
      <c r="L377" t="str">
        <f ca="1"/>
        <v>119820-0</v>
      </c>
      <c r="M377" t="str">
        <f ca="1"/>
        <v>Ultimate Beneficial declaratio</v>
      </c>
      <c r="N377" t="str">
        <f ca="1"/>
        <v>EUR</v>
      </c>
      <c r="O377" t="str">
        <f ca="1"/>
        <v>Uncategorized (Treasury)</v>
      </c>
      <c r="P377" t="str">
        <f ca="1"/>
        <v/>
      </c>
      <c r="Q377" t="str">
        <f ca="1"/>
        <v/>
      </c>
      <c r="R377" t="str">
        <f ca="1"/>
        <v/>
      </c>
      <c r="S377" t="str">
        <f ca="1"/>
        <v/>
      </c>
      <c r="T377" t="str">
        <f ca="1"/>
        <v/>
      </c>
      <c r="U377">
        <f ca="1">IF(LEFT(_xll.BDP($T377,U$2),4)="#N/A",0,_xll.BDP($T377,U$2))</f>
        <v>0</v>
      </c>
      <c r="V377" t="e">
        <f>_xll.BDP(#REF!,V$2)</f>
        <v>#REF!</v>
      </c>
      <c r="W377" t="e">
        <f>_xll.BDP(#REF!,W$2)</f>
        <v>#REF!</v>
      </c>
      <c r="X377" t="e">
        <f>_xll.BDP(#REF!,X$2)</f>
        <v>#REF!</v>
      </c>
      <c r="Y377" t="e">
        <f>_xll.BDP(#REF!,Y$2)</f>
        <v>#REF!</v>
      </c>
      <c r="Z377" t="e">
        <f>_xll.BDP(#REF!,Z$2)</f>
        <v>#REF!</v>
      </c>
      <c r="AA377" t="e">
        <f>_xll.BDP(#REF!,AA$2)</f>
        <v>#REF!</v>
      </c>
      <c r="AD377">
        <f ca="1">IF(LEFT(_xll.BDP($T377,AD$2),4)="#N/A",-1,_xll.BDP($T377,AD$2))</f>
        <v>-1</v>
      </c>
    </row>
    <row r="378" spans="1:30">
      <c r="A378">
        <f ca="1"/>
        <v>149</v>
      </c>
      <c r="B378" t="str">
        <f ca="1"/>
        <v>iW ALTERNATIVE SIF</v>
      </c>
      <c r="C378" t="str">
        <f ca="1"/>
        <v>iW ALTERNATIVE SIF</v>
      </c>
      <c r="D378">
        <f ca="1"/>
        <v>68099</v>
      </c>
      <c r="E378" t="str">
        <f ca="1"/>
        <v>REAL VALUE GROWTH FUND</v>
      </c>
      <c r="F378" t="str">
        <f ca="1"/>
        <v>Real Value Growth Fund</v>
      </c>
      <c r="G378">
        <f ca="1"/>
        <v>147</v>
      </c>
      <c r="H378" t="str">
        <f ca="1"/>
        <v>Pictet Fund Accounting</v>
      </c>
      <c r="I378" t="str">
        <f ca="1"/>
        <v>17103843-0</v>
      </c>
      <c r="J378" s="50">
        <f ca="1"/>
        <v>44742</v>
      </c>
      <c r="K378">
        <f ca="1"/>
        <v>1489191.81</v>
      </c>
      <c r="L378" t="str">
        <f ca="1"/>
        <v>60587-0</v>
      </c>
      <c r="M378" t="str">
        <f ca="1"/>
        <v>Current account Pictet &amp; Cie (Europe) S.A. @@@</v>
      </c>
      <c r="N378" t="str">
        <f ca="1"/>
        <v>EUR</v>
      </c>
      <c r="O378" t="str">
        <f ca="1"/>
        <v>Cash</v>
      </c>
      <c r="P378" t="str">
        <f ca="1"/>
        <v/>
      </c>
      <c r="Q378" t="str">
        <f ca="1"/>
        <v/>
      </c>
      <c r="R378" t="str">
        <f ca="1"/>
        <v/>
      </c>
      <c r="S378" t="str">
        <f ca="1"/>
        <v/>
      </c>
      <c r="T378" t="str">
        <f ca="1"/>
        <v/>
      </c>
      <c r="U378">
        <f ca="1">IF(LEFT(_xll.BDP($T378,U$2),4)="#N/A",0,_xll.BDP($T378,U$2))</f>
        <v>0</v>
      </c>
      <c r="V378" t="e">
        <f>_xll.BDP(#REF!,V$2)</f>
        <v>#REF!</v>
      </c>
      <c r="W378" t="e">
        <f>_xll.BDP(#REF!,W$2)</f>
        <v>#REF!</v>
      </c>
      <c r="X378" t="e">
        <f>_xll.BDP(#REF!,X$2)</f>
        <v>#REF!</v>
      </c>
      <c r="Y378" t="e">
        <f>_xll.BDP(#REF!,Y$2)</f>
        <v>#REF!</v>
      </c>
      <c r="Z378" t="e">
        <f>_xll.BDP(#REF!,Z$2)</f>
        <v>#REF!</v>
      </c>
      <c r="AA378" t="e">
        <f>_xll.BDP(#REF!,AA$2)</f>
        <v>#REF!</v>
      </c>
      <c r="AD378">
        <f ca="1">IF(LEFT(_xll.BDP($T378,AD$2),4)="#N/A",-1,_xll.BDP($T378,AD$2))</f>
        <v>-1</v>
      </c>
    </row>
    <row r="379" spans="1:30">
      <c r="A379">
        <f ca="1"/>
        <v>149</v>
      </c>
      <c r="B379" t="str">
        <f ca="1"/>
        <v>iW ALTERNATIVE SIF</v>
      </c>
      <c r="C379" t="str">
        <f ca="1"/>
        <v>iW ALTERNATIVE SIF</v>
      </c>
      <c r="D379">
        <f ca="1"/>
        <v>68099</v>
      </c>
      <c r="E379" t="str">
        <f ca="1"/>
        <v>REAL VALUE GROWTH FUND</v>
      </c>
      <c r="F379" t="str">
        <f ca="1"/>
        <v>Real Value Growth Fund</v>
      </c>
      <c r="G379">
        <f ca="1"/>
        <v>147</v>
      </c>
      <c r="H379" t="str">
        <f ca="1"/>
        <v>Pictet Fund Accounting</v>
      </c>
      <c r="I379" t="str">
        <f ca="1"/>
        <v>17103850-0</v>
      </c>
      <c r="J379" s="50">
        <f ca="1"/>
        <v>44742</v>
      </c>
      <c r="K379">
        <f ca="1"/>
        <v>9096.69</v>
      </c>
      <c r="L379" t="str">
        <f ca="1"/>
        <v>60596-0</v>
      </c>
      <c r="M379" t="str">
        <f ca="1"/>
        <v>Current account Pictet &amp; Cie (Europe) S.A. @@@</v>
      </c>
      <c r="N379" t="str">
        <f ca="1"/>
        <v>CAD</v>
      </c>
      <c r="O379" t="str">
        <f ca="1"/>
        <v>Cash</v>
      </c>
      <c r="P379" t="str">
        <f ca="1"/>
        <v/>
      </c>
      <c r="Q379" t="str">
        <f ca="1"/>
        <v/>
      </c>
      <c r="R379" t="str">
        <f ca="1"/>
        <v/>
      </c>
      <c r="S379" t="str">
        <f ca="1"/>
        <v/>
      </c>
      <c r="T379" t="str">
        <f ca="1"/>
        <v/>
      </c>
      <c r="U379">
        <f ca="1">IF(LEFT(_xll.BDP($T379,U$2),4)="#N/A",0,_xll.BDP($T379,U$2))</f>
        <v>0</v>
      </c>
      <c r="V379" t="e">
        <f>_xll.BDP(#REF!,V$2)</f>
        <v>#REF!</v>
      </c>
      <c r="W379" t="e">
        <f>_xll.BDP(#REF!,W$2)</f>
        <v>#REF!</v>
      </c>
      <c r="X379" t="e">
        <f>_xll.BDP(#REF!,X$2)</f>
        <v>#REF!</v>
      </c>
      <c r="Y379" t="e">
        <f>_xll.BDP(#REF!,Y$2)</f>
        <v>#REF!</v>
      </c>
      <c r="Z379" t="e">
        <f>_xll.BDP(#REF!,Z$2)</f>
        <v>#REF!</v>
      </c>
      <c r="AA379" t="e">
        <f>_xll.BDP(#REF!,AA$2)</f>
        <v>#REF!</v>
      </c>
      <c r="AD379">
        <f ca="1">IF(LEFT(_xll.BDP($T379,AD$2),4)="#N/A",-1,_xll.BDP($T379,AD$2))</f>
        <v>-1</v>
      </c>
    </row>
    <row r="380" spans="1:30">
      <c r="A380">
        <f ca="1"/>
        <v>149</v>
      </c>
      <c r="B380" t="str">
        <f ca="1"/>
        <v>iW ALTERNATIVE SIF</v>
      </c>
      <c r="C380" t="str">
        <f ca="1"/>
        <v>iW ALTERNATIVE SIF</v>
      </c>
      <c r="D380">
        <f ca="1"/>
        <v>68099</v>
      </c>
      <c r="E380" t="str">
        <f ca="1"/>
        <v>REAL VALUE GROWTH FUND</v>
      </c>
      <c r="F380" t="str">
        <f ca="1"/>
        <v>Real Value Growth Fund</v>
      </c>
      <c r="G380">
        <f ca="1"/>
        <v>147</v>
      </c>
      <c r="H380" t="str">
        <f ca="1"/>
        <v>Pictet Fund Accounting</v>
      </c>
      <c r="I380" t="str">
        <f ca="1"/>
        <v>17103868-0</v>
      </c>
      <c r="J380" s="50">
        <f ca="1"/>
        <v>44742</v>
      </c>
      <c r="K380">
        <f ca="1"/>
        <v>69413.740000000005</v>
      </c>
      <c r="L380" t="str">
        <f ca="1"/>
        <v>60578-0</v>
      </c>
      <c r="M380" t="str">
        <f ca="1"/>
        <v>Current account Pictet &amp; Cie (Europe) S.A. @@@</v>
      </c>
      <c r="N380" t="str">
        <f ca="1"/>
        <v>USD</v>
      </c>
      <c r="O380" t="str">
        <f ca="1"/>
        <v>Cash</v>
      </c>
      <c r="P380" t="str">
        <f ca="1"/>
        <v/>
      </c>
      <c r="Q380" t="str">
        <f ca="1"/>
        <v/>
      </c>
      <c r="R380" t="str">
        <f ca="1"/>
        <v/>
      </c>
      <c r="S380" t="str">
        <f ca="1"/>
        <v/>
      </c>
      <c r="T380" t="str">
        <f ca="1"/>
        <v/>
      </c>
      <c r="U380">
        <f ca="1">IF(LEFT(_xll.BDP($T380,U$2),4)="#N/A",0,_xll.BDP($T380,U$2))</f>
        <v>0</v>
      </c>
      <c r="V380" t="e">
        <f>_xll.BDP(#REF!,V$2)</f>
        <v>#REF!</v>
      </c>
      <c r="W380" t="e">
        <f>_xll.BDP(#REF!,W$2)</f>
        <v>#REF!</v>
      </c>
      <c r="X380" t="e">
        <f>_xll.BDP(#REF!,X$2)</f>
        <v>#REF!</v>
      </c>
      <c r="Y380" t="e">
        <f>_xll.BDP(#REF!,Y$2)</f>
        <v>#REF!</v>
      </c>
      <c r="Z380" t="e">
        <f>_xll.BDP(#REF!,Z$2)</f>
        <v>#REF!</v>
      </c>
      <c r="AA380" t="e">
        <f>_xll.BDP(#REF!,AA$2)</f>
        <v>#REF!</v>
      </c>
      <c r="AD380">
        <f ca="1">IF(LEFT(_xll.BDP($T380,AD$2),4)="#N/A",-1,_xll.BDP($T380,AD$2))</f>
        <v>-1</v>
      </c>
    </row>
    <row r="381" spans="1:30">
      <c r="A381">
        <f ca="1"/>
        <v>149</v>
      </c>
      <c r="B381" t="str">
        <f ca="1"/>
        <v>iW ALTERNATIVE SIF</v>
      </c>
      <c r="C381" t="str">
        <f ca="1"/>
        <v>iW ALTERNATIVE SIF</v>
      </c>
      <c r="D381">
        <f ca="1"/>
        <v>68099</v>
      </c>
      <c r="E381" t="str">
        <f ca="1"/>
        <v>REAL VALUE GROWTH FUND</v>
      </c>
      <c r="F381" t="str">
        <f ca="1"/>
        <v>Real Value Growth Fund</v>
      </c>
      <c r="G381">
        <f ca="1"/>
        <v>147</v>
      </c>
      <c r="H381" t="str">
        <f ca="1"/>
        <v>Pictet Fund Accounting</v>
      </c>
      <c r="I381" t="str">
        <f ca="1"/>
        <v>17103876-0</v>
      </c>
      <c r="J381" s="50">
        <f ca="1"/>
        <v>44742</v>
      </c>
      <c r="K381">
        <f ca="1"/>
        <v>9813.02</v>
      </c>
      <c r="L381" t="str">
        <f ca="1"/>
        <v>60594-0</v>
      </c>
      <c r="M381" t="str">
        <f ca="1"/>
        <v>Current account Pictet &amp; Cie (Europe) S.A. @@@</v>
      </c>
      <c r="N381" t="str">
        <f ca="1"/>
        <v>GBP</v>
      </c>
      <c r="O381" t="str">
        <f ca="1"/>
        <v>Cash</v>
      </c>
      <c r="P381" t="str">
        <f ca="1"/>
        <v/>
      </c>
      <c r="Q381" t="str">
        <f ca="1"/>
        <v/>
      </c>
      <c r="R381" t="str">
        <f ca="1"/>
        <v/>
      </c>
      <c r="S381" t="str">
        <f ca="1"/>
        <v/>
      </c>
      <c r="T381" t="str">
        <f ca="1"/>
        <v/>
      </c>
      <c r="U381">
        <f ca="1">IF(LEFT(_xll.BDP($T381,U$2),4)="#N/A",0,_xll.BDP($T381,U$2))</f>
        <v>0</v>
      </c>
      <c r="V381" t="e">
        <f>_xll.BDP(#REF!,V$2)</f>
        <v>#REF!</v>
      </c>
      <c r="W381" t="e">
        <f>_xll.BDP(#REF!,W$2)</f>
        <v>#REF!</v>
      </c>
      <c r="X381" t="e">
        <f>_xll.BDP(#REF!,X$2)</f>
        <v>#REF!</v>
      </c>
      <c r="Y381" t="e">
        <f>_xll.BDP(#REF!,Y$2)</f>
        <v>#REF!</v>
      </c>
      <c r="Z381" t="e">
        <f>_xll.BDP(#REF!,Z$2)</f>
        <v>#REF!</v>
      </c>
      <c r="AA381" t="e">
        <f>_xll.BDP(#REF!,AA$2)</f>
        <v>#REF!</v>
      </c>
      <c r="AD381">
        <f ca="1">IF(LEFT(_xll.BDP($T381,AD$2),4)="#N/A",-1,_xll.BDP($T381,AD$2))</f>
        <v>-1</v>
      </c>
    </row>
    <row r="382" spans="1:30">
      <c r="A382">
        <f ca="1"/>
        <v>149</v>
      </c>
      <c r="B382" t="str">
        <f ca="1"/>
        <v>iW ALTERNATIVE SIF</v>
      </c>
      <c r="C382" t="str">
        <f ca="1"/>
        <v>iW ALTERNATIVE SIF</v>
      </c>
      <c r="D382">
        <f ca="1"/>
        <v>68099</v>
      </c>
      <c r="E382" t="str">
        <f ca="1"/>
        <v>REAL VALUE GROWTH FUND</v>
      </c>
      <c r="F382" t="str">
        <f ca="1"/>
        <v>Real Value Growth Fund</v>
      </c>
      <c r="G382">
        <f ca="1"/>
        <v>147</v>
      </c>
      <c r="H382" t="str">
        <f ca="1"/>
        <v>Pictet Fund Accounting</v>
      </c>
      <c r="I382" t="str">
        <f ca="1"/>
        <v>17103884-0</v>
      </c>
      <c r="J382" s="50">
        <f ca="1"/>
        <v>44742</v>
      </c>
      <c r="K382">
        <f ca="1"/>
        <v>3750</v>
      </c>
      <c r="L382" t="str">
        <f ca="1"/>
        <v>69771-0</v>
      </c>
      <c r="M382" t="str">
        <f ca="1"/>
        <v>ALX RESOURCES</v>
      </c>
      <c r="N382" t="str">
        <f ca="1"/>
        <v>CAD</v>
      </c>
      <c r="O382" t="str">
        <f ca="1"/>
        <v>Equity</v>
      </c>
      <c r="P382" t="str">
        <f ca="1"/>
        <v/>
      </c>
      <c r="Q382" t="str">
        <f ca="1"/>
        <v/>
      </c>
      <c r="R382" t="str">
        <f ca="1"/>
        <v>CA00165X1087</v>
      </c>
      <c r="S382" t="str">
        <f ca="1"/>
        <v/>
      </c>
      <c r="T382" t="str">
        <f ca="1"/>
        <v>AL CN Equity</v>
      </c>
      <c r="U382">
        <f ca="1">IF(LEFT(_xll.BDP($T382,U$2),4)="#N/A",0,_xll.BDP($T382,U$2))</f>
        <v>0</v>
      </c>
      <c r="V382" t="e">
        <f>_xll.BDP(#REF!,V$2)</f>
        <v>#REF!</v>
      </c>
      <c r="W382" t="e">
        <f>_xll.BDP(#REF!,W$2)</f>
        <v>#REF!</v>
      </c>
      <c r="X382" t="e">
        <f>_xll.BDP(#REF!,X$2)</f>
        <v>#REF!</v>
      </c>
      <c r="Y382" t="e">
        <f>_xll.BDP(#REF!,Y$2)</f>
        <v>#REF!</v>
      </c>
      <c r="Z382" t="e">
        <f>_xll.BDP(#REF!,Z$2)</f>
        <v>#REF!</v>
      </c>
      <c r="AA382" t="e">
        <f>_xll.BDP(#REF!,AA$2)</f>
        <v>#REF!</v>
      </c>
      <c r="AD382">
        <f ca="1">IF(LEFT(_xll.BDP($T382,AD$2),4)="#N/A",-1,_xll.BDP($T382,AD$2))</f>
        <v>354438.8</v>
      </c>
    </row>
    <row r="383" spans="1:30">
      <c r="A383">
        <f ca="1"/>
        <v>149</v>
      </c>
      <c r="B383" t="str">
        <f ca="1"/>
        <v>iW ALTERNATIVE SIF</v>
      </c>
      <c r="C383" t="str">
        <f ca="1"/>
        <v>iW ALTERNATIVE SIF</v>
      </c>
      <c r="D383">
        <f ca="1"/>
        <v>68099</v>
      </c>
      <c r="E383" t="str">
        <f ca="1"/>
        <v>REAL VALUE GROWTH FUND</v>
      </c>
      <c r="F383" t="str">
        <f ca="1"/>
        <v>Real Value Growth Fund</v>
      </c>
      <c r="G383">
        <f ca="1"/>
        <v>147</v>
      </c>
      <c r="H383" t="str">
        <f ca="1"/>
        <v>Pictet Fund Accounting</v>
      </c>
      <c r="I383" t="str">
        <f ca="1"/>
        <v>17103853-0</v>
      </c>
      <c r="J383" s="50">
        <f ca="1"/>
        <v>44742</v>
      </c>
      <c r="K383">
        <f ca="1"/>
        <v>30894</v>
      </c>
      <c r="L383" t="str">
        <f ca="1"/>
        <v>69753-0</v>
      </c>
      <c r="M383" t="str">
        <f ca="1"/>
        <v>ANGLO EASTERN PLANTATIONS</v>
      </c>
      <c r="N383" t="str">
        <f ca="1"/>
        <v>GBP</v>
      </c>
      <c r="O383" t="str">
        <f ca="1"/>
        <v>Equity</v>
      </c>
      <c r="P383" t="str">
        <f ca="1"/>
        <v/>
      </c>
      <c r="Q383" t="str">
        <f ca="1"/>
        <v/>
      </c>
      <c r="R383" t="str">
        <f ca="1"/>
        <v>GB0000365774</v>
      </c>
      <c r="S383" t="str">
        <f ca="1"/>
        <v/>
      </c>
      <c r="T383" t="str">
        <f ca="1"/>
        <v>AEP LN Equity</v>
      </c>
      <c r="U383">
        <f ca="1">IF(LEFT(_xll.BDP($T383,U$2),4)="#N/A",0,_xll.BDP($T383,U$2))</f>
        <v>0</v>
      </c>
      <c r="V383" t="e">
        <f>_xll.BDP(#REF!,V$2)</f>
        <v>#REF!</v>
      </c>
      <c r="W383" t="e">
        <f>_xll.BDP(#REF!,W$2)</f>
        <v>#REF!</v>
      </c>
      <c r="X383" t="e">
        <f>_xll.BDP(#REF!,X$2)</f>
        <v>#REF!</v>
      </c>
      <c r="Y383" t="e">
        <f>_xll.BDP(#REF!,Y$2)</f>
        <v>#REF!</v>
      </c>
      <c r="Z383" t="e">
        <f>_xll.BDP(#REF!,Z$2)</f>
        <v>#REF!</v>
      </c>
      <c r="AA383" t="e">
        <f>_xll.BDP(#REF!,AA$2)</f>
        <v>#REF!</v>
      </c>
      <c r="AD383">
        <f ca="1">IF(LEFT(_xll.BDP($T383,AD$2),4)="#N/A",-1,_xll.BDP($T383,AD$2))</f>
        <v>28342.15</v>
      </c>
    </row>
    <row r="384" spans="1:30">
      <c r="A384">
        <f ca="1"/>
        <v>149</v>
      </c>
      <c r="B384" t="str">
        <f ca="1"/>
        <v>iW ALTERNATIVE SIF</v>
      </c>
      <c r="C384" t="str">
        <f ca="1"/>
        <v>iW ALTERNATIVE SIF</v>
      </c>
      <c r="D384">
        <f ca="1"/>
        <v>68099</v>
      </c>
      <c r="E384" t="str">
        <f ca="1"/>
        <v>REAL VALUE GROWTH FUND</v>
      </c>
      <c r="F384" t="str">
        <f ca="1"/>
        <v>Real Value Growth Fund</v>
      </c>
      <c r="G384">
        <f ca="1"/>
        <v>147</v>
      </c>
      <c r="H384" t="str">
        <f ca="1"/>
        <v>Pictet Fund Accounting</v>
      </c>
      <c r="I384" t="str">
        <f ca="1"/>
        <v>17103873-0</v>
      </c>
      <c r="J384" s="50">
        <f ca="1"/>
        <v>44742</v>
      </c>
      <c r="K384">
        <f ca="1"/>
        <v>25000</v>
      </c>
      <c r="L384" t="str">
        <f ca="1"/>
        <v>69764-0</v>
      </c>
      <c r="M384" t="str">
        <f ca="1"/>
        <v>ARAFURA RESOURCES</v>
      </c>
      <c r="N384" t="str">
        <f ca="1"/>
        <v>AUD</v>
      </c>
      <c r="O384" t="str">
        <f ca="1"/>
        <v>Equity</v>
      </c>
      <c r="P384" t="str">
        <f ca="1"/>
        <v/>
      </c>
      <c r="Q384" t="str">
        <f ca="1"/>
        <v/>
      </c>
      <c r="R384" t="str">
        <f ca="1"/>
        <v>AU000000ARU5</v>
      </c>
      <c r="S384" t="str">
        <f ca="1"/>
        <v/>
      </c>
      <c r="T384" t="str">
        <f ca="1"/>
        <v>ARU AU Equity</v>
      </c>
      <c r="U384">
        <f ca="1">IF(LEFT(_xll.BDP($T384,U$2),4)="#N/A",0,_xll.BDP($T384,U$2))</f>
        <v>0</v>
      </c>
      <c r="V384" t="e">
        <f>_xll.BDP(#REF!,V$2)</f>
        <v>#REF!</v>
      </c>
      <c r="W384" t="e">
        <f>_xll.BDP(#REF!,W$2)</f>
        <v>#REF!</v>
      </c>
      <c r="X384" t="e">
        <f>_xll.BDP(#REF!,X$2)</f>
        <v>#REF!</v>
      </c>
      <c r="Y384" t="e">
        <f>_xll.BDP(#REF!,Y$2)</f>
        <v>#REF!</v>
      </c>
      <c r="Z384" t="e">
        <f>_xll.BDP(#REF!,Z$2)</f>
        <v>#REF!</v>
      </c>
      <c r="AA384" t="e">
        <f>_xll.BDP(#REF!,AA$2)</f>
        <v>#REF!</v>
      </c>
      <c r="AD384">
        <f ca="1">IF(LEFT(_xll.BDP($T384,AD$2),4)="#N/A",-1,_xll.BDP($T384,AD$2))</f>
        <v>5421273</v>
      </c>
    </row>
    <row r="385" spans="1:30">
      <c r="A385">
        <f ca="1"/>
        <v>149</v>
      </c>
      <c r="B385" t="str">
        <f ca="1"/>
        <v>iW ALTERNATIVE SIF</v>
      </c>
      <c r="C385" t="str">
        <f ca="1"/>
        <v>iW ALTERNATIVE SIF</v>
      </c>
      <c r="D385">
        <f ca="1"/>
        <v>68099</v>
      </c>
      <c r="E385" t="str">
        <f ca="1"/>
        <v>REAL VALUE GROWTH FUND</v>
      </c>
      <c r="F385" t="str">
        <f ca="1"/>
        <v>Real Value Growth Fund</v>
      </c>
      <c r="G385">
        <f ca="1"/>
        <v>147</v>
      </c>
      <c r="H385" t="str">
        <f ca="1"/>
        <v>Pictet Fund Accounting</v>
      </c>
      <c r="I385" t="str">
        <f ca="1"/>
        <v>17103848-0</v>
      </c>
      <c r="J385" s="50">
        <f ca="1"/>
        <v>44742</v>
      </c>
      <c r="K385">
        <f ca="1"/>
        <v>636</v>
      </c>
      <c r="L385" t="str">
        <f ca="1"/>
        <v>69752-0</v>
      </c>
      <c r="M385" t="str">
        <f ca="1"/>
        <v>ARROW EXPLORATION</v>
      </c>
      <c r="N385" t="str">
        <f ca="1"/>
        <v>CAD</v>
      </c>
      <c r="O385" t="str">
        <f ca="1"/>
        <v>Equity</v>
      </c>
      <c r="P385" t="str">
        <f ca="1"/>
        <v/>
      </c>
      <c r="Q385" t="str">
        <f ca="1"/>
        <v/>
      </c>
      <c r="R385" t="str">
        <f ca="1"/>
        <v>CA04274P1053</v>
      </c>
      <c r="S385" t="str">
        <f ca="1"/>
        <v/>
      </c>
      <c r="T385" t="str">
        <f ca="1"/>
        <v>AXL CV Equity</v>
      </c>
      <c r="U385">
        <f ca="1">IF(LEFT(_xll.BDP($T385,U$2),4)="#N/A",0,_xll.BDP($T385,U$2))</f>
        <v>0</v>
      </c>
      <c r="V385" t="e">
        <f>_xll.BDP(#REF!,V$2)</f>
        <v>#REF!</v>
      </c>
      <c r="W385" t="e">
        <f>_xll.BDP(#REF!,W$2)</f>
        <v>#REF!</v>
      </c>
      <c r="X385" t="e">
        <f>_xll.BDP(#REF!,X$2)</f>
        <v>#REF!</v>
      </c>
      <c r="Y385" t="e">
        <f>_xll.BDP(#REF!,Y$2)</f>
        <v>#REF!</v>
      </c>
      <c r="Z385" t="e">
        <f>_xll.BDP(#REF!,Z$2)</f>
        <v>#REF!</v>
      </c>
      <c r="AA385" t="e">
        <f>_xll.BDP(#REF!,AA$2)</f>
        <v>#REF!</v>
      </c>
      <c r="AD385">
        <f ca="1">IF(LEFT(_xll.BDP($T385,AD$2),4)="#N/A",-1,_xll.BDP($T385,AD$2))</f>
        <v>117970.1</v>
      </c>
    </row>
    <row r="386" spans="1:30">
      <c r="A386">
        <f ca="1"/>
        <v>149</v>
      </c>
      <c r="B386" t="str">
        <f ca="1"/>
        <v>iW ALTERNATIVE SIF</v>
      </c>
      <c r="C386" t="str">
        <f ca="1"/>
        <v>iW ALTERNATIVE SIF</v>
      </c>
      <c r="D386">
        <f ca="1"/>
        <v>68099</v>
      </c>
      <c r="E386" t="str">
        <f ca="1"/>
        <v>REAL VALUE GROWTH FUND</v>
      </c>
      <c r="F386" t="str">
        <f ca="1"/>
        <v>Real Value Growth Fund</v>
      </c>
      <c r="G386">
        <f ca="1"/>
        <v>147</v>
      </c>
      <c r="H386" t="str">
        <f ca="1"/>
        <v>Pictet Fund Accounting</v>
      </c>
      <c r="I386" t="str">
        <f ca="1"/>
        <v>17103880-0</v>
      </c>
      <c r="J386" s="50">
        <f ca="1"/>
        <v>44742</v>
      </c>
      <c r="K386">
        <f ca="1"/>
        <v>7000</v>
      </c>
      <c r="L386" t="str">
        <f ca="1"/>
        <v>69768-0</v>
      </c>
      <c r="M386" t="str">
        <f ca="1"/>
        <v>BANK OF AMERICA</v>
      </c>
      <c r="N386" t="str">
        <f ca="1"/>
        <v>USD</v>
      </c>
      <c r="O386" t="str">
        <f ca="1"/>
        <v>Equity</v>
      </c>
      <c r="P386" t="str">
        <f ca="1"/>
        <v/>
      </c>
      <c r="Q386" t="str">
        <f ca="1"/>
        <v/>
      </c>
      <c r="R386" t="str">
        <f ca="1"/>
        <v>US0605051046</v>
      </c>
      <c r="S386" t="str">
        <f ca="1"/>
        <v/>
      </c>
      <c r="T386" t="str">
        <f ca="1"/>
        <v>BAC UN Equity</v>
      </c>
      <c r="U386">
        <f ca="1">IF(LEFT(_xll.BDP($T386,U$2),4)="#N/A",0,_xll.BDP($T386,U$2))</f>
        <v>-1.1761977903010838E-3</v>
      </c>
      <c r="V386" t="e">
        <f>_xll.BDP(#REF!,V$2)</f>
        <v>#REF!</v>
      </c>
      <c r="W386" t="e">
        <f>_xll.BDP(#REF!,W$2)</f>
        <v>#REF!</v>
      </c>
      <c r="X386" t="e">
        <f>_xll.BDP(#REF!,X$2)</f>
        <v>#REF!</v>
      </c>
      <c r="Y386" t="e">
        <f>_xll.BDP(#REF!,Y$2)</f>
        <v>#REF!</v>
      </c>
      <c r="Z386" t="e">
        <f>_xll.BDP(#REF!,Z$2)</f>
        <v>#REF!</v>
      </c>
      <c r="AA386" t="e">
        <f>_xll.BDP(#REF!,AA$2)</f>
        <v>#REF!</v>
      </c>
      <c r="AD386">
        <f ca="1">IF(LEFT(_xll.BDP($T386,AD$2),4)="#N/A",-1,_xll.BDP($T386,AD$2))</f>
        <v>10358155</v>
      </c>
    </row>
    <row r="387" spans="1:30">
      <c r="A387">
        <f ca="1"/>
        <v>149</v>
      </c>
      <c r="B387" t="str">
        <f ca="1"/>
        <v>iW ALTERNATIVE SIF</v>
      </c>
      <c r="C387" t="str">
        <f ca="1"/>
        <v>iW ALTERNATIVE SIF</v>
      </c>
      <c r="D387">
        <f ca="1"/>
        <v>68099</v>
      </c>
      <c r="E387" t="str">
        <f ca="1"/>
        <v>REAL VALUE GROWTH FUND</v>
      </c>
      <c r="F387" t="str">
        <f ca="1"/>
        <v>Real Value Growth Fund</v>
      </c>
      <c r="G387">
        <f ca="1"/>
        <v>147</v>
      </c>
      <c r="H387" t="str">
        <f ca="1"/>
        <v>Pictet Fund Accounting</v>
      </c>
      <c r="I387" t="str">
        <f ca="1"/>
        <v>17103886-0</v>
      </c>
      <c r="J387" s="50">
        <f ca="1"/>
        <v>44742</v>
      </c>
      <c r="K387">
        <f ca="1"/>
        <v>1400</v>
      </c>
      <c r="L387" t="str">
        <f ca="1"/>
        <v>69772-0</v>
      </c>
      <c r="M387" t="str">
        <f ca="1"/>
        <v>CAMELLIA</v>
      </c>
      <c r="N387" t="str">
        <f ca="1"/>
        <v>GBP</v>
      </c>
      <c r="O387" t="str">
        <f ca="1"/>
        <v>Equity</v>
      </c>
      <c r="P387" t="str">
        <f ca="1"/>
        <v/>
      </c>
      <c r="Q387" t="str">
        <f ca="1"/>
        <v/>
      </c>
      <c r="R387" t="str">
        <f ca="1"/>
        <v>GB0001667087</v>
      </c>
      <c r="S387" t="str">
        <f ca="1"/>
        <v/>
      </c>
      <c r="T387" t="str">
        <f ca="1"/>
        <v>CAM LN Equity</v>
      </c>
      <c r="U387">
        <f ca="1">IF(LEFT(_xll.BDP($T387,U$2),4)="#N/A",0,_xll.BDP($T387,U$2))</f>
        <v>0</v>
      </c>
      <c r="V387" t="e">
        <f>_xll.BDP(#REF!,V$2)</f>
        <v>#REF!</v>
      </c>
      <c r="W387" t="e">
        <f>_xll.BDP(#REF!,W$2)</f>
        <v>#REF!</v>
      </c>
      <c r="X387" t="e">
        <f>_xll.BDP(#REF!,X$2)</f>
        <v>#REF!</v>
      </c>
      <c r="Y387" t="e">
        <f>_xll.BDP(#REF!,Y$2)</f>
        <v>#REF!</v>
      </c>
      <c r="Z387" t="e">
        <f>_xll.BDP(#REF!,Z$2)</f>
        <v>#REF!</v>
      </c>
      <c r="AA387" t="e">
        <f>_xll.BDP(#REF!,AA$2)</f>
        <v>#REF!</v>
      </c>
      <c r="AD387">
        <f ca="1">IF(LEFT(_xll.BDP($T387,AD$2),4)="#N/A",-1,_xll.BDP($T387,AD$2))</f>
        <v>194.3</v>
      </c>
    </row>
    <row r="388" spans="1:30">
      <c r="A388">
        <f ca="1"/>
        <v>149</v>
      </c>
      <c r="B388" t="str">
        <f ca="1"/>
        <v>iW ALTERNATIVE SIF</v>
      </c>
      <c r="C388" t="str">
        <f ca="1"/>
        <v>iW ALTERNATIVE SIF</v>
      </c>
      <c r="D388">
        <f ca="1"/>
        <v>68099</v>
      </c>
      <c r="E388" t="str">
        <f ca="1"/>
        <v>REAL VALUE GROWTH FUND</v>
      </c>
      <c r="F388" t="str">
        <f ca="1"/>
        <v>Real Value Growth Fund</v>
      </c>
      <c r="G388">
        <f ca="1"/>
        <v>147</v>
      </c>
      <c r="H388" t="str">
        <f ca="1"/>
        <v>Pictet Fund Accounting</v>
      </c>
      <c r="I388" t="str">
        <f ca="1"/>
        <v>17103883-0</v>
      </c>
      <c r="J388" s="50">
        <f ca="1"/>
        <v>44742</v>
      </c>
      <c r="K388">
        <f ca="1"/>
        <v>5000</v>
      </c>
      <c r="L388" t="str">
        <f ca="1"/>
        <v>69770-0</v>
      </c>
      <c r="M388" t="str">
        <f ca="1"/>
        <v>CANACOL ENERGY</v>
      </c>
      <c r="N388" t="str">
        <f ca="1"/>
        <v>CAD</v>
      </c>
      <c r="O388" t="str">
        <f ca="1"/>
        <v>Equity</v>
      </c>
      <c r="P388" t="str">
        <f ca="1"/>
        <v/>
      </c>
      <c r="Q388" t="str">
        <f ca="1"/>
        <v/>
      </c>
      <c r="R388" t="str">
        <f ca="1"/>
        <v>CA1348082035</v>
      </c>
      <c r="S388" t="str">
        <f ca="1"/>
        <v/>
      </c>
      <c r="T388" t="str">
        <f ca="1"/>
        <v>CNE CT Equity</v>
      </c>
      <c r="U388">
        <f ca="1">IF(LEFT(_xll.BDP($T388,U$2),4)="#N/A",0,_xll.BDP($T388,U$2))</f>
        <v>0</v>
      </c>
      <c r="V388" t="e">
        <f>_xll.BDP(#REF!,V$2)</f>
        <v>#REF!</v>
      </c>
      <c r="W388" t="e">
        <f>_xll.BDP(#REF!,W$2)</f>
        <v>#REF!</v>
      </c>
      <c r="X388" t="e">
        <f>_xll.BDP(#REF!,X$2)</f>
        <v>#REF!</v>
      </c>
      <c r="Y388" t="e">
        <f>_xll.BDP(#REF!,Y$2)</f>
        <v>#REF!</v>
      </c>
      <c r="Z388" t="e">
        <f>_xll.BDP(#REF!,Z$2)</f>
        <v>#REF!</v>
      </c>
      <c r="AA388" t="e">
        <f>_xll.BDP(#REF!,AA$2)</f>
        <v>#REF!</v>
      </c>
      <c r="AD388">
        <f ca="1">IF(LEFT(_xll.BDP($T388,AD$2),4)="#N/A",-1,_xll.BDP($T388,AD$2))</f>
        <v>261745.6</v>
      </c>
    </row>
    <row r="389" spans="1:30">
      <c r="A389">
        <f ca="1"/>
        <v>149</v>
      </c>
      <c r="B389" t="str">
        <f ca="1"/>
        <v>iW ALTERNATIVE SIF</v>
      </c>
      <c r="C389" t="str">
        <f ca="1"/>
        <v>iW ALTERNATIVE SIF</v>
      </c>
      <c r="D389">
        <f ca="1"/>
        <v>68099</v>
      </c>
      <c r="E389" t="str">
        <f ca="1"/>
        <v>REAL VALUE GROWTH FUND</v>
      </c>
      <c r="F389" t="str">
        <f ca="1"/>
        <v>Real Value Growth Fund</v>
      </c>
      <c r="G389">
        <f ca="1"/>
        <v>147</v>
      </c>
      <c r="H389" t="str">
        <f ca="1"/>
        <v>Pictet Fund Accounting</v>
      </c>
      <c r="I389" t="str">
        <f ca="1"/>
        <v>17103842-0</v>
      </c>
      <c r="J389" s="50">
        <f ca="1"/>
        <v>44742</v>
      </c>
      <c r="K389">
        <f ca="1"/>
        <v>200000</v>
      </c>
      <c r="L389" t="str">
        <f ca="1"/>
        <v>69748-0</v>
      </c>
      <c r="M389" t="str">
        <f ca="1"/>
        <v>CHAODA MODERN AGRICULTURE (HLDGS)</v>
      </c>
      <c r="N389" t="str">
        <f ca="1"/>
        <v>HKD</v>
      </c>
      <c r="O389" t="str">
        <f ca="1"/>
        <v>Equity</v>
      </c>
      <c r="P389" t="str">
        <f ca="1"/>
        <v/>
      </c>
      <c r="Q389" t="str">
        <f ca="1"/>
        <v/>
      </c>
      <c r="R389" t="str">
        <f ca="1"/>
        <v>KYG2046Q1073</v>
      </c>
      <c r="S389" t="str">
        <f ca="1"/>
        <v/>
      </c>
      <c r="T389" t="str">
        <f ca="1"/>
        <v>682 HK Equity</v>
      </c>
      <c r="U389">
        <f ca="1">IF(LEFT(_xll.BDP($T389,U$2),4)="#N/A",0,_xll.BDP($T389,U$2))</f>
        <v>0</v>
      </c>
      <c r="V389" t="e">
        <f>_xll.BDP(#REF!,V$2)</f>
        <v>#REF!</v>
      </c>
      <c r="W389" t="e">
        <f>_xll.BDP(#REF!,W$2)</f>
        <v>#REF!</v>
      </c>
      <c r="X389" t="e">
        <f>_xll.BDP(#REF!,X$2)</f>
        <v>#REF!</v>
      </c>
      <c r="Y389" t="e">
        <f>_xll.BDP(#REF!,Y$2)</f>
        <v>#REF!</v>
      </c>
      <c r="Z389" t="e">
        <f>_xll.BDP(#REF!,Z$2)</f>
        <v>#REF!</v>
      </c>
      <c r="AA389" t="e">
        <f>_xll.BDP(#REF!,AA$2)</f>
        <v>#REF!</v>
      </c>
      <c r="AD389">
        <f ca="1">IF(LEFT(_xll.BDP($T389,AD$2),4)="#N/A",-1,_xll.BDP($T389,AD$2))</f>
        <v>2551469</v>
      </c>
    </row>
    <row r="390" spans="1:30">
      <c r="A390">
        <f ca="1"/>
        <v>149</v>
      </c>
      <c r="B390" t="str">
        <f ca="1"/>
        <v>iW ALTERNATIVE SIF</v>
      </c>
      <c r="C390" t="str">
        <f ca="1"/>
        <v>iW ALTERNATIVE SIF</v>
      </c>
      <c r="D390">
        <f ca="1"/>
        <v>68099</v>
      </c>
      <c r="E390" t="str">
        <f ca="1"/>
        <v>REAL VALUE GROWTH FUND</v>
      </c>
      <c r="F390" t="str">
        <f ca="1"/>
        <v>Real Value Growth Fund</v>
      </c>
      <c r="G390">
        <f ca="1"/>
        <v>147</v>
      </c>
      <c r="H390" t="str">
        <f ca="1"/>
        <v>Pictet Fund Accounting</v>
      </c>
      <c r="I390" t="str">
        <f ca="1"/>
        <v>17103855-0</v>
      </c>
      <c r="J390" s="50">
        <f ca="1"/>
        <v>44742</v>
      </c>
      <c r="K390">
        <f ca="1"/>
        <v>85875</v>
      </c>
      <c r="L390" t="str">
        <f ca="1"/>
        <v>69755-0</v>
      </c>
      <c r="M390" t="str">
        <f ca="1"/>
        <v>FISSION URANIUM</v>
      </c>
      <c r="N390" t="str">
        <f ca="1"/>
        <v>CAD</v>
      </c>
      <c r="O390" t="str">
        <f ca="1"/>
        <v>Equity</v>
      </c>
      <c r="P390" t="str">
        <f ca="1"/>
        <v/>
      </c>
      <c r="Q390" t="str">
        <f ca="1"/>
        <v/>
      </c>
      <c r="R390" t="str">
        <f ca="1"/>
        <v>CA33812R1091</v>
      </c>
      <c r="S390" t="str">
        <f ca="1"/>
        <v/>
      </c>
      <c r="T390" t="str">
        <f ca="1"/>
        <v>FCU CN Equity</v>
      </c>
      <c r="U390">
        <f ca="1">IF(LEFT(_xll.BDP($T390,U$2),4)="#N/A",0,_xll.BDP($T390,U$2))</f>
        <v>0</v>
      </c>
      <c r="V390" t="e">
        <f>_xll.BDP(#REF!,V$2)</f>
        <v>#REF!</v>
      </c>
      <c r="W390" t="e">
        <f>_xll.BDP(#REF!,W$2)</f>
        <v>#REF!</v>
      </c>
      <c r="X390" t="e">
        <f>_xll.BDP(#REF!,X$2)</f>
        <v>#REF!</v>
      </c>
      <c r="Y390" t="e">
        <f>_xll.BDP(#REF!,Y$2)</f>
        <v>#REF!</v>
      </c>
      <c r="Z390" t="e">
        <f>_xll.BDP(#REF!,Z$2)</f>
        <v>#REF!</v>
      </c>
      <c r="AA390" t="e">
        <f>_xll.BDP(#REF!,AA$2)</f>
        <v>#REF!</v>
      </c>
      <c r="AD390">
        <f ca="1">IF(LEFT(_xll.BDP($T390,AD$2),4)="#N/A",-1,_xll.BDP($T390,AD$2))</f>
        <v>2581196</v>
      </c>
    </row>
    <row r="391" spans="1:30">
      <c r="A391">
        <f ca="1"/>
        <v>149</v>
      </c>
      <c r="B391" t="str">
        <f ca="1"/>
        <v>iW ALTERNATIVE SIF</v>
      </c>
      <c r="C391" t="str">
        <f ca="1"/>
        <v>iW ALTERNATIVE SIF</v>
      </c>
      <c r="D391">
        <f ca="1"/>
        <v>68099</v>
      </c>
      <c r="E391" t="str">
        <f ca="1"/>
        <v>REAL VALUE GROWTH FUND</v>
      </c>
      <c r="F391" t="str">
        <f ca="1"/>
        <v>Real Value Growth Fund</v>
      </c>
      <c r="G391">
        <f ca="1"/>
        <v>147</v>
      </c>
      <c r="H391" t="str">
        <f ca="1"/>
        <v>Pictet Fund Accounting</v>
      </c>
      <c r="I391" t="str">
        <f ca="1"/>
        <v>17103849-0</v>
      </c>
      <c r="J391" s="50">
        <f ca="1"/>
        <v>44742</v>
      </c>
      <c r="K391">
        <f ca="1"/>
        <v>26666</v>
      </c>
      <c r="L391" t="str">
        <f ca="1"/>
        <v>67965-0</v>
      </c>
      <c r="M391" t="str">
        <f ca="1"/>
        <v>GALWAY METALS</v>
      </c>
      <c r="N391" t="str">
        <f ca="1"/>
        <v>CAD</v>
      </c>
      <c r="O391" t="str">
        <f ca="1"/>
        <v>Equity</v>
      </c>
      <c r="P391" t="str">
        <f ca="1"/>
        <v/>
      </c>
      <c r="Q391" t="str">
        <f ca="1"/>
        <v/>
      </c>
      <c r="R391" t="str">
        <f ca="1"/>
        <v>CA3645852086</v>
      </c>
      <c r="S391" t="str">
        <f ca="1"/>
        <v/>
      </c>
      <c r="T391" t="str">
        <f ca="1"/>
        <v>GWM CV Equity</v>
      </c>
      <c r="U391">
        <f ca="1">IF(LEFT(_xll.BDP($T391,U$2),4)="#N/A",0,_xll.BDP($T391,U$2))</f>
        <v>0</v>
      </c>
      <c r="V391" t="e">
        <f>_xll.BDP(#REF!,V$2)</f>
        <v>#REF!</v>
      </c>
      <c r="W391" t="e">
        <f>_xll.BDP(#REF!,W$2)</f>
        <v>#REF!</v>
      </c>
      <c r="X391" t="e">
        <f>_xll.BDP(#REF!,X$2)</f>
        <v>#REF!</v>
      </c>
      <c r="Y391" t="e">
        <f>_xll.BDP(#REF!,Y$2)</f>
        <v>#REF!</v>
      </c>
      <c r="Z391" t="e">
        <f>_xll.BDP(#REF!,Z$2)</f>
        <v>#REF!</v>
      </c>
      <c r="AA391" t="e">
        <f>_xll.BDP(#REF!,AA$2)</f>
        <v>#REF!</v>
      </c>
      <c r="AD391">
        <f ca="1">IF(LEFT(_xll.BDP($T391,AD$2),4)="#N/A",-1,_xll.BDP($T391,AD$2))</f>
        <v>55237</v>
      </c>
    </row>
    <row r="392" spans="1:30">
      <c r="A392">
        <f ca="1"/>
        <v>149</v>
      </c>
      <c r="B392" t="str">
        <f ca="1"/>
        <v>iW ALTERNATIVE SIF</v>
      </c>
      <c r="C392" t="str">
        <f ca="1"/>
        <v>iW ALTERNATIVE SIF</v>
      </c>
      <c r="D392">
        <f ca="1"/>
        <v>68099</v>
      </c>
      <c r="E392" t="str">
        <f ca="1"/>
        <v>REAL VALUE GROWTH FUND</v>
      </c>
      <c r="F392" t="str">
        <f ca="1"/>
        <v>Real Value Growth Fund</v>
      </c>
      <c r="G392">
        <f ca="1"/>
        <v>147</v>
      </c>
      <c r="H392" t="str">
        <f ca="1"/>
        <v>Pictet Fund Accounting</v>
      </c>
      <c r="I392" t="str">
        <f ca="1"/>
        <v>17103889-0</v>
      </c>
      <c r="J392" s="50">
        <f ca="1"/>
        <v>44742</v>
      </c>
      <c r="K392">
        <f ca="1"/>
        <v>2800</v>
      </c>
      <c r="L392" t="str">
        <f ca="1"/>
        <v>69774-0</v>
      </c>
      <c r="M392" t="str">
        <f ca="1"/>
        <v>JARDINE MATHESON -ADR UNSPONS.-</v>
      </c>
      <c r="N392" t="str">
        <f ca="1"/>
        <v>USD</v>
      </c>
      <c r="O392" t="str">
        <f ca="1"/>
        <v>Equity</v>
      </c>
      <c r="P392" t="str">
        <f ca="1"/>
        <v/>
      </c>
      <c r="Q392" t="str">
        <f ca="1"/>
        <v/>
      </c>
      <c r="R392" t="str">
        <f ca="1"/>
        <v>US4711154025</v>
      </c>
      <c r="S392" t="str">
        <f ca="1"/>
        <v/>
      </c>
      <c r="T392" t="str">
        <f ca="1"/>
        <v>JMHLY UV Equity</v>
      </c>
      <c r="U392">
        <f ca="1">IF(LEFT(_xll.BDP($T392,U$2),4)="#N/A",0,_xll.BDP($T392,U$2))</f>
        <v>0</v>
      </c>
      <c r="V392" t="e">
        <f>_xll.BDP(#REF!,V$2)</f>
        <v>#REF!</v>
      </c>
      <c r="W392" t="e">
        <f>_xll.BDP(#REF!,W$2)</f>
        <v>#REF!</v>
      </c>
      <c r="X392" t="e">
        <f>_xll.BDP(#REF!,X$2)</f>
        <v>#REF!</v>
      </c>
      <c r="Y392" t="e">
        <f>_xll.BDP(#REF!,Y$2)</f>
        <v>#REF!</v>
      </c>
      <c r="Z392" t="e">
        <f>_xll.BDP(#REF!,Z$2)</f>
        <v>#REF!</v>
      </c>
      <c r="AA392" t="e">
        <f>_xll.BDP(#REF!,AA$2)</f>
        <v>#REF!</v>
      </c>
      <c r="AD392">
        <f ca="1">IF(LEFT(_xll.BDP($T392,AD$2),4)="#N/A",-1,_xll.BDP($T392,AD$2))</f>
        <v>16887.30078125</v>
      </c>
    </row>
    <row r="393" spans="1:30">
      <c r="A393">
        <f ca="1"/>
        <v>149</v>
      </c>
      <c r="B393" t="str">
        <f ca="1"/>
        <v>iW ALTERNATIVE SIF</v>
      </c>
      <c r="C393" t="str">
        <f ca="1"/>
        <v>iW ALTERNATIVE SIF</v>
      </c>
      <c r="D393">
        <f ca="1"/>
        <v>68099</v>
      </c>
      <c r="E393" t="str">
        <f ca="1"/>
        <v>REAL VALUE GROWTH FUND</v>
      </c>
      <c r="F393" t="str">
        <f ca="1"/>
        <v>Real Value Growth Fund</v>
      </c>
      <c r="G393">
        <f ca="1"/>
        <v>147</v>
      </c>
      <c r="H393" t="str">
        <f ca="1"/>
        <v>Pictet Fund Accounting</v>
      </c>
      <c r="I393" t="str">
        <f ca="1"/>
        <v>17103871-0</v>
      </c>
      <c r="J393" s="50">
        <f ca="1"/>
        <v>44742</v>
      </c>
      <c r="K393">
        <f ca="1"/>
        <v>200</v>
      </c>
      <c r="L393" t="str">
        <f ca="1"/>
        <v>132742-0</v>
      </c>
      <c r="M393" t="str">
        <f ca="1"/>
        <v>KAIZEN DISCOVERY</v>
      </c>
      <c r="N393" t="str">
        <f ca="1"/>
        <v>CAD</v>
      </c>
      <c r="O393" t="str">
        <f ca="1"/>
        <v>Equity</v>
      </c>
      <c r="P393" t="str">
        <f ca="1"/>
        <v/>
      </c>
      <c r="Q393" t="str">
        <f ca="1"/>
        <v/>
      </c>
      <c r="R393" t="str">
        <f ca="1"/>
        <v>CA48311A2092</v>
      </c>
      <c r="S393" t="str">
        <f ca="1"/>
        <v/>
      </c>
      <c r="T393" t="str">
        <f ca="1"/>
        <v>KZD CN Equity</v>
      </c>
      <c r="U393">
        <f ca="1">IF(LEFT(_xll.BDP($T393,U$2),4)="#N/A",0,_xll.BDP($T393,U$2))</f>
        <v>0</v>
      </c>
      <c r="V393" t="e">
        <f>_xll.BDP(#REF!,V$2)</f>
        <v>#REF!</v>
      </c>
      <c r="W393" t="e">
        <f>_xll.BDP(#REF!,W$2)</f>
        <v>#REF!</v>
      </c>
      <c r="X393" t="e">
        <f>_xll.BDP(#REF!,X$2)</f>
        <v>#REF!</v>
      </c>
      <c r="Y393" t="e">
        <f>_xll.BDP(#REF!,Y$2)</f>
        <v>#REF!</v>
      </c>
      <c r="Z393" t="e">
        <f>_xll.BDP(#REF!,Z$2)</f>
        <v>#REF!</v>
      </c>
      <c r="AA393" t="e">
        <f>_xll.BDP(#REF!,AA$2)</f>
        <v>#REF!</v>
      </c>
      <c r="AD393">
        <f ca="1">IF(LEFT(_xll.BDP($T393,AD$2),4)="#N/A",-1,_xll.BDP($T393,AD$2))</f>
        <v>2395.8000000000002</v>
      </c>
    </row>
    <row r="394" spans="1:30">
      <c r="A394">
        <f ca="1"/>
        <v>149</v>
      </c>
      <c r="B394" t="str">
        <f ca="1"/>
        <v>iW ALTERNATIVE SIF</v>
      </c>
      <c r="C394" t="str">
        <f ca="1"/>
        <v>iW ALTERNATIVE SIF</v>
      </c>
      <c r="D394">
        <f ca="1"/>
        <v>68099</v>
      </c>
      <c r="E394" t="str">
        <f ca="1"/>
        <v>REAL VALUE GROWTH FUND</v>
      </c>
      <c r="F394" t="str">
        <f ca="1"/>
        <v>Real Value Growth Fund</v>
      </c>
      <c r="G394">
        <f ca="1"/>
        <v>147</v>
      </c>
      <c r="H394" t="str">
        <f ca="1"/>
        <v>Pictet Fund Accounting</v>
      </c>
      <c r="I394" t="str">
        <f ca="1"/>
        <v>17103887-0</v>
      </c>
      <c r="J394" s="50">
        <f ca="1"/>
        <v>44742</v>
      </c>
      <c r="K394">
        <f ca="1"/>
        <v>5000</v>
      </c>
      <c r="L394" t="str">
        <f ca="1"/>
        <v>69773-0</v>
      </c>
      <c r="M394" t="str">
        <f ca="1"/>
        <v>LYNAS RARE EARTHS</v>
      </c>
      <c r="N394" t="str">
        <f ca="1"/>
        <v>AUD</v>
      </c>
      <c r="O394" t="str">
        <f ca="1"/>
        <v>Equity</v>
      </c>
      <c r="P394" t="str">
        <f ca="1"/>
        <v/>
      </c>
      <c r="Q394" t="str">
        <f ca="1"/>
        <v/>
      </c>
      <c r="R394" t="str">
        <f ca="1"/>
        <v>AU000000LYC6</v>
      </c>
      <c r="S394" t="str">
        <f ca="1"/>
        <v/>
      </c>
      <c r="T394" t="str">
        <f ca="1"/>
        <v>LYC AU Equity</v>
      </c>
      <c r="U394">
        <f ca="1">IF(LEFT(_xll.BDP($T394,U$2),4)="#N/A",0,_xll.BDP($T394,U$2))</f>
        <v>0.39803972039063013</v>
      </c>
      <c r="V394" t="e">
        <f>_xll.BDP(#REF!,V$2)</f>
        <v>#REF!</v>
      </c>
      <c r="W394" t="e">
        <f>_xll.BDP(#REF!,W$2)</f>
        <v>#REF!</v>
      </c>
      <c r="X394" t="e">
        <f>_xll.BDP(#REF!,X$2)</f>
        <v>#REF!</v>
      </c>
      <c r="Y394" t="e">
        <f>_xll.BDP(#REF!,Y$2)</f>
        <v>#REF!</v>
      </c>
      <c r="Z394" t="e">
        <f>_xll.BDP(#REF!,Z$2)</f>
        <v>#REF!</v>
      </c>
      <c r="AA394" t="e">
        <f>_xll.BDP(#REF!,AA$2)</f>
        <v>#REF!</v>
      </c>
      <c r="AD394">
        <f ca="1">IF(LEFT(_xll.BDP($T394,AD$2),4)="#N/A",-1,_xll.BDP($T394,AD$2))</f>
        <v>6286797</v>
      </c>
    </row>
    <row r="395" spans="1:30">
      <c r="A395">
        <f ca="1"/>
        <v>149</v>
      </c>
      <c r="B395" t="str">
        <f ca="1"/>
        <v>iW ALTERNATIVE SIF</v>
      </c>
      <c r="C395" t="str">
        <f ca="1"/>
        <v>iW ALTERNATIVE SIF</v>
      </c>
      <c r="D395">
        <f ca="1"/>
        <v>68099</v>
      </c>
      <c r="E395" t="str">
        <f ca="1"/>
        <v>REAL VALUE GROWTH FUND</v>
      </c>
      <c r="F395" t="str">
        <f ca="1"/>
        <v>Real Value Growth Fund</v>
      </c>
      <c r="G395">
        <f ca="1"/>
        <v>147</v>
      </c>
      <c r="H395" t="str">
        <f ca="1"/>
        <v>Pictet Fund Accounting</v>
      </c>
      <c r="I395" t="str">
        <f ca="1"/>
        <v>17103872-0</v>
      </c>
      <c r="J395" s="50">
        <f ca="1"/>
        <v>44742</v>
      </c>
      <c r="K395">
        <f ca="1"/>
        <v>200</v>
      </c>
      <c r="L395" t="str">
        <f ca="1"/>
        <v>79121-0</v>
      </c>
      <c r="M395" t="str">
        <f ca="1"/>
        <v>MERYLLION RESOURCES</v>
      </c>
      <c r="N395" t="str">
        <f ca="1"/>
        <v>CAD</v>
      </c>
      <c r="O395" t="str">
        <f ca="1"/>
        <v>Equity</v>
      </c>
      <c r="P395" t="str">
        <f ca="1"/>
        <v/>
      </c>
      <c r="Q395" t="str">
        <f ca="1"/>
        <v/>
      </c>
      <c r="R395" t="str">
        <f ca="1"/>
        <v>CA59047T2065</v>
      </c>
      <c r="S395" t="str">
        <f ca="1"/>
        <v/>
      </c>
      <c r="T395" t="str">
        <f ca="1"/>
        <v>MYR CF Equity</v>
      </c>
      <c r="U395">
        <f ca="1">IF(LEFT(_xll.BDP($T395,U$2),4)="#N/A",0,_xll.BDP($T395,U$2))</f>
        <v>0</v>
      </c>
      <c r="V395" t="e">
        <f>_xll.BDP(#REF!,V$2)</f>
        <v>#REF!</v>
      </c>
      <c r="W395" t="e">
        <f>_xll.BDP(#REF!,W$2)</f>
        <v>#REF!</v>
      </c>
      <c r="X395" t="e">
        <f>_xll.BDP(#REF!,X$2)</f>
        <v>#REF!</v>
      </c>
      <c r="Y395" t="e">
        <f>_xll.BDP(#REF!,Y$2)</f>
        <v>#REF!</v>
      </c>
      <c r="Z395" t="e">
        <f>_xll.BDP(#REF!,Z$2)</f>
        <v>#REF!</v>
      </c>
      <c r="AA395" t="e">
        <f>_xll.BDP(#REF!,AA$2)</f>
        <v>#REF!</v>
      </c>
      <c r="AD395">
        <f ca="1">IF(LEFT(_xll.BDP($T395,AD$2),4)="#N/A",-1,_xll.BDP($T395,AD$2))</f>
        <v>7770</v>
      </c>
    </row>
    <row r="396" spans="1:30">
      <c r="A396">
        <f ca="1"/>
        <v>149</v>
      </c>
      <c r="B396" t="str">
        <f ca="1"/>
        <v>iW ALTERNATIVE SIF</v>
      </c>
      <c r="C396" t="str">
        <f ca="1"/>
        <v>iW ALTERNATIVE SIF</v>
      </c>
      <c r="D396">
        <f ca="1"/>
        <v>68099</v>
      </c>
      <c r="E396" t="str">
        <f ca="1"/>
        <v>REAL VALUE GROWTH FUND</v>
      </c>
      <c r="F396" t="str">
        <f ca="1"/>
        <v>Real Value Growth Fund</v>
      </c>
      <c r="G396">
        <f ca="1"/>
        <v>147</v>
      </c>
      <c r="H396" t="str">
        <f ca="1"/>
        <v>Pictet Fund Accounting</v>
      </c>
      <c r="I396" t="str">
        <f ca="1"/>
        <v>17103863-0</v>
      </c>
      <c r="J396" s="50">
        <f ca="1"/>
        <v>44742</v>
      </c>
      <c r="K396">
        <f ca="1"/>
        <v>30000</v>
      </c>
      <c r="L396" t="str">
        <f ca="1"/>
        <v>69758-0</v>
      </c>
      <c r="M396" t="str">
        <f ca="1"/>
        <v>REA HOLDINGS</v>
      </c>
      <c r="N396" t="str">
        <f ca="1"/>
        <v>GBP</v>
      </c>
      <c r="O396" t="str">
        <f ca="1"/>
        <v>Equity</v>
      </c>
      <c r="P396" t="str">
        <f ca="1"/>
        <v/>
      </c>
      <c r="Q396" t="str">
        <f ca="1"/>
        <v/>
      </c>
      <c r="R396" t="str">
        <f ca="1"/>
        <v>GB0002349065</v>
      </c>
      <c r="S396" t="str">
        <f ca="1"/>
        <v/>
      </c>
      <c r="T396" t="str">
        <f ca="1"/>
        <v>RE/ LN Equity</v>
      </c>
      <c r="U396">
        <f ca="1">IF(LEFT(_xll.BDP($T396,U$2),4)="#N/A",0,_xll.BDP($T396,U$2))</f>
        <v>0</v>
      </c>
      <c r="V396" t="e">
        <f>_xll.BDP(#REF!,V$2)</f>
        <v>#REF!</v>
      </c>
      <c r="W396" t="e">
        <f>_xll.BDP(#REF!,W$2)</f>
        <v>#REF!</v>
      </c>
      <c r="X396" t="e">
        <f>_xll.BDP(#REF!,X$2)</f>
        <v>#REF!</v>
      </c>
      <c r="Y396" t="e">
        <f>_xll.BDP(#REF!,Y$2)</f>
        <v>#REF!</v>
      </c>
      <c r="Z396" t="e">
        <f>_xll.BDP(#REF!,Z$2)</f>
        <v>#REF!</v>
      </c>
      <c r="AA396" t="e">
        <f>_xll.BDP(#REF!,AA$2)</f>
        <v>#REF!</v>
      </c>
      <c r="AD396">
        <f ca="1">IF(LEFT(_xll.BDP($T396,AD$2),4)="#N/A",-1,_xll.BDP($T396,AD$2))</f>
        <v>13508.85</v>
      </c>
    </row>
    <row r="397" spans="1:30">
      <c r="A397">
        <f ca="1"/>
        <v>149</v>
      </c>
      <c r="B397" t="str">
        <f ca="1"/>
        <v>iW ALTERNATIVE SIF</v>
      </c>
      <c r="C397" t="str">
        <f ca="1"/>
        <v>iW ALTERNATIVE SIF</v>
      </c>
      <c r="D397">
        <f ca="1"/>
        <v>68099</v>
      </c>
      <c r="E397" t="str">
        <f ca="1"/>
        <v>REAL VALUE GROWTH FUND</v>
      </c>
      <c r="F397" t="str">
        <f ca="1"/>
        <v>Real Value Growth Fund</v>
      </c>
      <c r="G397">
        <f ca="1"/>
        <v>147</v>
      </c>
      <c r="H397" t="str">
        <f ca="1"/>
        <v>Pictet Fund Accounting</v>
      </c>
      <c r="I397" t="str">
        <f ca="1"/>
        <v>17103867-0</v>
      </c>
      <c r="J397" s="50">
        <f ca="1"/>
        <v>44742</v>
      </c>
      <c r="K397">
        <f ca="1"/>
        <v>7000</v>
      </c>
      <c r="L397" t="str">
        <f ca="1"/>
        <v>69762-0</v>
      </c>
      <c r="M397" t="str">
        <f ca="1"/>
        <v>REA HOLDINGS PFD 9 % CUM PERP</v>
      </c>
      <c r="N397" t="str">
        <f ca="1"/>
        <v>GBP</v>
      </c>
      <c r="O397" t="str">
        <f ca="1"/>
        <v>Equity</v>
      </c>
      <c r="P397" t="str">
        <f ca="1"/>
        <v/>
      </c>
      <c r="Q397" t="str">
        <f ca="1"/>
        <v/>
      </c>
      <c r="R397" t="str">
        <f ca="1"/>
        <v>GB0007185639</v>
      </c>
      <c r="S397" t="str">
        <f ca="1"/>
        <v/>
      </c>
      <c r="T397" t="str">
        <f ca="1"/>
        <v>XX3004662 Pfd</v>
      </c>
      <c r="U397">
        <f ca="1">IF(LEFT(_xll.BDP($T397,U$2),4)="#N/A",0,_xll.BDP($T397,U$2))</f>
        <v>0</v>
      </c>
      <c r="V397" t="e">
        <f>_xll.BDP(#REF!,V$2)</f>
        <v>#REF!</v>
      </c>
      <c r="W397" t="e">
        <f>_xll.BDP(#REF!,W$2)</f>
        <v>#REF!</v>
      </c>
      <c r="X397" t="e">
        <f>_xll.BDP(#REF!,X$2)</f>
        <v>#REF!</v>
      </c>
      <c r="Y397" t="e">
        <f>_xll.BDP(#REF!,Y$2)</f>
        <v>#REF!</v>
      </c>
      <c r="Z397" t="e">
        <f>_xll.BDP(#REF!,Z$2)</f>
        <v>#REF!</v>
      </c>
      <c r="AA397" t="e">
        <f>_xll.BDP(#REF!,AA$2)</f>
        <v>#REF!</v>
      </c>
      <c r="AD397">
        <f ca="1">IF(LEFT(_xll.BDP($T397,AD$2),4)="#N/A",-1,_xll.BDP($T397,AD$2))</f>
        <v>23697</v>
      </c>
    </row>
    <row r="398" spans="1:30">
      <c r="A398">
        <f ca="1"/>
        <v>149</v>
      </c>
      <c r="B398" t="str">
        <f ca="1"/>
        <v>iW ALTERNATIVE SIF</v>
      </c>
      <c r="C398" t="str">
        <f ca="1"/>
        <v>iW ALTERNATIVE SIF</v>
      </c>
      <c r="D398">
        <f ca="1"/>
        <v>68099</v>
      </c>
      <c r="E398" t="str">
        <f ca="1"/>
        <v>REAL VALUE GROWTH FUND</v>
      </c>
      <c r="F398" t="str">
        <f ca="1"/>
        <v>Real Value Growth Fund</v>
      </c>
      <c r="G398">
        <f ca="1"/>
        <v>147</v>
      </c>
      <c r="H398" t="str">
        <f ca="1"/>
        <v>Pictet Fund Accounting</v>
      </c>
      <c r="I398" t="str">
        <f ca="1"/>
        <v>17103862-0</v>
      </c>
      <c r="J398" s="50">
        <f ca="1"/>
        <v>44742</v>
      </c>
      <c r="K398">
        <f ca="1"/>
        <v>40000</v>
      </c>
      <c r="L398" t="str">
        <f ca="1"/>
        <v>69757-0</v>
      </c>
      <c r="M398" t="str">
        <f ca="1"/>
        <v>SAMEX MINING</v>
      </c>
      <c r="N398" t="str">
        <f ca="1"/>
        <v>CAD</v>
      </c>
      <c r="O398" t="str">
        <f ca="1"/>
        <v>Equity</v>
      </c>
      <c r="P398" t="str">
        <f ca="1"/>
        <v/>
      </c>
      <c r="Q398" t="str">
        <f ca="1"/>
        <v/>
      </c>
      <c r="R398" t="str">
        <f ca="1"/>
        <v>CA7959121046</v>
      </c>
      <c r="S398" t="str">
        <f ca="1"/>
        <v/>
      </c>
      <c r="T398" t="str">
        <f ca="1"/>
        <v>SMXMF UV Equity</v>
      </c>
      <c r="U398">
        <f ca="1">IF(LEFT(_xll.BDP($T398,U$2),4)="#N/A",0,_xll.BDP($T398,U$2))</f>
        <v>0</v>
      </c>
      <c r="V398" t="e">
        <f>_xll.BDP(#REF!,V$2)</f>
        <v>#REF!</v>
      </c>
      <c r="W398" t="e">
        <f>_xll.BDP(#REF!,W$2)</f>
        <v>#REF!</v>
      </c>
      <c r="X398" t="e">
        <f>_xll.BDP(#REF!,X$2)</f>
        <v>#REF!</v>
      </c>
      <c r="Y398" t="e">
        <f>_xll.BDP(#REF!,Y$2)</f>
        <v>#REF!</v>
      </c>
      <c r="Z398" t="e">
        <f>_xll.BDP(#REF!,Z$2)</f>
        <v>#REF!</v>
      </c>
      <c r="AA398" t="e">
        <f>_xll.BDP(#REF!,AA$2)</f>
        <v>#REF!</v>
      </c>
      <c r="AD398">
        <f ca="1">IF(LEFT(_xll.BDP($T398,AD$2),4)="#N/A",-1,_xll.BDP($T398,AD$2))</f>
        <v>-1</v>
      </c>
    </row>
    <row r="399" spans="1:30">
      <c r="A399">
        <f ca="1"/>
        <v>149</v>
      </c>
      <c r="B399" t="str">
        <f ca="1"/>
        <v>iW ALTERNATIVE SIF</v>
      </c>
      <c r="C399" t="str">
        <f ca="1"/>
        <v>iW ALTERNATIVE SIF</v>
      </c>
      <c r="D399">
        <f ca="1"/>
        <v>68099</v>
      </c>
      <c r="E399" t="str">
        <f ca="1"/>
        <v>REAL VALUE GROWTH FUND</v>
      </c>
      <c r="F399" t="str">
        <f ca="1"/>
        <v>Real Value Growth Fund</v>
      </c>
      <c r="G399">
        <f ca="1"/>
        <v>147</v>
      </c>
      <c r="H399" t="str">
        <f ca="1"/>
        <v>Pictet Fund Accounting</v>
      </c>
      <c r="I399" t="str">
        <f ca="1"/>
        <v>17103882-0</v>
      </c>
      <c r="J399" s="50">
        <f ca="1"/>
        <v>44742</v>
      </c>
      <c r="K399">
        <f ca="1"/>
        <v>2857</v>
      </c>
      <c r="L399" t="str">
        <f ca="1"/>
        <v>69769-0</v>
      </c>
      <c r="M399" t="str">
        <f ca="1"/>
        <v>SDX ENERGY</v>
      </c>
      <c r="N399" t="str">
        <f ca="1"/>
        <v>GBP</v>
      </c>
      <c r="O399" t="str">
        <f ca="1"/>
        <v>Equity</v>
      </c>
      <c r="P399" t="str">
        <f ca="1"/>
        <v/>
      </c>
      <c r="Q399" t="str">
        <f ca="1"/>
        <v/>
      </c>
      <c r="R399" t="str">
        <f ca="1"/>
        <v>GB00BJ5JNL69</v>
      </c>
      <c r="S399" t="str">
        <f ca="1"/>
        <v/>
      </c>
      <c r="T399" t="str">
        <f ca="1"/>
        <v>SDX LN Equity</v>
      </c>
      <c r="U399">
        <f ca="1">IF(LEFT(_xll.BDP($T399,U$2),4)="#N/A",0,_xll.BDP($T399,U$2))</f>
        <v>0</v>
      </c>
      <c r="V399" t="e">
        <f>_xll.BDP(#REF!,V$2)</f>
        <v>#REF!</v>
      </c>
      <c r="W399" t="e">
        <f>_xll.BDP(#REF!,W$2)</f>
        <v>#REF!</v>
      </c>
      <c r="X399" t="e">
        <f>_xll.BDP(#REF!,X$2)</f>
        <v>#REF!</v>
      </c>
      <c r="Y399" t="e">
        <f>_xll.BDP(#REF!,Y$2)</f>
        <v>#REF!</v>
      </c>
      <c r="Z399" t="e">
        <f>_xll.BDP(#REF!,Z$2)</f>
        <v>#REF!</v>
      </c>
      <c r="AA399" t="e">
        <f>_xll.BDP(#REF!,AA$2)</f>
        <v>#REF!</v>
      </c>
      <c r="AD399">
        <f ca="1">IF(LEFT(_xll.BDP($T399,AD$2),4)="#N/A",-1,_xll.BDP($T399,AD$2))</f>
        <v>2438656</v>
      </c>
    </row>
    <row r="400" spans="1:30">
      <c r="A400">
        <f ca="1"/>
        <v>149</v>
      </c>
      <c r="B400" t="str">
        <f ca="1"/>
        <v>iW ALTERNATIVE SIF</v>
      </c>
      <c r="C400" t="str">
        <f ca="1"/>
        <v>iW ALTERNATIVE SIF</v>
      </c>
      <c r="D400">
        <f ca="1"/>
        <v>68099</v>
      </c>
      <c r="E400" t="str">
        <f ca="1"/>
        <v>REAL VALUE GROWTH FUND</v>
      </c>
      <c r="F400" t="str">
        <f ca="1"/>
        <v>Real Value Growth Fund</v>
      </c>
      <c r="G400">
        <f ca="1"/>
        <v>147</v>
      </c>
      <c r="H400" t="str">
        <f ca="1"/>
        <v>Pictet Fund Accounting</v>
      </c>
      <c r="I400" t="str">
        <f ca="1"/>
        <v>17103874-0</v>
      </c>
      <c r="J400" s="50">
        <f ca="1"/>
        <v>44742</v>
      </c>
      <c r="K400">
        <f ca="1"/>
        <v>10</v>
      </c>
      <c r="L400" t="str">
        <f ca="1"/>
        <v>69765-0</v>
      </c>
      <c r="M400" t="str">
        <f ca="1"/>
        <v>SINO UNITED WORLWIDE CONSOLIDATED</v>
      </c>
      <c r="N400" t="str">
        <f ca="1"/>
        <v>USD</v>
      </c>
      <c r="O400" t="str">
        <f ca="1"/>
        <v>Equity</v>
      </c>
      <c r="P400" t="str">
        <f ca="1"/>
        <v/>
      </c>
      <c r="Q400" t="str">
        <f ca="1"/>
        <v/>
      </c>
      <c r="R400" t="str">
        <f ca="1"/>
        <v>US8293541095</v>
      </c>
      <c r="S400" t="str">
        <f ca="1"/>
        <v/>
      </c>
      <c r="T400" t="str">
        <f ca="1"/>
        <v>SUIC UV Equity</v>
      </c>
      <c r="U400">
        <f ca="1">IF(LEFT(_xll.BDP($T400,U$2),4)="#N/A",0,_xll.BDP($T400,U$2))</f>
        <v>0</v>
      </c>
      <c r="V400" t="e">
        <f>_xll.BDP(#REF!,V$2)</f>
        <v>#REF!</v>
      </c>
      <c r="W400" t="e">
        <f>_xll.BDP(#REF!,W$2)</f>
        <v>#REF!</v>
      </c>
      <c r="X400" t="e">
        <f>_xll.BDP(#REF!,X$2)</f>
        <v>#REF!</v>
      </c>
      <c r="Y400" t="e">
        <f>_xll.BDP(#REF!,Y$2)</f>
        <v>#REF!</v>
      </c>
      <c r="Z400" t="e">
        <f>_xll.BDP(#REF!,Z$2)</f>
        <v>#REF!</v>
      </c>
      <c r="AA400" t="e">
        <f>_xll.BDP(#REF!,AA$2)</f>
        <v>#REF!</v>
      </c>
      <c r="AD400">
        <f ca="1">IF(LEFT(_xll.BDP($T400,AD$2),4)="#N/A",-1,_xll.BDP($T400,AD$2))</f>
        <v>3498.85009765625</v>
      </c>
    </row>
    <row r="401" spans="1:30">
      <c r="A401">
        <f ca="1"/>
        <v>149</v>
      </c>
      <c r="B401" t="str">
        <f ca="1"/>
        <v>iW ALTERNATIVE SIF</v>
      </c>
      <c r="C401" t="str">
        <f ca="1"/>
        <v>iW ALTERNATIVE SIF</v>
      </c>
      <c r="D401">
        <f ca="1"/>
        <v>68099</v>
      </c>
      <c r="E401" t="str">
        <f ca="1"/>
        <v>REAL VALUE GROWTH FUND</v>
      </c>
      <c r="F401" t="str">
        <f ca="1"/>
        <v>Real Value Growth Fund</v>
      </c>
      <c r="G401">
        <f ca="1"/>
        <v>147</v>
      </c>
      <c r="H401" t="str">
        <f ca="1"/>
        <v>Pictet Fund Accounting</v>
      </c>
      <c r="I401" t="str">
        <f ca="1"/>
        <v>17103841-0</v>
      </c>
      <c r="J401" s="50">
        <f ca="1"/>
        <v>44742</v>
      </c>
      <c r="K401">
        <f ca="1"/>
        <v>8000</v>
      </c>
      <c r="L401" t="str">
        <f ca="1"/>
        <v>69747-0</v>
      </c>
      <c r="M401" t="str">
        <f ca="1"/>
        <v>SOCFINAF</v>
      </c>
      <c r="N401" t="str">
        <f ca="1"/>
        <v>EUR</v>
      </c>
      <c r="O401" t="str">
        <f ca="1"/>
        <v>Equity</v>
      </c>
      <c r="P401" t="str">
        <f ca="1"/>
        <v/>
      </c>
      <c r="Q401" t="str">
        <f ca="1"/>
        <v/>
      </c>
      <c r="R401" t="str">
        <f ca="1"/>
        <v>LU0056569402</v>
      </c>
      <c r="S401" t="str">
        <f ca="1"/>
        <v/>
      </c>
      <c r="T401" t="str">
        <f ca="1"/>
        <v>SOCF LX Equity</v>
      </c>
      <c r="U401">
        <f ca="1">IF(LEFT(_xll.BDP($T401,U$2),4)="#N/A",0,_xll.BDP($T401,U$2))</f>
        <v>0</v>
      </c>
      <c r="V401" t="e">
        <f>_xll.BDP(#REF!,V$2)</f>
        <v>#REF!</v>
      </c>
      <c r="W401" t="e">
        <f>_xll.BDP(#REF!,W$2)</f>
        <v>#REF!</v>
      </c>
      <c r="X401" t="e">
        <f>_xll.BDP(#REF!,X$2)</f>
        <v>#REF!</v>
      </c>
      <c r="Y401" t="e">
        <f>_xll.BDP(#REF!,Y$2)</f>
        <v>#REF!</v>
      </c>
      <c r="Z401" t="e">
        <f>_xll.BDP(#REF!,Z$2)</f>
        <v>#REF!</v>
      </c>
      <c r="AA401" t="e">
        <f>_xll.BDP(#REF!,AA$2)</f>
        <v>#REF!</v>
      </c>
      <c r="AD401">
        <f ca="1">IF(LEFT(_xll.BDP($T401,AD$2),4)="#N/A",-1,_xll.BDP($T401,AD$2))</f>
        <v>684.15</v>
      </c>
    </row>
    <row r="402" spans="1:30">
      <c r="A402">
        <f ca="1"/>
        <v>149</v>
      </c>
      <c r="B402" t="str">
        <f ca="1"/>
        <v>iW ALTERNATIVE SIF</v>
      </c>
      <c r="C402" t="str">
        <f ca="1"/>
        <v>iW ALTERNATIVE SIF</v>
      </c>
      <c r="D402">
        <f ca="1"/>
        <v>68099</v>
      </c>
      <c r="E402" t="str">
        <f ca="1"/>
        <v>REAL VALUE GROWTH FUND</v>
      </c>
      <c r="F402" t="str">
        <f ca="1"/>
        <v>Real Value Growth Fund</v>
      </c>
      <c r="G402">
        <f ca="1"/>
        <v>147</v>
      </c>
      <c r="H402" t="str">
        <f ca="1"/>
        <v>Pictet Fund Accounting</v>
      </c>
      <c r="I402" t="str">
        <f ca="1"/>
        <v>17103847-0</v>
      </c>
      <c r="J402" s="50">
        <f ca="1"/>
        <v>44742</v>
      </c>
      <c r="K402">
        <f ca="1"/>
        <v>333</v>
      </c>
      <c r="L402" t="str">
        <f ca="1"/>
        <v>69751-0</v>
      </c>
      <c r="M402" t="str">
        <f ca="1"/>
        <v>SPHINX RESOURCES</v>
      </c>
      <c r="N402" t="str">
        <f ca="1"/>
        <v>CAD</v>
      </c>
      <c r="O402" t="str">
        <f ca="1"/>
        <v>Equity</v>
      </c>
      <c r="P402" t="str">
        <f ca="1"/>
        <v/>
      </c>
      <c r="Q402" t="str">
        <f ca="1"/>
        <v/>
      </c>
      <c r="R402" t="str">
        <f ca="1"/>
        <v>CA8484221012</v>
      </c>
      <c r="S402" t="str">
        <f ca="1"/>
        <v/>
      </c>
      <c r="T402" t="str">
        <f ca="1"/>
        <v>SFX CV Equity</v>
      </c>
      <c r="U402">
        <f ca="1">IF(LEFT(_xll.BDP($T402,U$2),4)="#N/A",0,_xll.BDP($T402,U$2))</f>
        <v>0</v>
      </c>
      <c r="V402" t="e">
        <f>_xll.BDP(#REF!,V$2)</f>
        <v>#REF!</v>
      </c>
      <c r="W402" t="e">
        <f>_xll.BDP(#REF!,W$2)</f>
        <v>#REF!</v>
      </c>
      <c r="X402" t="e">
        <f>_xll.BDP(#REF!,X$2)</f>
        <v>#REF!</v>
      </c>
      <c r="Y402" t="e">
        <f>_xll.BDP(#REF!,Y$2)</f>
        <v>#REF!</v>
      </c>
      <c r="Z402" t="e">
        <f>_xll.BDP(#REF!,Z$2)</f>
        <v>#REF!</v>
      </c>
      <c r="AA402" t="e">
        <f>_xll.BDP(#REF!,AA$2)</f>
        <v>#REF!</v>
      </c>
      <c r="AD402">
        <f ca="1">IF(LEFT(_xll.BDP($T402,AD$2),4)="#N/A",-1,_xll.BDP($T402,AD$2))</f>
        <v>-1</v>
      </c>
    </row>
    <row r="403" spans="1:30">
      <c r="A403">
        <f ca="1"/>
        <v>149</v>
      </c>
      <c r="B403" t="str">
        <f ca="1"/>
        <v>iW ALTERNATIVE SIF</v>
      </c>
      <c r="C403" t="str">
        <f ca="1"/>
        <v>iW ALTERNATIVE SIF</v>
      </c>
      <c r="D403">
        <f ca="1"/>
        <v>68099</v>
      </c>
      <c r="E403" t="str">
        <f ca="1"/>
        <v>REAL VALUE GROWTH FUND</v>
      </c>
      <c r="F403" t="str">
        <f ca="1"/>
        <v>Real Value Growth Fund</v>
      </c>
      <c r="G403">
        <f ca="1"/>
        <v>147</v>
      </c>
      <c r="H403" t="str">
        <f ca="1"/>
        <v>Pictet Fund Accounting</v>
      </c>
      <c r="I403" t="str">
        <f ca="1"/>
        <v>17103851-0</v>
      </c>
      <c r="J403" s="50">
        <f ca="1"/>
        <v>44742</v>
      </c>
      <c r="K403">
        <f ca="1"/>
        <v>8000</v>
      </c>
      <c r="L403" t="str">
        <f ca="1"/>
        <v>112617-0</v>
      </c>
      <c r="M403" t="str">
        <f ca="1"/>
        <v>SUSE</v>
      </c>
      <c r="N403" t="str">
        <f ca="1"/>
        <v>EUR</v>
      </c>
      <c r="O403" t="str">
        <f ca="1"/>
        <v>Equity</v>
      </c>
      <c r="P403" t="str">
        <f ca="1"/>
        <v/>
      </c>
      <c r="Q403" t="str">
        <f ca="1"/>
        <v/>
      </c>
      <c r="R403" t="str">
        <f ca="1"/>
        <v>LU2333210958</v>
      </c>
      <c r="S403" t="str">
        <f ca="1"/>
        <v/>
      </c>
      <c r="T403" t="str">
        <f ca="1"/>
        <v>SUSE GY Equity</v>
      </c>
      <c r="U403">
        <f ca="1">IF(LEFT(_xll.BDP($T403,U$2),4)="#N/A",0,_xll.BDP($T403,U$2))</f>
        <v>0</v>
      </c>
      <c r="V403" t="e">
        <f>_xll.BDP(#REF!,V$2)</f>
        <v>#REF!</v>
      </c>
      <c r="W403" t="e">
        <f>_xll.BDP(#REF!,W$2)</f>
        <v>#REF!</v>
      </c>
      <c r="X403" t="e">
        <f>_xll.BDP(#REF!,X$2)</f>
        <v>#REF!</v>
      </c>
      <c r="Y403" t="e">
        <f>_xll.BDP(#REF!,Y$2)</f>
        <v>#REF!</v>
      </c>
      <c r="Z403" t="e">
        <f>_xll.BDP(#REF!,Z$2)</f>
        <v>#REF!</v>
      </c>
      <c r="AA403" t="e">
        <f>_xll.BDP(#REF!,AA$2)</f>
        <v>#REF!</v>
      </c>
      <c r="AD403">
        <f ca="1">IF(LEFT(_xll.BDP($T403,AD$2),4)="#N/A",-1,_xll.BDP($T403,AD$2))</f>
        <v>111179.5</v>
      </c>
    </row>
    <row r="404" spans="1:30">
      <c r="A404">
        <f ca="1"/>
        <v>149</v>
      </c>
      <c r="B404" t="str">
        <f ca="1"/>
        <v>iW ALTERNATIVE SIF</v>
      </c>
      <c r="C404" t="str">
        <f ca="1"/>
        <v>iW ALTERNATIVE SIF</v>
      </c>
      <c r="D404">
        <f ca="1"/>
        <v>68099</v>
      </c>
      <c r="E404" t="str">
        <f ca="1"/>
        <v>REAL VALUE GROWTH FUND</v>
      </c>
      <c r="F404" t="str">
        <f ca="1"/>
        <v>Real Value Growth Fund</v>
      </c>
      <c r="G404">
        <f ca="1"/>
        <v>147</v>
      </c>
      <c r="H404" t="str">
        <f ca="1"/>
        <v>Pictet Fund Accounting</v>
      </c>
      <c r="I404" t="str">
        <f ca="1"/>
        <v>17103864-0</v>
      </c>
      <c r="J404" s="50">
        <f ca="1"/>
        <v>44742</v>
      </c>
      <c r="K404">
        <f ca="1"/>
        <v>40000</v>
      </c>
      <c r="L404" t="str">
        <f ca="1"/>
        <v>69759-0</v>
      </c>
      <c r="M404" t="str">
        <f ca="1"/>
        <v>TERRA ENERGY</v>
      </c>
      <c r="N404" t="str">
        <f ca="1"/>
        <v>CAD</v>
      </c>
      <c r="O404" t="str">
        <f ca="1"/>
        <v>Equity</v>
      </c>
      <c r="P404" t="str">
        <f ca="1"/>
        <v/>
      </c>
      <c r="Q404" t="str">
        <f ca="1"/>
        <v/>
      </c>
      <c r="R404" t="str">
        <f ca="1"/>
        <v>CA8810011012</v>
      </c>
      <c r="S404" t="str">
        <f ca="1"/>
        <v/>
      </c>
      <c r="T404" t="str">
        <f ca="1"/>
        <v>TT CT Equity</v>
      </c>
      <c r="U404">
        <f ca="1">IF(LEFT(_xll.BDP($T404,U$2),4)="#N/A",0,_xll.BDP($T404,U$2))</f>
        <v>0</v>
      </c>
      <c r="V404" t="e">
        <f>_xll.BDP(#REF!,V$2)</f>
        <v>#REF!</v>
      </c>
      <c r="W404" t="e">
        <f>_xll.BDP(#REF!,W$2)</f>
        <v>#REF!</v>
      </c>
      <c r="X404" t="e">
        <f>_xll.BDP(#REF!,X$2)</f>
        <v>#REF!</v>
      </c>
      <c r="Y404" t="e">
        <f>_xll.BDP(#REF!,Y$2)</f>
        <v>#REF!</v>
      </c>
      <c r="Z404" t="e">
        <f>_xll.BDP(#REF!,Z$2)</f>
        <v>#REF!</v>
      </c>
      <c r="AA404" t="e">
        <f>_xll.BDP(#REF!,AA$2)</f>
        <v>#REF!</v>
      </c>
      <c r="AD404">
        <f ca="1">IF(LEFT(_xll.BDP($T404,AD$2),4)="#N/A",-1,_xll.BDP($T404,AD$2))</f>
        <v>-1</v>
      </c>
    </row>
    <row r="405" spans="1:30">
      <c r="A405">
        <f ca="1"/>
        <v>149</v>
      </c>
      <c r="B405" t="str">
        <f ca="1"/>
        <v>iW ALTERNATIVE SIF</v>
      </c>
      <c r="C405" t="str">
        <f ca="1"/>
        <v>iW ALTERNATIVE SIF</v>
      </c>
      <c r="D405">
        <f ca="1"/>
        <v>68099</v>
      </c>
      <c r="E405" t="str">
        <f ca="1"/>
        <v>REAL VALUE GROWTH FUND</v>
      </c>
      <c r="F405" t="str">
        <f ca="1"/>
        <v>Real Value Growth Fund</v>
      </c>
      <c r="G405">
        <f ca="1"/>
        <v>147</v>
      </c>
      <c r="H405" t="str">
        <f ca="1"/>
        <v>Pictet Fund Accounting</v>
      </c>
      <c r="I405" t="str">
        <f ca="1"/>
        <v>17103854-0</v>
      </c>
      <c r="J405" s="50">
        <f ca="1"/>
        <v>44742</v>
      </c>
      <c r="K405">
        <f ca="1"/>
        <v>1375</v>
      </c>
      <c r="L405" t="str">
        <f ca="1"/>
        <v>69754-0</v>
      </c>
      <c r="M405" t="str">
        <f ca="1"/>
        <v>TOURMALINE OIL</v>
      </c>
      <c r="N405" t="str">
        <f ca="1"/>
        <v>CAD</v>
      </c>
      <c r="O405" t="str">
        <f ca="1"/>
        <v>Equity</v>
      </c>
      <c r="P405" t="str">
        <f ca="1"/>
        <v/>
      </c>
      <c r="Q405" t="str">
        <f ca="1"/>
        <v/>
      </c>
      <c r="R405" t="str">
        <f ca="1"/>
        <v>CA89156V1067</v>
      </c>
      <c r="S405" t="str">
        <f ca="1"/>
        <v/>
      </c>
      <c r="T405" t="str">
        <f ca="1"/>
        <v>TOU CT Equity</v>
      </c>
      <c r="U405">
        <f ca="1">IF(LEFT(_xll.BDP($T405,U$2),4)="#N/A",0,_xll.BDP($T405,U$2))</f>
        <v>0</v>
      </c>
      <c r="V405" t="e">
        <f>_xll.BDP(#REF!,V$2)</f>
        <v>#REF!</v>
      </c>
      <c r="W405" t="e">
        <f>_xll.BDP(#REF!,W$2)</f>
        <v>#REF!</v>
      </c>
      <c r="X405" t="e">
        <f>_xll.BDP(#REF!,X$2)</f>
        <v>#REF!</v>
      </c>
      <c r="Y405" t="e">
        <f>_xll.BDP(#REF!,Y$2)</f>
        <v>#REF!</v>
      </c>
      <c r="Z405" t="e">
        <f>_xll.BDP(#REF!,Z$2)</f>
        <v>#REF!</v>
      </c>
      <c r="AA405" t="e">
        <f>_xll.BDP(#REF!,AA$2)</f>
        <v>#REF!</v>
      </c>
      <c r="AD405">
        <f ca="1">IF(LEFT(_xll.BDP($T405,AD$2),4)="#N/A",-1,_xll.BDP($T405,AD$2))</f>
        <v>2507334</v>
      </c>
    </row>
    <row r="406" spans="1:30">
      <c r="A406">
        <f ca="1"/>
        <v>149</v>
      </c>
      <c r="B406" t="str">
        <f ca="1"/>
        <v>iW ALTERNATIVE SIF</v>
      </c>
      <c r="C406" t="str">
        <f ca="1"/>
        <v>iW ALTERNATIVE SIF</v>
      </c>
      <c r="D406">
        <f ca="1"/>
        <v>68099</v>
      </c>
      <c r="E406" t="str">
        <f ca="1"/>
        <v>REAL VALUE GROWTH FUND</v>
      </c>
      <c r="F406" t="str">
        <f ca="1"/>
        <v>Real Value Growth Fund</v>
      </c>
      <c r="G406">
        <f ca="1"/>
        <v>147</v>
      </c>
      <c r="H406" t="str">
        <f ca="1"/>
        <v>Pictet Fund Accounting</v>
      </c>
      <c r="I406" t="str">
        <f ca="1"/>
        <v>17103869-0</v>
      </c>
      <c r="J406" s="50">
        <f ca="1"/>
        <v>44742</v>
      </c>
      <c r="K406">
        <f ca="1"/>
        <v>750</v>
      </c>
      <c r="L406" t="str">
        <f ca="1"/>
        <v>69763-0</v>
      </c>
      <c r="M406" t="str">
        <f ca="1"/>
        <v>U3O8</v>
      </c>
      <c r="N406" t="str">
        <f ca="1"/>
        <v>CAD</v>
      </c>
      <c r="O406" t="str">
        <f ca="1"/>
        <v>Equity</v>
      </c>
      <c r="P406" t="str">
        <f ca="1"/>
        <v/>
      </c>
      <c r="Q406" t="str">
        <f ca="1"/>
        <v/>
      </c>
      <c r="R406" t="str">
        <f ca="1"/>
        <v>CA9034158001</v>
      </c>
      <c r="S406" t="str">
        <f ca="1"/>
        <v/>
      </c>
      <c r="T406" t="str">
        <f ca="1"/>
        <v>UWE/H CN Equity</v>
      </c>
      <c r="U406">
        <f ca="1">IF(LEFT(_xll.BDP($T406,U$2),4)="#N/A",0,_xll.BDP($T406,U$2))</f>
        <v>0</v>
      </c>
      <c r="V406" t="e">
        <f>_xll.BDP(#REF!,V$2)</f>
        <v>#REF!</v>
      </c>
      <c r="W406" t="e">
        <f>_xll.BDP(#REF!,W$2)</f>
        <v>#REF!</v>
      </c>
      <c r="X406" t="e">
        <f>_xll.BDP(#REF!,X$2)</f>
        <v>#REF!</v>
      </c>
      <c r="Y406" t="e">
        <f>_xll.BDP(#REF!,Y$2)</f>
        <v>#REF!</v>
      </c>
      <c r="Z406" t="e">
        <f>_xll.BDP(#REF!,Z$2)</f>
        <v>#REF!</v>
      </c>
      <c r="AA406" t="e">
        <f>_xll.BDP(#REF!,AA$2)</f>
        <v>#REF!</v>
      </c>
      <c r="AD406">
        <f ca="1">IF(LEFT(_xll.BDP($T406,AD$2),4)="#N/A",-1,_xll.BDP($T406,AD$2))</f>
        <v>36945.050000000003</v>
      </c>
    </row>
    <row r="407" spans="1:30">
      <c r="A407">
        <f ca="1"/>
        <v>149</v>
      </c>
      <c r="B407" t="str">
        <f ca="1"/>
        <v>iW ALTERNATIVE SIF</v>
      </c>
      <c r="C407" t="str">
        <f ca="1"/>
        <v>iW ALTERNATIVE SIF</v>
      </c>
      <c r="D407">
        <f ca="1"/>
        <v>68099</v>
      </c>
      <c r="E407" t="str">
        <f ca="1"/>
        <v>REAL VALUE GROWTH FUND</v>
      </c>
      <c r="F407" t="str">
        <f ca="1"/>
        <v>Real Value Growth Fund</v>
      </c>
      <c r="G407">
        <f ca="1"/>
        <v>147</v>
      </c>
      <c r="H407" t="str">
        <f ca="1"/>
        <v>Pictet Fund Accounting</v>
      </c>
      <c r="I407" t="str">
        <f ca="1"/>
        <v>17103877-0</v>
      </c>
      <c r="J407" s="50">
        <f ca="1"/>
        <v>44742</v>
      </c>
      <c r="K407">
        <f ca="1"/>
        <v>10000</v>
      </c>
      <c r="L407" t="str">
        <f ca="1"/>
        <v>69766-0</v>
      </c>
      <c r="M407" t="str">
        <f ca="1"/>
        <v>WASECO RESOURCES</v>
      </c>
      <c r="N407" t="str">
        <f ca="1"/>
        <v>CAD</v>
      </c>
      <c r="O407" t="str">
        <f ca="1"/>
        <v>Equity</v>
      </c>
      <c r="P407" t="str">
        <f ca="1"/>
        <v/>
      </c>
      <c r="Q407" t="str">
        <f ca="1"/>
        <v/>
      </c>
      <c r="R407" t="str">
        <f ca="1"/>
        <v>CA9369001099</v>
      </c>
      <c r="S407" t="str">
        <f ca="1"/>
        <v/>
      </c>
      <c r="T407" t="str">
        <f ca="1"/>
        <v>WRI CV Equity</v>
      </c>
      <c r="U407">
        <f ca="1">IF(LEFT(_xll.BDP($T407,U$2),4)="#N/A",0,_xll.BDP($T407,U$2))</f>
        <v>0</v>
      </c>
      <c r="V407" t="e">
        <f>_xll.BDP(#REF!,V$2)</f>
        <v>#REF!</v>
      </c>
      <c r="W407" t="e">
        <f>_xll.BDP(#REF!,W$2)</f>
        <v>#REF!</v>
      </c>
      <c r="X407" t="e">
        <f>_xll.BDP(#REF!,X$2)</f>
        <v>#REF!</v>
      </c>
      <c r="Y407" t="e">
        <f>_xll.BDP(#REF!,Y$2)</f>
        <v>#REF!</v>
      </c>
      <c r="Z407" t="e">
        <f>_xll.BDP(#REF!,Z$2)</f>
        <v>#REF!</v>
      </c>
      <c r="AA407" t="e">
        <f>_xll.BDP(#REF!,AA$2)</f>
        <v>#REF!</v>
      </c>
      <c r="AD407">
        <f ca="1">IF(LEFT(_xll.BDP($T407,AD$2),4)="#N/A",-1,_xll.BDP($T407,AD$2))</f>
        <v>5150.05</v>
      </c>
    </row>
    <row r="408" spans="1:30">
      <c r="A408">
        <f ca="1"/>
        <v>149</v>
      </c>
      <c r="B408" t="str">
        <f ca="1"/>
        <v>iW ALTERNATIVE SIF</v>
      </c>
      <c r="C408" t="str">
        <f ca="1"/>
        <v>iW ALTERNATIVE SIF</v>
      </c>
      <c r="D408">
        <f ca="1"/>
        <v>68099</v>
      </c>
      <c r="E408" t="str">
        <f ca="1"/>
        <v>REAL VALUE GROWTH FUND</v>
      </c>
      <c r="F408" t="str">
        <f ca="1"/>
        <v>Real Value Growth Fund</v>
      </c>
      <c r="G408">
        <f ca="1"/>
        <v>147</v>
      </c>
      <c r="H408" t="str">
        <f ca="1"/>
        <v>Pictet Fund Accounting</v>
      </c>
      <c r="I408" t="str">
        <f ca="1"/>
        <v>17103845-0</v>
      </c>
      <c r="J408" s="50">
        <f ca="1"/>
        <v>44742</v>
      </c>
      <c r="K408">
        <f ca="1"/>
        <v>414.17099999999999</v>
      </c>
      <c r="L408" t="str">
        <f ca="1"/>
        <v>68795-0</v>
      </c>
      <c r="M408" t="str">
        <f ca="1"/>
        <v>IW ALTERNATIVE SIF-REVO I EUR-ACC.</v>
      </c>
      <c r="N408" t="str">
        <f ca="1"/>
        <v>EUR</v>
      </c>
      <c r="O408" t="str">
        <f ca="1"/>
        <v>Investment Fund</v>
      </c>
      <c r="P408" t="str">
        <f ca="1"/>
        <v/>
      </c>
      <c r="Q408" t="str">
        <f ca="1"/>
        <v/>
      </c>
      <c r="R408" t="str">
        <f ca="1"/>
        <v>LU2110340333</v>
      </c>
      <c r="S408" t="str">
        <f ca="1"/>
        <v/>
      </c>
      <c r="T408" t="str">
        <f ca="1"/>
        <v>IWREIEA LX Equity</v>
      </c>
      <c r="U408">
        <f ca="1">IF(LEFT(_xll.BDP($T408,U$2),4)="#N/A",0,_xll.BDP($T408,U$2))</f>
        <v>0</v>
      </c>
      <c r="V408" t="e">
        <f>_xll.BDP(#REF!,V$2)</f>
        <v>#REF!</v>
      </c>
      <c r="W408" t="e">
        <f>_xll.BDP(#REF!,W$2)</f>
        <v>#REF!</v>
      </c>
      <c r="X408" t="e">
        <f>_xll.BDP(#REF!,X$2)</f>
        <v>#REF!</v>
      </c>
      <c r="Y408" t="e">
        <f>_xll.BDP(#REF!,Y$2)</f>
        <v>#REF!</v>
      </c>
      <c r="Z408" t="e">
        <f>_xll.BDP(#REF!,Z$2)</f>
        <v>#REF!</v>
      </c>
      <c r="AA408" t="e">
        <f>_xll.BDP(#REF!,AA$2)</f>
        <v>#REF!</v>
      </c>
      <c r="AD408">
        <f ca="1">IF(LEFT(_xll.BDP($T408,AD$2),4)="#N/A",-1,_xll.BDP($T408,AD$2))</f>
        <v>-1</v>
      </c>
    </row>
    <row r="409" spans="1:30">
      <c r="A409">
        <f ca="1"/>
        <v>149</v>
      </c>
      <c r="B409" t="str">
        <f ca="1"/>
        <v>iW ALTERNATIVE SIF</v>
      </c>
      <c r="C409" t="str">
        <f ca="1"/>
        <v>iW ALTERNATIVE SIF</v>
      </c>
      <c r="D409">
        <f ca="1"/>
        <v>68099</v>
      </c>
      <c r="E409" t="str">
        <f ca="1"/>
        <v>REAL VALUE GROWTH FUND</v>
      </c>
      <c r="F409" t="str">
        <f ca="1"/>
        <v>Real Value Growth Fund</v>
      </c>
      <c r="G409">
        <f ca="1"/>
        <v>147</v>
      </c>
      <c r="H409" t="str">
        <f ca="1"/>
        <v>Pictet Fund Accounting</v>
      </c>
      <c r="I409" t="str">
        <f ca="1"/>
        <v>17103865-0</v>
      </c>
      <c r="J409" s="50">
        <f ca="1"/>
        <v>44742</v>
      </c>
      <c r="K409">
        <f ca="1"/>
        <v>8906.8629999999994</v>
      </c>
      <c r="L409" t="str">
        <f ca="1"/>
        <v>69760-0</v>
      </c>
      <c r="M409" t="str">
        <f ca="1"/>
        <v>IW ALTERNATIVE-COMMODITIES P EUR</v>
      </c>
      <c r="N409" t="str">
        <f ca="1"/>
        <v>EUR</v>
      </c>
      <c r="O409" t="str">
        <f ca="1"/>
        <v>Investment Fund</v>
      </c>
      <c r="P409" t="str">
        <f ca="1"/>
        <v/>
      </c>
      <c r="Q409" t="str">
        <f ca="1"/>
        <v/>
      </c>
      <c r="R409" t="str">
        <f ca="1"/>
        <v>LU0762436201</v>
      </c>
      <c r="S409" t="str">
        <f ca="1"/>
        <v/>
      </c>
      <c r="T409" t="str">
        <f ca="1"/>
        <v>IWCOMPE LX Equity</v>
      </c>
      <c r="U409">
        <f ca="1">IF(LEFT(_xll.BDP($T409,U$2),4)="#N/A",0,_xll.BDP($T409,U$2))</f>
        <v>0</v>
      </c>
      <c r="V409" t="e">
        <f>_xll.BDP(#REF!,V$2)</f>
        <v>#REF!</v>
      </c>
      <c r="W409" t="e">
        <f>_xll.BDP(#REF!,W$2)</f>
        <v>#REF!</v>
      </c>
      <c r="X409" t="e">
        <f>_xll.BDP(#REF!,X$2)</f>
        <v>#REF!</v>
      </c>
      <c r="Y409" t="e">
        <f>_xll.BDP(#REF!,Y$2)</f>
        <v>#REF!</v>
      </c>
      <c r="Z409" t="e">
        <f>_xll.BDP(#REF!,Z$2)</f>
        <v>#REF!</v>
      </c>
      <c r="AA409" t="e">
        <f>_xll.BDP(#REF!,AA$2)</f>
        <v>#REF!</v>
      </c>
      <c r="AD409">
        <f ca="1">IF(LEFT(_xll.BDP($T409,AD$2),4)="#N/A",-1,_xll.BDP($T409,AD$2))</f>
        <v>-1</v>
      </c>
    </row>
    <row r="410" spans="1:30">
      <c r="A410">
        <f ca="1"/>
        <v>149</v>
      </c>
      <c r="B410" t="str">
        <f ca="1"/>
        <v>iW ALTERNATIVE SIF</v>
      </c>
      <c r="C410" t="str">
        <f ca="1"/>
        <v>iW ALTERNATIVE SIF</v>
      </c>
      <c r="D410">
        <f ca="1"/>
        <v>68099</v>
      </c>
      <c r="E410" t="str">
        <f ca="1"/>
        <v>REAL VALUE GROWTH FUND</v>
      </c>
      <c r="F410" t="str">
        <f ca="1"/>
        <v>Real Value Growth Fund</v>
      </c>
      <c r="G410">
        <f ca="1"/>
        <v>147</v>
      </c>
      <c r="H410" t="str">
        <f ca="1"/>
        <v>Pictet Fund Accounting</v>
      </c>
      <c r="I410" t="str">
        <f ca="1"/>
        <v>17103879-0</v>
      </c>
      <c r="J410" s="50">
        <f ca="1"/>
        <v>44742</v>
      </c>
      <c r="K410">
        <f ca="1"/>
        <v>53844</v>
      </c>
      <c r="L410" t="str">
        <f ca="1"/>
        <v>69767-0</v>
      </c>
      <c r="M410" t="str">
        <f ca="1"/>
        <v>JAPAN SMALLER CAPITALIZATION FUND</v>
      </c>
      <c r="N410" t="str">
        <f ca="1"/>
        <v>USD</v>
      </c>
      <c r="O410" t="str">
        <f ca="1"/>
        <v>Investment Fund</v>
      </c>
      <c r="P410" t="str">
        <f ca="1"/>
        <v/>
      </c>
      <c r="Q410" t="str">
        <f ca="1"/>
        <v/>
      </c>
      <c r="R410" t="str">
        <f ca="1"/>
        <v>US47109U1043</v>
      </c>
      <c r="S410" t="str">
        <f ca="1"/>
        <v/>
      </c>
      <c r="T410" t="str">
        <f ca="1"/>
        <v>JOF US Equity</v>
      </c>
      <c r="U410">
        <f ca="1">IF(LEFT(_xll.BDP($T410,U$2),4)="#N/A",0,_xll.BDP($T410,U$2))</f>
        <v>0</v>
      </c>
      <c r="V410" t="e">
        <f>_xll.BDP(#REF!,V$2)</f>
        <v>#REF!</v>
      </c>
      <c r="W410" t="e">
        <f>_xll.BDP(#REF!,W$2)</f>
        <v>#REF!</v>
      </c>
      <c r="X410" t="e">
        <f>_xll.BDP(#REF!,X$2)</f>
        <v>#REF!</v>
      </c>
      <c r="Y410" t="e">
        <f>_xll.BDP(#REF!,Y$2)</f>
        <v>#REF!</v>
      </c>
      <c r="Z410" t="e">
        <f>_xll.BDP(#REF!,Z$2)</f>
        <v>#REF!</v>
      </c>
      <c r="AA410" t="e">
        <f>_xll.BDP(#REF!,AA$2)</f>
        <v>#REF!</v>
      </c>
      <c r="AD410">
        <f ca="1">IF(LEFT(_xll.BDP($T410,AD$2),4)="#N/A",-1,_xll.BDP($T410,AD$2))</f>
        <v>38919.94921875</v>
      </c>
    </row>
    <row r="411" spans="1:30">
      <c r="A411">
        <f ca="1"/>
        <v>149</v>
      </c>
      <c r="B411" t="str">
        <f ca="1"/>
        <v>iW ALTERNATIVE SIF</v>
      </c>
      <c r="C411" t="str">
        <f ca="1"/>
        <v>iW ALTERNATIVE SIF</v>
      </c>
      <c r="D411">
        <f ca="1"/>
        <v>68099</v>
      </c>
      <c r="E411" t="str">
        <f ca="1"/>
        <v>REAL VALUE GROWTH FUND</v>
      </c>
      <c r="F411" t="str">
        <f ca="1"/>
        <v>Real Value Growth Fund</v>
      </c>
      <c r="G411">
        <f ca="1"/>
        <v>147</v>
      </c>
      <c r="H411" t="str">
        <f ca="1"/>
        <v>Pictet Fund Accounting</v>
      </c>
      <c r="I411" t="str">
        <f ca="1"/>
        <v>17103866-0</v>
      </c>
      <c r="J411" s="50">
        <f ca="1"/>
        <v>44742</v>
      </c>
      <c r="K411">
        <f ca="1"/>
        <v>5917.6980000000003</v>
      </c>
      <c r="L411" t="str">
        <f ca="1"/>
        <v>69761-0</v>
      </c>
      <c r="M411" t="str">
        <f ca="1"/>
        <v>PREVAL-WORLD WINNERS A EUR -ACC.-</v>
      </c>
      <c r="N411" t="str">
        <f ca="1"/>
        <v>EUR</v>
      </c>
      <c r="O411" t="str">
        <f ca="1"/>
        <v>Investment Fund</v>
      </c>
      <c r="P411" t="str">
        <f ca="1"/>
        <v/>
      </c>
      <c r="Q411" t="str">
        <f ca="1"/>
        <v/>
      </c>
      <c r="R411" t="str">
        <f ca="1"/>
        <v>LU1132346872</v>
      </c>
      <c r="S411" t="str">
        <f ca="1"/>
        <v/>
      </c>
      <c r="T411" t="str">
        <f ca="1"/>
        <v>PREWWAE LX Equity</v>
      </c>
      <c r="U411">
        <f ca="1">IF(LEFT(_xll.BDP($T411,U$2),4)="#N/A",0,_xll.BDP($T411,U$2))</f>
        <v>0</v>
      </c>
      <c r="V411" t="e">
        <f>_xll.BDP(#REF!,V$2)</f>
        <v>#REF!</v>
      </c>
      <c r="W411" t="e">
        <f>_xll.BDP(#REF!,W$2)</f>
        <v>#REF!</v>
      </c>
      <c r="X411" t="e">
        <f>_xll.BDP(#REF!,X$2)</f>
        <v>#REF!</v>
      </c>
      <c r="Y411" t="e">
        <f>_xll.BDP(#REF!,Y$2)</f>
        <v>#REF!</v>
      </c>
      <c r="Z411" t="e">
        <f>_xll.BDP(#REF!,Z$2)</f>
        <v>#REF!</v>
      </c>
      <c r="AA411" t="e">
        <f>_xll.BDP(#REF!,AA$2)</f>
        <v>#REF!</v>
      </c>
      <c r="AD411">
        <f ca="1">IF(LEFT(_xll.BDP($T411,AD$2),4)="#N/A",-1,_xll.BDP($T411,AD$2))</f>
        <v>-1</v>
      </c>
    </row>
    <row r="412" spans="1:30">
      <c r="A412">
        <f ca="1"/>
        <v>149</v>
      </c>
      <c r="B412" t="str">
        <f ca="1"/>
        <v>iW ALTERNATIVE SIF</v>
      </c>
      <c r="C412" t="str">
        <f ca="1"/>
        <v>iW ALTERNATIVE SIF</v>
      </c>
      <c r="D412">
        <f ca="1"/>
        <v>68099</v>
      </c>
      <c r="E412" t="str">
        <f ca="1"/>
        <v>REAL VALUE GROWTH FUND</v>
      </c>
      <c r="F412" t="str">
        <f ca="1"/>
        <v>Real Value Growth Fund</v>
      </c>
      <c r="G412">
        <f ca="1"/>
        <v>147</v>
      </c>
      <c r="H412" t="str">
        <f ca="1"/>
        <v>Pictet Fund Accounting</v>
      </c>
      <c r="I412" t="str">
        <f ca="1"/>
        <v>17103870-0</v>
      </c>
      <c r="J412" s="50">
        <f ca="1"/>
        <v>44742</v>
      </c>
      <c r="K412">
        <f ca="1"/>
        <v>-498.62</v>
      </c>
      <c r="L412" t="str">
        <f ca="1"/>
        <v>67891-0</v>
      </c>
      <c r="M412" t="str">
        <f ca="1"/>
        <v>Prov Audit Annual report</v>
      </c>
      <c r="N412" t="str">
        <f ca="1"/>
        <v>EUR</v>
      </c>
      <c r="O412" t="str">
        <f ca="1"/>
        <v>Uncategorized (Treasury)</v>
      </c>
      <c r="P412" t="str">
        <f ca="1"/>
        <v/>
      </c>
      <c r="Q412" t="str">
        <f ca="1"/>
        <v/>
      </c>
      <c r="R412" t="str">
        <f ca="1"/>
        <v/>
      </c>
      <c r="S412" t="str">
        <f ca="1"/>
        <v/>
      </c>
      <c r="T412" t="str">
        <f ca="1"/>
        <v/>
      </c>
      <c r="U412">
        <f ca="1">IF(LEFT(_xll.BDP($T412,U$2),4)="#N/A",0,_xll.BDP($T412,U$2))</f>
        <v>0</v>
      </c>
      <c r="V412" t="e">
        <f>_xll.BDP(#REF!,V$2)</f>
        <v>#REF!</v>
      </c>
      <c r="W412" t="e">
        <f>_xll.BDP(#REF!,W$2)</f>
        <v>#REF!</v>
      </c>
      <c r="X412" t="e">
        <f>_xll.BDP(#REF!,X$2)</f>
        <v>#REF!</v>
      </c>
      <c r="Y412" t="e">
        <f>_xll.BDP(#REF!,Y$2)</f>
        <v>#REF!</v>
      </c>
      <c r="Z412" t="e">
        <f>_xll.BDP(#REF!,Z$2)</f>
        <v>#REF!</v>
      </c>
      <c r="AA412" t="e">
        <f>_xll.BDP(#REF!,AA$2)</f>
        <v>#REF!</v>
      </c>
      <c r="AD412">
        <f ca="1">IF(LEFT(_xll.BDP($T412,AD$2),4)="#N/A",-1,_xll.BDP($T412,AD$2))</f>
        <v>-1</v>
      </c>
    </row>
    <row r="413" spans="1:30">
      <c r="A413">
        <f ca="1"/>
        <v>149</v>
      </c>
      <c r="B413" t="str">
        <f ca="1"/>
        <v>iW ALTERNATIVE SIF</v>
      </c>
      <c r="C413" t="str">
        <f ca="1"/>
        <v>iW ALTERNATIVE SIF</v>
      </c>
      <c r="D413">
        <f ca="1"/>
        <v>68099</v>
      </c>
      <c r="E413" t="str">
        <f ca="1"/>
        <v>REAL VALUE GROWTH FUND</v>
      </c>
      <c r="F413" t="str">
        <f ca="1"/>
        <v>Real Value Growth Fund</v>
      </c>
      <c r="G413">
        <f ca="1"/>
        <v>147</v>
      </c>
      <c r="H413" t="str">
        <f ca="1"/>
        <v>Pictet Fund Accounting</v>
      </c>
      <c r="I413" t="str">
        <f ca="1"/>
        <v>17103860-0</v>
      </c>
      <c r="J413" s="50">
        <f ca="1"/>
        <v>44742</v>
      </c>
      <c r="K413">
        <f ca="1"/>
        <v>-1246.58</v>
      </c>
      <c r="L413" t="str">
        <f ca="1"/>
        <v>67898-0</v>
      </c>
      <c r="M413" t="str">
        <f ca="1"/>
        <v>Prov Fees for calcul. of perf.</v>
      </c>
      <c r="N413" t="str">
        <f ca="1"/>
        <v>EUR</v>
      </c>
      <c r="O413" t="str">
        <f ca="1"/>
        <v>Uncategorized (Treasury)</v>
      </c>
      <c r="P413" t="str">
        <f ca="1"/>
        <v/>
      </c>
      <c r="Q413" t="str">
        <f ca="1"/>
        <v/>
      </c>
      <c r="R413" t="str">
        <f ca="1"/>
        <v/>
      </c>
      <c r="S413" t="str">
        <f ca="1"/>
        <v/>
      </c>
      <c r="T413" t="str">
        <f ca="1"/>
        <v/>
      </c>
      <c r="U413">
        <f ca="1">IF(LEFT(_xll.BDP($T413,U$2),4)="#N/A",0,_xll.BDP($T413,U$2))</f>
        <v>0</v>
      </c>
      <c r="V413" t="e">
        <f>_xll.BDP(#REF!,V$2)</f>
        <v>#REF!</v>
      </c>
      <c r="W413" t="e">
        <f>_xll.BDP(#REF!,W$2)</f>
        <v>#REF!</v>
      </c>
      <c r="X413" t="e">
        <f>_xll.BDP(#REF!,X$2)</f>
        <v>#REF!</v>
      </c>
      <c r="Y413" t="e">
        <f>_xll.BDP(#REF!,Y$2)</f>
        <v>#REF!</v>
      </c>
      <c r="Z413" t="e">
        <f>_xll.BDP(#REF!,Z$2)</f>
        <v>#REF!</v>
      </c>
      <c r="AA413" t="e">
        <f>_xll.BDP(#REF!,AA$2)</f>
        <v>#REF!</v>
      </c>
      <c r="AD413">
        <f ca="1">IF(LEFT(_xll.BDP($T413,AD$2),4)="#N/A",-1,_xll.BDP($T413,AD$2))</f>
        <v>-1</v>
      </c>
    </row>
    <row r="414" spans="1:30">
      <c r="A414">
        <f ca="1"/>
        <v>149</v>
      </c>
      <c r="B414" t="str">
        <f ca="1"/>
        <v>iW ALTERNATIVE SIF</v>
      </c>
      <c r="C414" t="str">
        <f ca="1"/>
        <v>iW ALTERNATIVE SIF</v>
      </c>
      <c r="D414">
        <f ca="1"/>
        <v>68099</v>
      </c>
      <c r="E414" t="str">
        <f ca="1"/>
        <v>REAL VALUE GROWTH FUND</v>
      </c>
      <c r="F414" t="str">
        <f ca="1"/>
        <v>Real Value Growth Fund</v>
      </c>
      <c r="G414">
        <f ca="1"/>
        <v>147</v>
      </c>
      <c r="H414" t="str">
        <f ca="1"/>
        <v>Pictet Fund Accounting</v>
      </c>
      <c r="I414" t="str">
        <f ca="1"/>
        <v>17103890-0</v>
      </c>
      <c r="J414" s="50">
        <f ca="1"/>
        <v>44742</v>
      </c>
      <c r="K414">
        <f ca="1"/>
        <v>-2054.79</v>
      </c>
      <c r="L414" t="str">
        <f ca="1"/>
        <v>67904-0</v>
      </c>
      <c r="M414" t="str">
        <f ca="1"/>
        <v>Prov Risk Management fees</v>
      </c>
      <c r="N414" t="str">
        <f ca="1"/>
        <v>EUR</v>
      </c>
      <c r="O414" t="str">
        <f ca="1"/>
        <v>Uncategorized (Treasury)</v>
      </c>
      <c r="P414" t="str">
        <f ca="1"/>
        <v/>
      </c>
      <c r="Q414" t="str">
        <f ca="1"/>
        <v/>
      </c>
      <c r="R414" t="str">
        <f ca="1"/>
        <v/>
      </c>
      <c r="S414" t="str">
        <f ca="1"/>
        <v/>
      </c>
      <c r="T414" t="str">
        <f ca="1"/>
        <v/>
      </c>
      <c r="U414">
        <f ca="1">IF(LEFT(_xll.BDP($T414,U$2),4)="#N/A",0,_xll.BDP($T414,U$2))</f>
        <v>0</v>
      </c>
      <c r="V414" t="e">
        <f>_xll.BDP(#REF!,V$2)</f>
        <v>#REF!</v>
      </c>
      <c r="W414" t="e">
        <f>_xll.BDP(#REF!,W$2)</f>
        <v>#REF!</v>
      </c>
      <c r="X414" t="e">
        <f>_xll.BDP(#REF!,X$2)</f>
        <v>#REF!</v>
      </c>
      <c r="Y414" t="e">
        <f>_xll.BDP(#REF!,Y$2)</f>
        <v>#REF!</v>
      </c>
      <c r="Z414" t="e">
        <f>_xll.BDP(#REF!,Z$2)</f>
        <v>#REF!</v>
      </c>
      <c r="AA414" t="e">
        <f>_xll.BDP(#REF!,AA$2)</f>
        <v>#REF!</v>
      </c>
      <c r="AD414">
        <f ca="1">IF(LEFT(_xll.BDP($T414,AD$2),4)="#N/A",-1,_xll.BDP($T414,AD$2))</f>
        <v>-1</v>
      </c>
    </row>
    <row r="415" spans="1:30">
      <c r="A415">
        <f ca="1"/>
        <v>149</v>
      </c>
      <c r="B415" t="str">
        <f ca="1"/>
        <v>iW ALTERNATIVE SIF</v>
      </c>
      <c r="C415" t="str">
        <f ca="1"/>
        <v>iW ALTERNATIVE SIF</v>
      </c>
      <c r="D415">
        <f ca="1"/>
        <v>68099</v>
      </c>
      <c r="E415" t="str">
        <f ca="1"/>
        <v>REAL VALUE GROWTH FUND</v>
      </c>
      <c r="F415" t="str">
        <f ca="1"/>
        <v>Real Value Growth Fund</v>
      </c>
      <c r="G415">
        <f ca="1"/>
        <v>147</v>
      </c>
      <c r="H415" t="str">
        <f ca="1"/>
        <v>Pictet Fund Accounting</v>
      </c>
      <c r="I415" t="str">
        <f ca="1"/>
        <v>17103875-0</v>
      </c>
      <c r="J415" s="50">
        <f ca="1"/>
        <v>44742</v>
      </c>
      <c r="K415">
        <f ca="1"/>
        <v>-1803.43</v>
      </c>
      <c r="L415" t="str">
        <f ca="1"/>
        <v>67899-0</v>
      </c>
      <c r="M415" t="str">
        <f ca="1"/>
        <v>Provis/paiemt audit fees ant</v>
      </c>
      <c r="N415" t="str">
        <f ca="1"/>
        <v>EUR</v>
      </c>
      <c r="O415" t="str">
        <f ca="1"/>
        <v>Uncategorized (Treasury)</v>
      </c>
      <c r="P415" t="str">
        <f ca="1"/>
        <v/>
      </c>
      <c r="Q415" t="str">
        <f ca="1"/>
        <v/>
      </c>
      <c r="R415" t="str">
        <f ca="1"/>
        <v/>
      </c>
      <c r="S415" t="str">
        <f ca="1"/>
        <v/>
      </c>
      <c r="T415" t="str">
        <f ca="1"/>
        <v/>
      </c>
      <c r="U415">
        <f ca="1">IF(LEFT(_xll.BDP($T415,U$2),4)="#N/A",0,_xll.BDP($T415,U$2))</f>
        <v>0</v>
      </c>
      <c r="V415" t="e">
        <f>_xll.BDP(#REF!,V$2)</f>
        <v>#REF!</v>
      </c>
      <c r="W415" t="e">
        <f>_xll.BDP(#REF!,W$2)</f>
        <v>#REF!</v>
      </c>
      <c r="X415" t="e">
        <f>_xll.BDP(#REF!,X$2)</f>
        <v>#REF!</v>
      </c>
      <c r="Y415" t="e">
        <f>_xll.BDP(#REF!,Y$2)</f>
        <v>#REF!</v>
      </c>
      <c r="Z415" t="e">
        <f>_xll.BDP(#REF!,Z$2)</f>
        <v>#REF!</v>
      </c>
      <c r="AA415" t="e">
        <f>_xll.BDP(#REF!,AA$2)</f>
        <v>#REF!</v>
      </c>
      <c r="AD415">
        <f ca="1">IF(LEFT(_xll.BDP($T415,AD$2),4)="#N/A",-1,_xll.BDP($T415,AD$2))</f>
        <v>-1</v>
      </c>
    </row>
    <row r="416" spans="1:30">
      <c r="A416">
        <f ca="1"/>
        <v>149</v>
      </c>
      <c r="B416" t="str">
        <f ca="1"/>
        <v>iW ALTERNATIVE SIF</v>
      </c>
      <c r="C416" t="str">
        <f ca="1"/>
        <v>iW ALTERNATIVE SIF</v>
      </c>
      <c r="D416">
        <f ca="1"/>
        <v>68099</v>
      </c>
      <c r="E416" t="str">
        <f ca="1"/>
        <v>REAL VALUE GROWTH FUND</v>
      </c>
      <c r="F416" t="str">
        <f ca="1"/>
        <v>Real Value Growth Fund</v>
      </c>
      <c r="G416">
        <f ca="1"/>
        <v>147</v>
      </c>
      <c r="H416" t="str">
        <f ca="1"/>
        <v>Pictet Fund Accounting</v>
      </c>
      <c r="I416" t="str">
        <f ca="1"/>
        <v>17103858-0</v>
      </c>
      <c r="J416" s="50">
        <f ca="1"/>
        <v>44742</v>
      </c>
      <c r="K416">
        <f ca="1"/>
        <v>-5157.12</v>
      </c>
      <c r="L416" t="str">
        <f ca="1"/>
        <v>67895-0</v>
      </c>
      <c r="M416" t="str">
        <f ca="1"/>
        <v>Provision administration fee</v>
      </c>
      <c r="N416" t="str">
        <f ca="1"/>
        <v>EUR</v>
      </c>
      <c r="O416" t="str">
        <f ca="1"/>
        <v>Uncategorized (Treasury)</v>
      </c>
      <c r="P416" t="str">
        <f ca="1"/>
        <v/>
      </c>
      <c r="Q416" t="str">
        <f ca="1"/>
        <v/>
      </c>
      <c r="R416" t="str">
        <f ca="1"/>
        <v/>
      </c>
      <c r="S416" t="str">
        <f ca="1"/>
        <v/>
      </c>
      <c r="T416" t="str">
        <f ca="1"/>
        <v/>
      </c>
      <c r="U416">
        <f ca="1">IF(LEFT(_xll.BDP($T416,U$2),4)="#N/A",0,_xll.BDP($T416,U$2))</f>
        <v>0</v>
      </c>
      <c r="V416" t="e">
        <f>_xll.BDP(#REF!,V$2)</f>
        <v>#REF!</v>
      </c>
      <c r="W416" t="e">
        <f>_xll.BDP(#REF!,W$2)</f>
        <v>#REF!</v>
      </c>
      <c r="X416" t="e">
        <f>_xll.BDP(#REF!,X$2)</f>
        <v>#REF!</v>
      </c>
      <c r="Y416" t="e">
        <f>_xll.BDP(#REF!,Y$2)</f>
        <v>#REF!</v>
      </c>
      <c r="Z416" t="e">
        <f>_xll.BDP(#REF!,Z$2)</f>
        <v>#REF!</v>
      </c>
      <c r="AA416" t="e">
        <f>_xll.BDP(#REF!,AA$2)</f>
        <v>#REF!</v>
      </c>
      <c r="AD416">
        <f ca="1">IF(LEFT(_xll.BDP($T416,AD$2),4)="#N/A",-1,_xll.BDP($T416,AD$2))</f>
        <v>-1</v>
      </c>
    </row>
    <row r="417" spans="1:30">
      <c r="A417">
        <f ca="1"/>
        <v>149</v>
      </c>
      <c r="B417" t="str">
        <f ca="1"/>
        <v>iW ALTERNATIVE SIF</v>
      </c>
      <c r="C417" t="str">
        <f ca="1"/>
        <v>iW ALTERNATIVE SIF</v>
      </c>
      <c r="D417">
        <f ca="1"/>
        <v>68099</v>
      </c>
      <c r="E417" t="str">
        <f ca="1"/>
        <v>REAL VALUE GROWTH FUND</v>
      </c>
      <c r="F417" t="str">
        <f ca="1"/>
        <v>Real Value Growth Fund</v>
      </c>
      <c r="G417">
        <f ca="1"/>
        <v>147</v>
      </c>
      <c r="H417" t="str">
        <f ca="1"/>
        <v>Pictet Fund Accounting</v>
      </c>
      <c r="I417" t="str">
        <f ca="1"/>
        <v>17103856-0</v>
      </c>
      <c r="J417" s="50">
        <f ca="1"/>
        <v>44742</v>
      </c>
      <c r="K417">
        <f ca="1"/>
        <v>-1458.49</v>
      </c>
      <c r="L417" t="str">
        <f ca="1"/>
        <v>67890-0</v>
      </c>
      <c r="M417" t="str">
        <f ca="1"/>
        <v>Provision AIFM Fees</v>
      </c>
      <c r="N417" t="str">
        <f ca="1"/>
        <v>EUR</v>
      </c>
      <c r="O417" t="str">
        <f ca="1"/>
        <v>Uncategorized (Treasury)</v>
      </c>
      <c r="P417" t="str">
        <f ca="1"/>
        <v/>
      </c>
      <c r="Q417" t="str">
        <f ca="1"/>
        <v/>
      </c>
      <c r="R417" t="str">
        <f ca="1"/>
        <v/>
      </c>
      <c r="S417" t="str">
        <f ca="1"/>
        <v/>
      </c>
      <c r="T417" t="str">
        <f ca="1"/>
        <v/>
      </c>
      <c r="U417">
        <f ca="1">IF(LEFT(_xll.BDP($T417,U$2),4)="#N/A",0,_xll.BDP($T417,U$2))</f>
        <v>0</v>
      </c>
      <c r="V417" t="e">
        <f>_xll.BDP(#REF!,V$2)</f>
        <v>#REF!</v>
      </c>
      <c r="W417" t="e">
        <f>_xll.BDP(#REF!,W$2)</f>
        <v>#REF!</v>
      </c>
      <c r="X417" t="e">
        <f>_xll.BDP(#REF!,X$2)</f>
        <v>#REF!</v>
      </c>
      <c r="Y417" t="e">
        <f>_xll.BDP(#REF!,Y$2)</f>
        <v>#REF!</v>
      </c>
      <c r="Z417" t="e">
        <f>_xll.BDP(#REF!,Z$2)</f>
        <v>#REF!</v>
      </c>
      <c r="AA417" t="e">
        <f>_xll.BDP(#REF!,AA$2)</f>
        <v>#REF!</v>
      </c>
      <c r="AD417">
        <f ca="1">IF(LEFT(_xll.BDP($T417,AD$2),4)="#N/A",-1,_xll.BDP($T417,AD$2))</f>
        <v>-1</v>
      </c>
    </row>
    <row r="418" spans="1:30">
      <c r="A418">
        <f ca="1"/>
        <v>149</v>
      </c>
      <c r="B418" t="str">
        <f ca="1"/>
        <v>iW ALTERNATIVE SIF</v>
      </c>
      <c r="C418" t="str">
        <f ca="1"/>
        <v>iW ALTERNATIVE SIF</v>
      </c>
      <c r="D418">
        <f ca="1"/>
        <v>68099</v>
      </c>
      <c r="E418" t="str">
        <f ca="1"/>
        <v>REAL VALUE GROWTH FUND</v>
      </c>
      <c r="F418" t="str">
        <f ca="1"/>
        <v>Real Value Growth Fund</v>
      </c>
      <c r="G418">
        <f ca="1"/>
        <v>147</v>
      </c>
      <c r="H418" t="str">
        <f ca="1"/>
        <v>Pictet Fund Accounting</v>
      </c>
      <c r="I418" t="str">
        <f ca="1"/>
        <v>17103861-0</v>
      </c>
      <c r="J418" s="50">
        <f ca="1"/>
        <v>44742</v>
      </c>
      <c r="K418">
        <f ca="1"/>
        <v>-88.58</v>
      </c>
      <c r="L418" t="str">
        <f ca="1"/>
        <v>123132-0</v>
      </c>
      <c r="M418" t="str">
        <f ca="1"/>
        <v>Provision AIFM Legal Reporting</v>
      </c>
      <c r="N418" t="str">
        <f ca="1"/>
        <v>EUR</v>
      </c>
      <c r="O418" t="str">
        <f ca="1"/>
        <v>Uncategorized (Treasury)</v>
      </c>
      <c r="P418" t="str">
        <f ca="1"/>
        <v/>
      </c>
      <c r="Q418" t="str">
        <f ca="1"/>
        <v/>
      </c>
      <c r="R418" t="str">
        <f ca="1"/>
        <v/>
      </c>
      <c r="S418" t="str">
        <f ca="1"/>
        <v/>
      </c>
      <c r="T418" t="str">
        <f ca="1"/>
        <v/>
      </c>
      <c r="U418">
        <f ca="1">IF(LEFT(_xll.BDP($T418,U$2),4)="#N/A",0,_xll.BDP($T418,U$2))</f>
        <v>0</v>
      </c>
      <c r="V418" t="e">
        <f>_xll.BDP(#REF!,V$2)</f>
        <v>#REF!</v>
      </c>
      <c r="W418" t="e">
        <f>_xll.BDP(#REF!,W$2)</f>
        <v>#REF!</v>
      </c>
      <c r="X418" t="e">
        <f>_xll.BDP(#REF!,X$2)</f>
        <v>#REF!</v>
      </c>
      <c r="Y418" t="e">
        <f>_xll.BDP(#REF!,Y$2)</f>
        <v>#REF!</v>
      </c>
      <c r="Z418" t="e">
        <f>_xll.BDP(#REF!,Z$2)</f>
        <v>#REF!</v>
      </c>
      <c r="AA418" t="e">
        <f>_xll.BDP(#REF!,AA$2)</f>
        <v>#REF!</v>
      </c>
      <c r="AD418">
        <f ca="1">IF(LEFT(_xll.BDP($T418,AD$2),4)="#N/A",-1,_xll.BDP($T418,AD$2))</f>
        <v>-1</v>
      </c>
    </row>
    <row r="419" spans="1:30">
      <c r="A419">
        <f ca="1"/>
        <v>149</v>
      </c>
      <c r="B419" t="str">
        <f ca="1"/>
        <v>iW ALTERNATIVE SIF</v>
      </c>
      <c r="C419" t="str">
        <f ca="1"/>
        <v>iW ALTERNATIVE SIF</v>
      </c>
      <c r="D419">
        <f ca="1"/>
        <v>68099</v>
      </c>
      <c r="E419" t="str">
        <f ca="1"/>
        <v>REAL VALUE GROWTH FUND</v>
      </c>
      <c r="F419" t="str">
        <f ca="1"/>
        <v>Real Value Growth Fund</v>
      </c>
      <c r="G419">
        <f ca="1"/>
        <v>147</v>
      </c>
      <c r="H419" t="str">
        <f ca="1"/>
        <v>Pictet Fund Accounting</v>
      </c>
      <c r="I419" t="str">
        <f ca="1"/>
        <v>17103840-0</v>
      </c>
      <c r="J419" s="50">
        <f ca="1"/>
        <v>44742</v>
      </c>
      <c r="K419">
        <f ca="1"/>
        <v>-2941.92</v>
      </c>
      <c r="L419" t="str">
        <f ca="1"/>
        <v>67889-0</v>
      </c>
      <c r="M419" t="str">
        <f ca="1"/>
        <v>Provision audit fees</v>
      </c>
      <c r="N419" t="str">
        <f ca="1"/>
        <v>EUR</v>
      </c>
      <c r="O419" t="str">
        <f ca="1"/>
        <v>Uncategorized (Treasury)</v>
      </c>
      <c r="P419" t="str">
        <f ca="1"/>
        <v/>
      </c>
      <c r="Q419" t="str">
        <f ca="1"/>
        <v/>
      </c>
      <c r="R419" t="str">
        <f ca="1"/>
        <v/>
      </c>
      <c r="S419" t="str">
        <f ca="1"/>
        <v/>
      </c>
      <c r="T419" t="str">
        <f ca="1"/>
        <v/>
      </c>
      <c r="U419">
        <f ca="1">IF(LEFT(_xll.BDP($T419,U$2),4)="#N/A",0,_xll.BDP($T419,U$2))</f>
        <v>0</v>
      </c>
      <c r="V419" t="e">
        <f>_xll.BDP(#REF!,V$2)</f>
        <v>#REF!</v>
      </c>
      <c r="W419" t="e">
        <f>_xll.BDP(#REF!,W$2)</f>
        <v>#REF!</v>
      </c>
      <c r="X419" t="e">
        <f>_xll.BDP(#REF!,X$2)</f>
        <v>#REF!</v>
      </c>
      <c r="Y419" t="e">
        <f>_xll.BDP(#REF!,Y$2)</f>
        <v>#REF!</v>
      </c>
      <c r="Z419" t="e">
        <f>_xll.BDP(#REF!,Z$2)</f>
        <v>#REF!</v>
      </c>
      <c r="AA419" t="e">
        <f>_xll.BDP(#REF!,AA$2)</f>
        <v>#REF!</v>
      </c>
      <c r="AD419">
        <f ca="1">IF(LEFT(_xll.BDP($T419,AD$2),4)="#N/A",-1,_xll.BDP($T419,AD$2))</f>
        <v>-1</v>
      </c>
    </row>
    <row r="420" spans="1:30">
      <c r="A420">
        <f ca="1"/>
        <v>149</v>
      </c>
      <c r="B420" t="str">
        <f ca="1"/>
        <v>iW ALTERNATIVE SIF</v>
      </c>
      <c r="C420" t="str">
        <f ca="1"/>
        <v>iW ALTERNATIVE SIF</v>
      </c>
      <c r="D420">
        <f ca="1"/>
        <v>68099</v>
      </c>
      <c r="E420" t="str">
        <f ca="1"/>
        <v>REAL VALUE GROWTH FUND</v>
      </c>
      <c r="F420" t="str">
        <f ca="1"/>
        <v>Real Value Growth Fund</v>
      </c>
      <c r="G420">
        <f ca="1"/>
        <v>147</v>
      </c>
      <c r="H420" t="str">
        <f ca="1"/>
        <v>Pictet Fund Accounting</v>
      </c>
      <c r="I420" t="str">
        <f ca="1"/>
        <v>17103859-0</v>
      </c>
      <c r="J420" s="50">
        <f ca="1"/>
        <v>44742</v>
      </c>
      <c r="K420">
        <f ca="1"/>
        <v>-2493.16</v>
      </c>
      <c r="L420" t="str">
        <f ca="1"/>
        <v>67897-0</v>
      </c>
      <c r="M420" t="str">
        <f ca="1"/>
        <v>Provision custody fee</v>
      </c>
      <c r="N420" t="str">
        <f ca="1"/>
        <v>EUR</v>
      </c>
      <c r="O420" t="str">
        <f ca="1"/>
        <v>Uncategorized (Treasury)</v>
      </c>
      <c r="P420" t="str">
        <f ca="1"/>
        <v/>
      </c>
      <c r="Q420" t="str">
        <f ca="1"/>
        <v/>
      </c>
      <c r="R420" t="str">
        <f ca="1"/>
        <v/>
      </c>
      <c r="S420" t="str">
        <f ca="1"/>
        <v/>
      </c>
      <c r="T420" t="str">
        <f ca="1"/>
        <v/>
      </c>
      <c r="U420">
        <f ca="1">IF(LEFT(_xll.BDP($T420,U$2),4)="#N/A",0,_xll.BDP($T420,U$2))</f>
        <v>0</v>
      </c>
      <c r="V420" t="e">
        <f>_xll.BDP(#REF!,V$2)</f>
        <v>#REF!</v>
      </c>
      <c r="W420" t="e">
        <f>_xll.BDP(#REF!,W$2)</f>
        <v>#REF!</v>
      </c>
      <c r="X420" t="e">
        <f>_xll.BDP(#REF!,X$2)</f>
        <v>#REF!</v>
      </c>
      <c r="Y420" t="e">
        <f>_xll.BDP(#REF!,Y$2)</f>
        <v>#REF!</v>
      </c>
      <c r="Z420" t="e">
        <f>_xll.BDP(#REF!,Z$2)</f>
        <v>#REF!</v>
      </c>
      <c r="AA420" t="e">
        <f>_xll.BDP(#REF!,AA$2)</f>
        <v>#REF!</v>
      </c>
      <c r="AD420">
        <f ca="1">IF(LEFT(_xll.BDP($T420,AD$2),4)="#N/A",-1,_xll.BDP($T420,AD$2))</f>
        <v>-1</v>
      </c>
    </row>
    <row r="421" spans="1:30">
      <c r="A421">
        <f ca="1"/>
        <v>149</v>
      </c>
      <c r="B421" t="str">
        <f ca="1"/>
        <v>iW ALTERNATIVE SIF</v>
      </c>
      <c r="C421" t="str">
        <f ca="1"/>
        <v>iW ALTERNATIVE SIF</v>
      </c>
      <c r="D421">
        <f ca="1"/>
        <v>68099</v>
      </c>
      <c r="E421" t="str">
        <f ca="1"/>
        <v>REAL VALUE GROWTH FUND</v>
      </c>
      <c r="F421" t="str">
        <f ca="1"/>
        <v>Real Value Growth Fund</v>
      </c>
      <c r="G421">
        <f ca="1"/>
        <v>147</v>
      </c>
      <c r="H421" t="str">
        <f ca="1"/>
        <v>Pictet Fund Accounting</v>
      </c>
      <c r="I421" t="str">
        <f ca="1"/>
        <v>17103881-0</v>
      </c>
      <c r="J421" s="50">
        <f ca="1"/>
        <v>44742</v>
      </c>
      <c r="K421">
        <f ca="1"/>
        <v>-253.25</v>
      </c>
      <c r="L421" t="str">
        <f ca="1"/>
        <v>67905-0</v>
      </c>
      <c r="M421" t="str">
        <f ca="1"/>
        <v>Provision Deposit supervi duty</v>
      </c>
      <c r="N421" t="str">
        <f ca="1"/>
        <v>EUR</v>
      </c>
      <c r="O421" t="str">
        <f ca="1"/>
        <v>Uncategorized (Treasury)</v>
      </c>
      <c r="P421" t="str">
        <f ca="1"/>
        <v/>
      </c>
      <c r="Q421" t="str">
        <f ca="1"/>
        <v/>
      </c>
      <c r="R421" t="str">
        <f ca="1"/>
        <v/>
      </c>
      <c r="S421" t="str">
        <f ca="1"/>
        <v/>
      </c>
      <c r="T421" t="str">
        <f ca="1"/>
        <v/>
      </c>
      <c r="U421">
        <f ca="1">IF(LEFT(_xll.BDP($T421,U$2),4)="#N/A",0,_xll.BDP($T421,U$2))</f>
        <v>0</v>
      </c>
      <c r="V421" t="e">
        <f>_xll.BDP(#REF!,V$2)</f>
        <v>#REF!</v>
      </c>
      <c r="W421" t="e">
        <f>_xll.BDP(#REF!,W$2)</f>
        <v>#REF!</v>
      </c>
      <c r="X421" t="e">
        <f>_xll.BDP(#REF!,X$2)</f>
        <v>#REF!</v>
      </c>
      <c r="Y421" t="e">
        <f>_xll.BDP(#REF!,Y$2)</f>
        <v>#REF!</v>
      </c>
      <c r="Z421" t="e">
        <f>_xll.BDP(#REF!,Z$2)</f>
        <v>#REF!</v>
      </c>
      <c r="AA421" t="e">
        <f>_xll.BDP(#REF!,AA$2)</f>
        <v>#REF!</v>
      </c>
      <c r="AD421">
        <f ca="1">IF(LEFT(_xll.BDP($T421,AD$2),4)="#N/A",-1,_xll.BDP($T421,AD$2))</f>
        <v>-1</v>
      </c>
    </row>
    <row r="422" spans="1:30">
      <c r="A422">
        <f ca="1"/>
        <v>149</v>
      </c>
      <c r="B422" t="str">
        <f ca="1"/>
        <v>iW ALTERNATIVE SIF</v>
      </c>
      <c r="C422" t="str">
        <f ca="1"/>
        <v>iW ALTERNATIVE SIF</v>
      </c>
      <c r="D422">
        <f ca="1"/>
        <v>68099</v>
      </c>
      <c r="E422" t="str">
        <f ca="1"/>
        <v>REAL VALUE GROWTH FUND</v>
      </c>
      <c r="F422" t="str">
        <f ca="1"/>
        <v>Real Value Growth Fund</v>
      </c>
      <c r="G422">
        <f ca="1"/>
        <v>147</v>
      </c>
      <c r="H422" t="str">
        <f ca="1"/>
        <v>Pictet Fund Accounting</v>
      </c>
      <c r="I422" t="str">
        <f ca="1"/>
        <v>17103852-0</v>
      </c>
      <c r="J422" s="50">
        <f ca="1"/>
        <v>44742</v>
      </c>
      <c r="K422">
        <f ca="1"/>
        <v>1595.07</v>
      </c>
      <c r="L422" t="str">
        <f ca="1"/>
        <v>67903-0</v>
      </c>
      <c r="M422" t="str">
        <f ca="1"/>
        <v>Provision directors fees</v>
      </c>
      <c r="N422" t="str">
        <f ca="1"/>
        <v>EUR</v>
      </c>
      <c r="O422" t="str">
        <f ca="1"/>
        <v>Uncategorized (Treasury)</v>
      </c>
      <c r="P422" t="str">
        <f ca="1"/>
        <v/>
      </c>
      <c r="Q422" t="str">
        <f ca="1"/>
        <v/>
      </c>
      <c r="R422" t="str">
        <f ca="1"/>
        <v/>
      </c>
      <c r="S422" t="str">
        <f ca="1"/>
        <v/>
      </c>
      <c r="T422" t="str">
        <f ca="1"/>
        <v/>
      </c>
      <c r="U422">
        <f ca="1">IF(LEFT(_xll.BDP($T422,U$2),4)="#N/A",0,_xll.BDP($T422,U$2))</f>
        <v>0</v>
      </c>
      <c r="V422" t="e">
        <f>_xll.BDP(#REF!,V$2)</f>
        <v>#REF!</v>
      </c>
      <c r="W422" t="e">
        <f>_xll.BDP(#REF!,W$2)</f>
        <v>#REF!</v>
      </c>
      <c r="X422" t="e">
        <f>_xll.BDP(#REF!,X$2)</f>
        <v>#REF!</v>
      </c>
      <c r="Y422" t="e">
        <f>_xll.BDP(#REF!,Y$2)</f>
        <v>#REF!</v>
      </c>
      <c r="Z422" t="e">
        <f>_xll.BDP(#REF!,Z$2)</f>
        <v>#REF!</v>
      </c>
      <c r="AA422" t="e">
        <f>_xll.BDP(#REF!,AA$2)</f>
        <v>#REF!</v>
      </c>
      <c r="AD422">
        <f ca="1">IF(LEFT(_xll.BDP($T422,AD$2),4)="#N/A",-1,_xll.BDP($T422,AD$2))</f>
        <v>-1</v>
      </c>
    </row>
    <row r="423" spans="1:30">
      <c r="A423">
        <f ca="1"/>
        <v>149</v>
      </c>
      <c r="B423" t="str">
        <f ca="1"/>
        <v>iW ALTERNATIVE SIF</v>
      </c>
      <c r="C423" t="str">
        <f ca="1"/>
        <v>iW ALTERNATIVE SIF</v>
      </c>
      <c r="D423">
        <f ca="1"/>
        <v>68099</v>
      </c>
      <c r="E423" t="str">
        <f ca="1"/>
        <v>REAL VALUE GROWTH FUND</v>
      </c>
      <c r="F423" t="str">
        <f ca="1"/>
        <v>Real Value Growth Fund</v>
      </c>
      <c r="G423">
        <f ca="1"/>
        <v>147</v>
      </c>
      <c r="H423" t="str">
        <f ca="1"/>
        <v>Pictet Fund Accounting</v>
      </c>
      <c r="I423" t="str">
        <f ca="1"/>
        <v>17103857-0</v>
      </c>
      <c r="J423" s="50">
        <f ca="1"/>
        <v>44742</v>
      </c>
      <c r="K423">
        <f ca="1"/>
        <v>-282.55</v>
      </c>
      <c r="L423" t="str">
        <f ca="1"/>
        <v>67893-0</v>
      </c>
      <c r="M423" t="str">
        <f ca="1"/>
        <v>Provision Domiciliation fees</v>
      </c>
      <c r="N423" t="str">
        <f ca="1"/>
        <v>EUR</v>
      </c>
      <c r="O423" t="str">
        <f ca="1"/>
        <v>Uncategorized (Treasury)</v>
      </c>
      <c r="P423" t="str">
        <f ca="1"/>
        <v/>
      </c>
      <c r="Q423" t="str">
        <f ca="1"/>
        <v/>
      </c>
      <c r="R423" t="str">
        <f ca="1"/>
        <v/>
      </c>
      <c r="S423" t="str">
        <f ca="1"/>
        <v/>
      </c>
      <c r="T423" t="str">
        <f ca="1"/>
        <v/>
      </c>
      <c r="U423">
        <f ca="1">IF(LEFT(_xll.BDP($T423,U$2),4)="#N/A",0,_xll.BDP($T423,U$2))</f>
        <v>0</v>
      </c>
      <c r="V423" t="e">
        <f>_xll.BDP(#REF!,V$2)</f>
        <v>#REF!</v>
      </c>
      <c r="W423" t="e">
        <f>_xll.BDP(#REF!,W$2)</f>
        <v>#REF!</v>
      </c>
      <c r="X423" t="e">
        <f>_xll.BDP(#REF!,X$2)</f>
        <v>#REF!</v>
      </c>
      <c r="Y423" t="e">
        <f>_xll.BDP(#REF!,Y$2)</f>
        <v>#REF!</v>
      </c>
      <c r="Z423" t="e">
        <f>_xll.BDP(#REF!,Z$2)</f>
        <v>#REF!</v>
      </c>
      <c r="AA423" t="e">
        <f>_xll.BDP(#REF!,AA$2)</f>
        <v>#REF!</v>
      </c>
      <c r="AD423">
        <f ca="1">IF(LEFT(_xll.BDP($T423,AD$2),4)="#N/A",-1,_xll.BDP($T423,AD$2))</f>
        <v>-1</v>
      </c>
    </row>
    <row r="424" spans="1:30">
      <c r="A424">
        <f ca="1"/>
        <v>149</v>
      </c>
      <c r="B424" t="str">
        <f ca="1"/>
        <v>iW ALTERNATIVE SIF</v>
      </c>
      <c r="C424" t="str">
        <f ca="1"/>
        <v>iW ALTERNATIVE SIF</v>
      </c>
      <c r="D424">
        <f ca="1"/>
        <v>68099</v>
      </c>
      <c r="E424" t="str">
        <f ca="1"/>
        <v>REAL VALUE GROWTH FUND</v>
      </c>
      <c r="F424" t="str">
        <f ca="1"/>
        <v>Real Value Growth Fund</v>
      </c>
      <c r="G424">
        <f ca="1"/>
        <v>147</v>
      </c>
      <c r="H424" t="str">
        <f ca="1"/>
        <v>Pictet Fund Accounting</v>
      </c>
      <c r="I424" t="str">
        <f ca="1"/>
        <v>17103885-0</v>
      </c>
      <c r="J424" s="50">
        <f ca="1"/>
        <v>44742</v>
      </c>
      <c r="K424">
        <f ca="1"/>
        <v>-2090.81</v>
      </c>
      <c r="L424" t="str">
        <f ca="1"/>
        <v>68796-0</v>
      </c>
      <c r="M424" t="str">
        <f ca="1"/>
        <v>Provision management fee</v>
      </c>
      <c r="N424" t="str">
        <f ca="1"/>
        <v>EUR</v>
      </c>
      <c r="O424" t="str">
        <f ca="1"/>
        <v>Uncategorized (Treasury)</v>
      </c>
      <c r="P424" t="str">
        <f ca="1"/>
        <v/>
      </c>
      <c r="Q424" t="str">
        <f ca="1"/>
        <v/>
      </c>
      <c r="R424" t="str">
        <f ca="1"/>
        <v/>
      </c>
      <c r="S424" t="str">
        <f ca="1"/>
        <v/>
      </c>
      <c r="T424" t="str">
        <f ca="1"/>
        <v/>
      </c>
      <c r="U424">
        <f ca="1">IF(LEFT(_xll.BDP($T424,U$2),4)="#N/A",0,_xll.BDP($T424,U$2))</f>
        <v>0</v>
      </c>
      <c r="V424" t="e">
        <f>_xll.BDP(#REF!,V$2)</f>
        <v>#REF!</v>
      </c>
      <c r="W424" t="e">
        <f>_xll.BDP(#REF!,W$2)</f>
        <v>#REF!</v>
      </c>
      <c r="X424" t="e">
        <f>_xll.BDP(#REF!,X$2)</f>
        <v>#REF!</v>
      </c>
      <c r="Y424" t="e">
        <f>_xll.BDP(#REF!,Y$2)</f>
        <v>#REF!</v>
      </c>
      <c r="Z424" t="e">
        <f>_xll.BDP(#REF!,Z$2)</f>
        <v>#REF!</v>
      </c>
      <c r="AA424" t="e">
        <f>_xll.BDP(#REF!,AA$2)</f>
        <v>#REF!</v>
      </c>
      <c r="AD424">
        <f ca="1">IF(LEFT(_xll.BDP($T424,AD$2),4)="#N/A",-1,_xll.BDP($T424,AD$2))</f>
        <v>-1</v>
      </c>
    </row>
    <row r="425" spans="1:30">
      <c r="A425">
        <f ca="1"/>
        <v>149</v>
      </c>
      <c r="B425" t="str">
        <f ca="1"/>
        <v>iW ALTERNATIVE SIF</v>
      </c>
      <c r="C425" t="str">
        <f ca="1"/>
        <v>iW ALTERNATIVE SIF</v>
      </c>
      <c r="D425">
        <f ca="1"/>
        <v>68099</v>
      </c>
      <c r="E425" t="str">
        <f ca="1"/>
        <v>REAL VALUE GROWTH FUND</v>
      </c>
      <c r="F425" t="str">
        <f ca="1"/>
        <v>Real Value Growth Fund</v>
      </c>
      <c r="G425">
        <f ca="1"/>
        <v>147</v>
      </c>
      <c r="H425" t="str">
        <f ca="1"/>
        <v>Pictet Fund Accounting</v>
      </c>
      <c r="I425" t="str">
        <f ca="1"/>
        <v>17103846-0</v>
      </c>
      <c r="J425" s="50">
        <f ca="1"/>
        <v>44742</v>
      </c>
      <c r="K425">
        <f ca="1"/>
        <v>-1642.67</v>
      </c>
      <c r="L425" t="str">
        <f ca="1"/>
        <v>67894-0</v>
      </c>
      <c r="M425" t="str">
        <f ca="1"/>
        <v>Provision Mgt Institutional</v>
      </c>
      <c r="N425" t="str">
        <f ca="1"/>
        <v>EUR</v>
      </c>
      <c r="O425" t="str">
        <f ca="1"/>
        <v>Uncategorized (Treasury)</v>
      </c>
      <c r="P425" t="str">
        <f ca="1"/>
        <v/>
      </c>
      <c r="Q425" t="str">
        <f ca="1"/>
        <v/>
      </c>
      <c r="R425" t="str">
        <f ca="1"/>
        <v/>
      </c>
      <c r="S425" t="str">
        <f ca="1"/>
        <v/>
      </c>
      <c r="T425" t="str">
        <f ca="1"/>
        <v/>
      </c>
      <c r="U425">
        <f ca="1">IF(LEFT(_xll.BDP($T425,U$2),4)="#N/A",0,_xll.BDP($T425,U$2))</f>
        <v>0</v>
      </c>
      <c r="V425" t="e">
        <f>_xll.BDP(#REF!,V$2)</f>
        <v>#REF!</v>
      </c>
      <c r="W425" t="e">
        <f>_xll.BDP(#REF!,W$2)</f>
        <v>#REF!</v>
      </c>
      <c r="X425" t="e">
        <f>_xll.BDP(#REF!,X$2)</f>
        <v>#REF!</v>
      </c>
      <c r="Y425" t="e">
        <f>_xll.BDP(#REF!,Y$2)</f>
        <v>#REF!</v>
      </c>
      <c r="Z425" t="e">
        <f>_xll.BDP(#REF!,Z$2)</f>
        <v>#REF!</v>
      </c>
      <c r="AA425" t="e">
        <f>_xll.BDP(#REF!,AA$2)</f>
        <v>#REF!</v>
      </c>
      <c r="AD425">
        <f ca="1">IF(LEFT(_xll.BDP($T425,AD$2),4)="#N/A",-1,_xll.BDP($T425,AD$2))</f>
        <v>-1</v>
      </c>
    </row>
    <row r="426" spans="1:30">
      <c r="A426">
        <f ca="1"/>
        <v>149</v>
      </c>
      <c r="B426" t="str">
        <f ca="1"/>
        <v>iW ALTERNATIVE SIF</v>
      </c>
      <c r="C426" t="str">
        <f ca="1"/>
        <v>iW ALTERNATIVE SIF</v>
      </c>
      <c r="D426">
        <f ca="1"/>
        <v>68099</v>
      </c>
      <c r="E426" t="str">
        <f ca="1"/>
        <v>REAL VALUE GROWTH FUND</v>
      </c>
      <c r="F426" t="str">
        <f ca="1"/>
        <v>Real Value Growth Fund</v>
      </c>
      <c r="G426">
        <f ca="1"/>
        <v>147</v>
      </c>
      <c r="H426" t="str">
        <f ca="1"/>
        <v>Pictet Fund Accounting</v>
      </c>
      <c r="I426" t="str">
        <f ca="1"/>
        <v>17103844-0</v>
      </c>
      <c r="J426" s="50">
        <f ca="1"/>
        <v>44742</v>
      </c>
      <c r="K426">
        <f ca="1"/>
        <v>-1873.79</v>
      </c>
      <c r="L426" t="str">
        <f ca="1"/>
        <v>67892-0</v>
      </c>
      <c r="M426" t="str">
        <f ca="1"/>
        <v>Provision Mgt Private</v>
      </c>
      <c r="N426" t="str">
        <f ca="1"/>
        <v>EUR</v>
      </c>
      <c r="O426" t="str">
        <f ca="1"/>
        <v>Uncategorized (Treasury)</v>
      </c>
      <c r="P426" t="str">
        <f ca="1"/>
        <v/>
      </c>
      <c r="Q426" t="str">
        <f ca="1"/>
        <v/>
      </c>
      <c r="R426" t="str">
        <f ca="1"/>
        <v/>
      </c>
      <c r="S426" t="str">
        <f ca="1"/>
        <v/>
      </c>
      <c r="T426" t="str">
        <f ca="1"/>
        <v/>
      </c>
      <c r="U426">
        <f ca="1">IF(LEFT(_xll.BDP($T426,U$2),4)="#N/A",0,_xll.BDP($T426,U$2))</f>
        <v>0</v>
      </c>
      <c r="V426" t="e">
        <f>_xll.BDP(#REF!,V$2)</f>
        <v>#REF!</v>
      </c>
      <c r="W426" t="e">
        <f>_xll.BDP(#REF!,W$2)</f>
        <v>#REF!</v>
      </c>
      <c r="X426" t="e">
        <f>_xll.BDP(#REF!,X$2)</f>
        <v>#REF!</v>
      </c>
      <c r="Y426" t="e">
        <f>_xll.BDP(#REF!,Y$2)</f>
        <v>#REF!</v>
      </c>
      <c r="Z426" t="e">
        <f>_xll.BDP(#REF!,Z$2)</f>
        <v>#REF!</v>
      </c>
      <c r="AA426" t="e">
        <f>_xll.BDP(#REF!,AA$2)</f>
        <v>#REF!</v>
      </c>
      <c r="AD426">
        <f ca="1">IF(LEFT(_xll.BDP($T426,AD$2),4)="#N/A",-1,_xll.BDP($T426,AD$2))</f>
        <v>-1</v>
      </c>
    </row>
    <row r="427" spans="1:30">
      <c r="A427">
        <f ca="1"/>
        <v>149</v>
      </c>
      <c r="B427" t="str">
        <f ca="1"/>
        <v>iW ALTERNATIVE SIF</v>
      </c>
      <c r="C427" t="str">
        <f ca="1"/>
        <v>iW ALTERNATIVE SIF</v>
      </c>
      <c r="D427">
        <f ca="1"/>
        <v>68099</v>
      </c>
      <c r="E427" t="str">
        <f ca="1"/>
        <v>REAL VALUE GROWTH FUND</v>
      </c>
      <c r="F427" t="str">
        <f ca="1"/>
        <v>Real Value Growth Fund</v>
      </c>
      <c r="G427">
        <f ca="1"/>
        <v>147</v>
      </c>
      <c r="H427" t="str">
        <f ca="1"/>
        <v>Pictet Fund Accounting</v>
      </c>
      <c r="I427" t="str">
        <f ca="1"/>
        <v>17103888-0</v>
      </c>
      <c r="J427" s="50">
        <f ca="1"/>
        <v>44742</v>
      </c>
      <c r="K427">
        <f ca="1"/>
        <v>-56.51</v>
      </c>
      <c r="L427" t="str">
        <f ca="1"/>
        <v>67902-0</v>
      </c>
      <c r="M427" t="str">
        <f ca="1"/>
        <v>Provision VAT Declaration</v>
      </c>
      <c r="N427" t="str">
        <f ca="1"/>
        <v>EUR</v>
      </c>
      <c r="O427" t="str">
        <f ca="1"/>
        <v>Uncategorized (Treasury)</v>
      </c>
      <c r="P427" t="str">
        <f ca="1"/>
        <v/>
      </c>
      <c r="Q427" t="str">
        <f ca="1"/>
        <v/>
      </c>
      <c r="R427" t="str">
        <f ca="1"/>
        <v/>
      </c>
      <c r="S427" t="str">
        <f ca="1"/>
        <v/>
      </c>
      <c r="T427" t="str">
        <f ca="1"/>
        <v/>
      </c>
      <c r="U427">
        <f ca="1">IF(LEFT(_xll.BDP($T427,U$2),4)="#N/A",0,_xll.BDP($T427,U$2))</f>
        <v>0</v>
      </c>
      <c r="V427" t="e">
        <f>_xll.BDP(#REF!,V$2)</f>
        <v>#REF!</v>
      </c>
      <c r="W427" t="e">
        <f>_xll.BDP(#REF!,W$2)</f>
        <v>#REF!</v>
      </c>
      <c r="X427" t="e">
        <f>_xll.BDP(#REF!,X$2)</f>
        <v>#REF!</v>
      </c>
      <c r="Y427" t="e">
        <f>_xll.BDP(#REF!,Y$2)</f>
        <v>#REF!</v>
      </c>
      <c r="Z427" t="e">
        <f>_xll.BDP(#REF!,Z$2)</f>
        <v>#REF!</v>
      </c>
      <c r="AA427" t="e">
        <f>_xll.BDP(#REF!,AA$2)</f>
        <v>#REF!</v>
      </c>
      <c r="AD427">
        <f ca="1">IF(LEFT(_xll.BDP($T427,AD$2),4)="#N/A",-1,_xll.BDP($T427,AD$2))</f>
        <v>-1</v>
      </c>
    </row>
    <row r="428" spans="1:30">
      <c r="A428">
        <f ca="1"/>
        <v>149</v>
      </c>
      <c r="B428" t="str">
        <f ca="1"/>
        <v>iW ALTERNATIVE SIF</v>
      </c>
      <c r="C428" t="str">
        <f ca="1"/>
        <v>iW ALTERNATIVE SIF</v>
      </c>
      <c r="D428">
        <f ca="1"/>
        <v>68099</v>
      </c>
      <c r="E428" t="str">
        <f ca="1"/>
        <v>REAL VALUE GROWTH FUND</v>
      </c>
      <c r="F428" t="str">
        <f ca="1"/>
        <v>Real Value Growth Fund</v>
      </c>
      <c r="G428">
        <f ca="1"/>
        <v>147</v>
      </c>
      <c r="H428" t="str">
        <f ca="1"/>
        <v>Pictet Fund Accounting</v>
      </c>
      <c r="I428" t="str">
        <f ca="1"/>
        <v>17103878-0</v>
      </c>
      <c r="J428" s="50">
        <f ca="1"/>
        <v>44742</v>
      </c>
      <c r="K428">
        <f ca="1"/>
        <v>-18.84</v>
      </c>
      <c r="L428" t="str">
        <f ca="1"/>
        <v>119820-0</v>
      </c>
      <c r="M428" t="str">
        <f ca="1"/>
        <v>Ultimate Beneficial declaratio</v>
      </c>
      <c r="N428" t="str">
        <f ca="1"/>
        <v>EUR</v>
      </c>
      <c r="O428" t="str">
        <f ca="1"/>
        <v>Uncategorized (Treasury)</v>
      </c>
      <c r="P428" t="str">
        <f ca="1"/>
        <v/>
      </c>
      <c r="Q428" t="str">
        <f ca="1"/>
        <v/>
      </c>
      <c r="R428" t="str">
        <f ca="1"/>
        <v/>
      </c>
      <c r="S428" t="str">
        <f ca="1"/>
        <v/>
      </c>
      <c r="T428" t="str">
        <f ca="1"/>
        <v/>
      </c>
      <c r="U428">
        <f ca="1">IF(LEFT(_xll.BDP($T428,U$2),4)="#N/A",0,_xll.BDP($T428,U$2))</f>
        <v>0</v>
      </c>
      <c r="V428" t="e">
        <f>_xll.BDP(#REF!,V$2)</f>
        <v>#REF!</v>
      </c>
      <c r="W428" t="e">
        <f>_xll.BDP(#REF!,W$2)</f>
        <v>#REF!</v>
      </c>
      <c r="X428" t="e">
        <f>_xll.BDP(#REF!,X$2)</f>
        <v>#REF!</v>
      </c>
      <c r="Y428" t="e">
        <f>_xll.BDP(#REF!,Y$2)</f>
        <v>#REF!</v>
      </c>
      <c r="Z428" t="e">
        <f>_xll.BDP(#REF!,Z$2)</f>
        <v>#REF!</v>
      </c>
      <c r="AA428" t="e">
        <f>_xll.BDP(#REF!,AA$2)</f>
        <v>#REF!</v>
      </c>
      <c r="AD428">
        <f ca="1">IF(LEFT(_xll.BDP($T428,AD$2),4)="#N/A",-1,_xll.BDP($T428,AD$2))</f>
        <v>-1</v>
      </c>
    </row>
    <row r="429" spans="1:30">
      <c r="A429">
        <f ca="1"/>
        <v>149</v>
      </c>
      <c r="B429" t="str">
        <f ca="1"/>
        <v>iW ALTERNATIVE SIF</v>
      </c>
      <c r="C429" t="str">
        <f ca="1"/>
        <v>iW ALTERNATIVE SIF</v>
      </c>
      <c r="D429">
        <f ca="1"/>
        <v>60568</v>
      </c>
      <c r="E429" t="str">
        <f ca="1"/>
        <v>REVO</v>
      </c>
      <c r="F429" t="str">
        <f ca="1"/>
        <v>REVO</v>
      </c>
      <c r="G429">
        <f ca="1"/>
        <v>147</v>
      </c>
      <c r="H429" t="str">
        <f ca="1"/>
        <v>Pictet Fund Accounting</v>
      </c>
      <c r="I429" t="str">
        <f ca="1"/>
        <v>17502055-0</v>
      </c>
      <c r="J429" s="50">
        <f ca="1"/>
        <v>44775</v>
      </c>
      <c r="K429">
        <f ca="1"/>
        <v>191831.34</v>
      </c>
      <c r="L429" t="str">
        <f ca="1"/>
        <v>60578-0</v>
      </c>
      <c r="M429" t="str">
        <f ca="1"/>
        <v>Current account Pictet &amp; Cie (Europe) S.A. @@@</v>
      </c>
      <c r="N429" t="str">
        <f ca="1"/>
        <v>USD</v>
      </c>
      <c r="O429" t="str">
        <f ca="1"/>
        <v>Cash</v>
      </c>
      <c r="P429" t="str">
        <f ca="1"/>
        <v/>
      </c>
      <c r="Q429" t="str">
        <f ca="1"/>
        <v/>
      </c>
      <c r="R429" t="str">
        <f ca="1"/>
        <v/>
      </c>
      <c r="S429" t="str">
        <f ca="1"/>
        <v/>
      </c>
      <c r="T429" t="str">
        <f ca="1"/>
        <v/>
      </c>
      <c r="U429">
        <f ca="1">IF(LEFT(_xll.BDP($T429,U$2),4)="#N/A",0,_xll.BDP($T429,U$2))</f>
        <v>0</v>
      </c>
      <c r="V429" t="e">
        <f>_xll.BDP(#REF!,V$2)</f>
        <v>#REF!</v>
      </c>
      <c r="W429" t="e">
        <f>_xll.BDP(#REF!,W$2)</f>
        <v>#REF!</v>
      </c>
      <c r="X429" t="e">
        <f>_xll.BDP(#REF!,X$2)</f>
        <v>#REF!</v>
      </c>
      <c r="Y429" t="e">
        <f>_xll.BDP(#REF!,Y$2)</f>
        <v>#REF!</v>
      </c>
      <c r="Z429" t="e">
        <f>_xll.BDP(#REF!,Z$2)</f>
        <v>#REF!</v>
      </c>
      <c r="AA429" t="e">
        <f>_xll.BDP(#REF!,AA$2)</f>
        <v>#REF!</v>
      </c>
      <c r="AD429">
        <f ca="1">IF(LEFT(_xll.BDP($T429,AD$2),4)="#N/A",-1,_xll.BDP($T429,AD$2))</f>
        <v>-1</v>
      </c>
    </row>
    <row r="430" spans="1:30">
      <c r="A430">
        <f ca="1"/>
        <v>149</v>
      </c>
      <c r="B430" t="str">
        <f ca="1"/>
        <v>iW ALTERNATIVE SIF</v>
      </c>
      <c r="C430" t="str">
        <f ca="1"/>
        <v>iW ALTERNATIVE SIF</v>
      </c>
      <c r="D430">
        <f ca="1"/>
        <v>60568</v>
      </c>
      <c r="E430" t="str">
        <f ca="1"/>
        <v>REVO</v>
      </c>
      <c r="F430" t="str">
        <f ca="1"/>
        <v>REVO</v>
      </c>
      <c r="G430">
        <f ca="1"/>
        <v>147</v>
      </c>
      <c r="H430" t="str">
        <f ca="1"/>
        <v>Pictet Fund Accounting</v>
      </c>
      <c r="I430" t="str">
        <f ca="1"/>
        <v>17502059-0</v>
      </c>
      <c r="J430" s="50">
        <f ca="1"/>
        <v>44775</v>
      </c>
      <c r="K430">
        <f ca="1"/>
        <v>-9499.82</v>
      </c>
      <c r="L430" t="str">
        <f ca="1"/>
        <v>60587-0</v>
      </c>
      <c r="M430" t="str">
        <f ca="1"/>
        <v>Current account Pictet &amp; Cie (Europe) S.A. @@@</v>
      </c>
      <c r="N430" t="str">
        <f ca="1"/>
        <v>EUR</v>
      </c>
      <c r="O430" t="str">
        <f ca="1"/>
        <v>Cash</v>
      </c>
      <c r="P430" t="str">
        <f ca="1"/>
        <v/>
      </c>
      <c r="Q430" t="str">
        <f ca="1"/>
        <v/>
      </c>
      <c r="R430" t="str">
        <f ca="1"/>
        <v/>
      </c>
      <c r="S430" t="str">
        <f ca="1"/>
        <v/>
      </c>
      <c r="T430" t="str">
        <f ca="1"/>
        <v/>
      </c>
      <c r="U430">
        <f ca="1">IF(LEFT(_xll.BDP($T430,U$2),4)="#N/A",0,_xll.BDP($T430,U$2))</f>
        <v>0</v>
      </c>
      <c r="V430" t="e">
        <f>_xll.BDP(#REF!,V$2)</f>
        <v>#REF!</v>
      </c>
      <c r="W430" t="e">
        <f>_xll.BDP(#REF!,W$2)</f>
        <v>#REF!</v>
      </c>
      <c r="X430" t="e">
        <f>_xll.BDP(#REF!,X$2)</f>
        <v>#REF!</v>
      </c>
      <c r="Y430" t="e">
        <f>_xll.BDP(#REF!,Y$2)</f>
        <v>#REF!</v>
      </c>
      <c r="Z430" t="e">
        <f>_xll.BDP(#REF!,Z$2)</f>
        <v>#REF!</v>
      </c>
      <c r="AA430" t="e">
        <f>_xll.BDP(#REF!,AA$2)</f>
        <v>#REF!</v>
      </c>
      <c r="AD430">
        <f ca="1">IF(LEFT(_xll.BDP($T430,AD$2),4)="#N/A",-1,_xll.BDP($T430,AD$2))</f>
        <v>-1</v>
      </c>
    </row>
    <row r="431" spans="1:30">
      <c r="A431">
        <f ca="1"/>
        <v>149</v>
      </c>
      <c r="B431" t="str">
        <f ca="1"/>
        <v>iW ALTERNATIVE SIF</v>
      </c>
      <c r="C431" t="str">
        <f ca="1"/>
        <v>iW ALTERNATIVE SIF</v>
      </c>
      <c r="D431">
        <f ca="1"/>
        <v>60568</v>
      </c>
      <c r="E431" t="str">
        <f ca="1"/>
        <v>REVO</v>
      </c>
      <c r="F431" t="str">
        <f ca="1"/>
        <v>REVO</v>
      </c>
      <c r="G431">
        <f ca="1"/>
        <v>147</v>
      </c>
      <c r="H431" t="str">
        <f ca="1"/>
        <v>Pictet Fund Accounting</v>
      </c>
      <c r="I431" t="str">
        <f ca="1"/>
        <v>17502065-0</v>
      </c>
      <c r="J431" s="50">
        <f ca="1"/>
        <v>44775</v>
      </c>
      <c r="K431">
        <f ca="1"/>
        <v>6551.37</v>
      </c>
      <c r="L431" t="str">
        <f ca="1"/>
        <v>67879-0</v>
      </c>
      <c r="M431" t="str">
        <f ca="1"/>
        <v>Current account Pictet &amp; Cie (Europe) S.A. @@@</v>
      </c>
      <c r="N431" t="str">
        <f ca="1"/>
        <v>CHF</v>
      </c>
      <c r="O431" t="str">
        <f ca="1"/>
        <v>Cash</v>
      </c>
      <c r="P431" t="str">
        <f ca="1"/>
        <v/>
      </c>
      <c r="Q431" t="str">
        <f ca="1"/>
        <v/>
      </c>
      <c r="R431" t="str">
        <f ca="1"/>
        <v/>
      </c>
      <c r="S431" t="str">
        <f ca="1"/>
        <v/>
      </c>
      <c r="T431" t="str">
        <f ca="1"/>
        <v/>
      </c>
      <c r="U431">
        <f ca="1">IF(LEFT(_xll.BDP($T431,U$2),4)="#N/A",0,_xll.BDP($T431,U$2))</f>
        <v>0</v>
      </c>
      <c r="V431" t="e">
        <f>_xll.BDP(#REF!,V$2)</f>
        <v>#REF!</v>
      </c>
      <c r="W431" t="e">
        <f>_xll.BDP(#REF!,W$2)</f>
        <v>#REF!</v>
      </c>
      <c r="X431" t="e">
        <f>_xll.BDP(#REF!,X$2)</f>
        <v>#REF!</v>
      </c>
      <c r="Y431" t="e">
        <f>_xll.BDP(#REF!,Y$2)</f>
        <v>#REF!</v>
      </c>
      <c r="Z431" t="e">
        <f>_xll.BDP(#REF!,Z$2)</f>
        <v>#REF!</v>
      </c>
      <c r="AA431" t="e">
        <f>_xll.BDP(#REF!,AA$2)</f>
        <v>#REF!</v>
      </c>
      <c r="AD431">
        <f ca="1">IF(LEFT(_xll.BDP($T431,AD$2),4)="#N/A",-1,_xll.BDP($T431,AD$2))</f>
        <v>-1</v>
      </c>
    </row>
    <row r="432" spans="1:30">
      <c r="A432">
        <f ca="1"/>
        <v>149</v>
      </c>
      <c r="B432" t="str">
        <f ca="1"/>
        <v>iW ALTERNATIVE SIF</v>
      </c>
      <c r="C432" t="str">
        <f ca="1"/>
        <v>iW ALTERNATIVE SIF</v>
      </c>
      <c r="D432">
        <f ca="1"/>
        <v>60568</v>
      </c>
      <c r="E432" t="str">
        <f ca="1"/>
        <v>REVO</v>
      </c>
      <c r="F432" t="str">
        <f ca="1"/>
        <v>REVO</v>
      </c>
      <c r="G432">
        <f ca="1"/>
        <v>147</v>
      </c>
      <c r="H432" t="str">
        <f ca="1"/>
        <v>Pictet Fund Accounting</v>
      </c>
      <c r="I432" t="str">
        <f ca="1"/>
        <v>17502056-0</v>
      </c>
      <c r="J432" s="50">
        <f ca="1"/>
        <v>44775</v>
      </c>
      <c r="K432">
        <f ca="1"/>
        <v>1312417.57</v>
      </c>
      <c r="L432" t="str">
        <f ca="1"/>
        <v>158372-0</v>
      </c>
      <c r="M432" t="str">
        <f ca="1"/>
        <v>Purchase forward contract ~ Bought CHF 1,312,417.57 Sold USD 1,368,871.03</v>
      </c>
      <c r="N432" t="str">
        <f ca="1"/>
        <v>CHF</v>
      </c>
      <c r="O432" t="str">
        <f ca="1"/>
        <v>Currency Forward</v>
      </c>
      <c r="P432" t="str">
        <f ca="1"/>
        <v/>
      </c>
      <c r="Q432" t="str">
        <f ca="1"/>
        <v/>
      </c>
      <c r="R432" t="str">
        <f ca="1"/>
        <v/>
      </c>
      <c r="S432" t="str">
        <f ca="1"/>
        <v/>
      </c>
      <c r="T432" t="str">
        <f ca="1"/>
        <v/>
      </c>
      <c r="U432">
        <f ca="1">IF(LEFT(_xll.BDP($T432,U$2),4)="#N/A",0,_xll.BDP($T432,U$2))</f>
        <v>0</v>
      </c>
      <c r="V432" t="e">
        <f>_xll.BDP(#REF!,V$2)</f>
        <v>#REF!</v>
      </c>
      <c r="W432" t="e">
        <f>_xll.BDP(#REF!,W$2)</f>
        <v>#REF!</v>
      </c>
      <c r="X432" t="e">
        <f>_xll.BDP(#REF!,X$2)</f>
        <v>#REF!</v>
      </c>
      <c r="Y432" t="e">
        <f>_xll.BDP(#REF!,Y$2)</f>
        <v>#REF!</v>
      </c>
      <c r="Z432" t="e">
        <f>_xll.BDP(#REF!,Z$2)</f>
        <v>#REF!</v>
      </c>
      <c r="AA432" t="e">
        <f>_xll.BDP(#REF!,AA$2)</f>
        <v>#REF!</v>
      </c>
      <c r="AD432">
        <f ca="1">IF(LEFT(_xll.BDP($T432,AD$2),4)="#N/A",-1,_xll.BDP($T432,AD$2))</f>
        <v>-1</v>
      </c>
    </row>
    <row r="433" spans="1:30">
      <c r="A433">
        <f ca="1"/>
        <v>149</v>
      </c>
      <c r="B433" t="str">
        <f ca="1"/>
        <v>iW ALTERNATIVE SIF</v>
      </c>
      <c r="C433" t="str">
        <f ca="1"/>
        <v>iW ALTERNATIVE SIF</v>
      </c>
      <c r="D433">
        <f ca="1"/>
        <v>60568</v>
      </c>
      <c r="E433" t="str">
        <f ca="1"/>
        <v>REVO</v>
      </c>
      <c r="F433" t="str">
        <f ca="1"/>
        <v>REVO</v>
      </c>
      <c r="G433">
        <f ca="1"/>
        <v>147</v>
      </c>
      <c r="H433" t="str">
        <f ca="1"/>
        <v>Pictet Fund Accounting</v>
      </c>
      <c r="I433" t="str">
        <f ca="1"/>
        <v>17502063-0</v>
      </c>
      <c r="J433" s="50">
        <f ca="1"/>
        <v>44775</v>
      </c>
      <c r="K433">
        <f ca="1"/>
        <v>-1368871.03</v>
      </c>
      <c r="L433" t="str">
        <f ca="1"/>
        <v>123446-0</v>
      </c>
      <c r="M433" t="str">
        <f ca="1"/>
        <v>Purchase forward contract ~ Bought CHF 1,312,417.57 Sold USD 1,368,871.03</v>
      </c>
      <c r="N433" t="str">
        <f ca="1"/>
        <v>USD</v>
      </c>
      <c r="O433" t="str">
        <f ca="1"/>
        <v>Currency Forward</v>
      </c>
      <c r="P433" t="str">
        <f ca="1"/>
        <v/>
      </c>
      <c r="Q433" t="str">
        <f ca="1"/>
        <v/>
      </c>
      <c r="R433" t="str">
        <f ca="1"/>
        <v/>
      </c>
      <c r="S433" t="str">
        <f ca="1"/>
        <v/>
      </c>
      <c r="T433" t="str">
        <f ca="1"/>
        <v/>
      </c>
      <c r="U433">
        <f ca="1">IF(LEFT(_xll.BDP($T433,U$2),4)="#N/A",0,_xll.BDP($T433,U$2))</f>
        <v>0</v>
      </c>
      <c r="V433" t="e">
        <f>_xll.BDP(#REF!,V$2)</f>
        <v>#REF!</v>
      </c>
      <c r="W433" t="e">
        <f>_xll.BDP(#REF!,W$2)</f>
        <v>#REF!</v>
      </c>
      <c r="X433" t="e">
        <f>_xll.BDP(#REF!,X$2)</f>
        <v>#REF!</v>
      </c>
      <c r="Y433" t="e">
        <f>_xll.BDP(#REF!,Y$2)</f>
        <v>#REF!</v>
      </c>
      <c r="Z433" t="e">
        <f>_xll.BDP(#REF!,Z$2)</f>
        <v>#REF!</v>
      </c>
      <c r="AA433" t="e">
        <f>_xll.BDP(#REF!,AA$2)</f>
        <v>#REF!</v>
      </c>
      <c r="AD433">
        <f ca="1">IF(LEFT(_xll.BDP($T433,AD$2),4)="#N/A",-1,_xll.BDP($T433,AD$2))</f>
        <v>-1</v>
      </c>
    </row>
    <row r="434" spans="1:30">
      <c r="A434">
        <f ca="1"/>
        <v>149</v>
      </c>
      <c r="B434" t="str">
        <f ca="1"/>
        <v>iW ALTERNATIVE SIF</v>
      </c>
      <c r="C434" t="str">
        <f ca="1"/>
        <v>iW ALTERNATIVE SIF</v>
      </c>
      <c r="D434">
        <f ca="1"/>
        <v>60568</v>
      </c>
      <c r="E434" t="str">
        <f ca="1"/>
        <v>REVO</v>
      </c>
      <c r="F434" t="str">
        <f ca="1"/>
        <v>REVO</v>
      </c>
      <c r="G434">
        <f ca="1"/>
        <v>147</v>
      </c>
      <c r="H434" t="str">
        <f ca="1"/>
        <v>Pictet Fund Accounting</v>
      </c>
      <c r="I434" t="str">
        <f ca="1"/>
        <v>17502081-0</v>
      </c>
      <c r="J434" s="50">
        <f ca="1"/>
        <v>44775</v>
      </c>
      <c r="K434">
        <f ca="1"/>
        <v>-1524708.88</v>
      </c>
      <c r="L434" t="str">
        <f ca="1"/>
        <v>158373-0</v>
      </c>
      <c r="M434" t="str">
        <f ca="1"/>
        <v>Purchase forward contract ~ Bought EUR 1,499,964.49 Sold USD 1,524,708.88</v>
      </c>
      <c r="N434" t="str">
        <f ca="1"/>
        <v>USD</v>
      </c>
      <c r="O434" t="str">
        <f ca="1"/>
        <v>Currency Forward</v>
      </c>
      <c r="P434" t="str">
        <f ca="1"/>
        <v/>
      </c>
      <c r="Q434" t="str">
        <f ca="1"/>
        <v/>
      </c>
      <c r="R434" t="str">
        <f ca="1"/>
        <v/>
      </c>
      <c r="S434" t="str">
        <f ca="1"/>
        <v/>
      </c>
      <c r="T434" t="str">
        <f ca="1"/>
        <v/>
      </c>
      <c r="U434">
        <f ca="1">IF(LEFT(_xll.BDP($T434,U$2),4)="#N/A",0,_xll.BDP($T434,U$2))</f>
        <v>0</v>
      </c>
      <c r="V434" t="e">
        <f>_xll.BDP(#REF!,V$2)</f>
        <v>#REF!</v>
      </c>
      <c r="W434" t="e">
        <f>_xll.BDP(#REF!,W$2)</f>
        <v>#REF!</v>
      </c>
      <c r="X434" t="e">
        <f>_xll.BDP(#REF!,X$2)</f>
        <v>#REF!</v>
      </c>
      <c r="Y434" t="e">
        <f>_xll.BDP(#REF!,Y$2)</f>
        <v>#REF!</v>
      </c>
      <c r="Z434" t="e">
        <f>_xll.BDP(#REF!,Z$2)</f>
        <v>#REF!</v>
      </c>
      <c r="AA434" t="e">
        <f>_xll.BDP(#REF!,AA$2)</f>
        <v>#REF!</v>
      </c>
      <c r="AD434">
        <f ca="1">IF(LEFT(_xll.BDP($T434,AD$2),4)="#N/A",-1,_xll.BDP($T434,AD$2))</f>
        <v>-1</v>
      </c>
    </row>
    <row r="435" spans="1:30">
      <c r="A435">
        <f ca="1"/>
        <v>149</v>
      </c>
      <c r="B435" t="str">
        <f ca="1"/>
        <v>iW ALTERNATIVE SIF</v>
      </c>
      <c r="C435" t="str">
        <f ca="1"/>
        <v>iW ALTERNATIVE SIF</v>
      </c>
      <c r="D435">
        <f ca="1"/>
        <v>60568</v>
      </c>
      <c r="E435" t="str">
        <f ca="1"/>
        <v>REVO</v>
      </c>
      <c r="F435" t="str">
        <f ca="1"/>
        <v>REVO</v>
      </c>
      <c r="G435">
        <f ca="1"/>
        <v>147</v>
      </c>
      <c r="H435" t="str">
        <f ca="1"/>
        <v>Pictet Fund Accounting</v>
      </c>
      <c r="I435" t="str">
        <f ca="1"/>
        <v>17502086-0</v>
      </c>
      <c r="J435" s="50">
        <f ca="1"/>
        <v>44775</v>
      </c>
      <c r="K435">
        <f ca="1"/>
        <v>1499964.49</v>
      </c>
      <c r="L435" t="str">
        <f ca="1"/>
        <v>158374-0</v>
      </c>
      <c r="M435" t="str">
        <f ca="1"/>
        <v>Purchase forward contract ~ Bought EUR 1,499,964.49 Sold USD 1,524,708.88</v>
      </c>
      <c r="N435" t="str">
        <f ca="1"/>
        <v>EUR</v>
      </c>
      <c r="O435" t="str">
        <f ca="1"/>
        <v>Currency Forward</v>
      </c>
      <c r="P435" t="str">
        <f ca="1"/>
        <v/>
      </c>
      <c r="Q435" t="str">
        <f ca="1"/>
        <v/>
      </c>
      <c r="R435" t="str">
        <f ca="1"/>
        <v/>
      </c>
      <c r="S435" t="str">
        <f ca="1"/>
        <v/>
      </c>
      <c r="T435" t="str">
        <f ca="1"/>
        <v/>
      </c>
      <c r="U435">
        <f ca="1">IF(LEFT(_xll.BDP($T435,U$2),4)="#N/A",0,_xll.BDP($T435,U$2))</f>
        <v>0</v>
      </c>
      <c r="V435" t="e">
        <f>_xll.BDP(#REF!,V$2)</f>
        <v>#REF!</v>
      </c>
      <c r="W435" t="e">
        <f>_xll.BDP(#REF!,W$2)</f>
        <v>#REF!</v>
      </c>
      <c r="X435" t="e">
        <f>_xll.BDP(#REF!,X$2)</f>
        <v>#REF!</v>
      </c>
      <c r="Y435" t="e">
        <f>_xll.BDP(#REF!,Y$2)</f>
        <v>#REF!</v>
      </c>
      <c r="Z435" t="e">
        <f>_xll.BDP(#REF!,Z$2)</f>
        <v>#REF!</v>
      </c>
      <c r="AA435" t="e">
        <f>_xll.BDP(#REF!,AA$2)</f>
        <v>#REF!</v>
      </c>
      <c r="AD435">
        <f ca="1">IF(LEFT(_xll.BDP($T435,AD$2),4)="#N/A",-1,_xll.BDP($T435,AD$2))</f>
        <v>-1</v>
      </c>
    </row>
    <row r="436" spans="1:30">
      <c r="A436">
        <f ca="1"/>
        <v>149</v>
      </c>
      <c r="B436" t="str">
        <f ca="1"/>
        <v>iW ALTERNATIVE SIF</v>
      </c>
      <c r="C436" t="str">
        <f ca="1"/>
        <v>iW ALTERNATIVE SIF</v>
      </c>
      <c r="D436">
        <f ca="1"/>
        <v>60568</v>
      </c>
      <c r="E436" t="str">
        <f ca="1"/>
        <v>REVO</v>
      </c>
      <c r="F436" t="str">
        <f ca="1"/>
        <v>REVO</v>
      </c>
      <c r="G436">
        <f ca="1"/>
        <v>147</v>
      </c>
      <c r="H436" t="str">
        <f ca="1"/>
        <v>Pictet Fund Accounting</v>
      </c>
      <c r="I436" t="str">
        <f ca="1"/>
        <v>17502071-0</v>
      </c>
      <c r="J436" s="50">
        <f ca="1"/>
        <v>44775</v>
      </c>
      <c r="K436">
        <f ca="1"/>
        <v>550000</v>
      </c>
      <c r="L436" t="str">
        <f ca="1"/>
        <v>109421-0</v>
      </c>
      <c r="M436" t="str">
        <f ca="1"/>
        <v>Call USD 04.05.21  S</v>
      </c>
      <c r="N436" t="str">
        <f ca="1"/>
        <v>USD</v>
      </c>
      <c r="O436" t="str">
        <f ca="1"/>
        <v>Margins</v>
      </c>
      <c r="P436" t="str">
        <f ca="1"/>
        <v/>
      </c>
      <c r="Q436" t="str">
        <f ca="1"/>
        <v/>
      </c>
      <c r="R436" t="str">
        <f ca="1"/>
        <v/>
      </c>
      <c r="S436" t="str">
        <f ca="1"/>
        <v/>
      </c>
      <c r="T436" t="str">
        <f ca="1"/>
        <v/>
      </c>
      <c r="U436">
        <f ca="1">IF(LEFT(_xll.BDP($T436,U$2),4)="#N/A",0,_xll.BDP($T436,U$2))</f>
        <v>0</v>
      </c>
      <c r="V436" t="e">
        <f>_xll.BDP(#REF!,V$2)</f>
        <v>#REF!</v>
      </c>
      <c r="W436" t="e">
        <f>_xll.BDP(#REF!,W$2)</f>
        <v>#REF!</v>
      </c>
      <c r="X436" t="e">
        <f>_xll.BDP(#REF!,X$2)</f>
        <v>#REF!</v>
      </c>
      <c r="Y436" t="e">
        <f>_xll.BDP(#REF!,Y$2)</f>
        <v>#REF!</v>
      </c>
      <c r="Z436" t="e">
        <f>_xll.BDP(#REF!,Z$2)</f>
        <v>#REF!</v>
      </c>
      <c r="AA436" t="e">
        <f>_xll.BDP(#REF!,AA$2)</f>
        <v>#REF!</v>
      </c>
      <c r="AD436">
        <f ca="1">IF(LEFT(_xll.BDP($T436,AD$2),4)="#N/A",-1,_xll.BDP($T436,AD$2))</f>
        <v>-1</v>
      </c>
    </row>
    <row r="437" spans="1:30">
      <c r="A437">
        <f ca="1"/>
        <v>149</v>
      </c>
      <c r="B437" t="str">
        <f ca="1"/>
        <v>iW ALTERNATIVE SIF</v>
      </c>
      <c r="C437" t="str">
        <f ca="1"/>
        <v>iW ALTERNATIVE SIF</v>
      </c>
      <c r="D437">
        <f ca="1"/>
        <v>60568</v>
      </c>
      <c r="E437" t="str">
        <f ca="1"/>
        <v>REVO</v>
      </c>
      <c r="F437" t="str">
        <f ca="1"/>
        <v>REVO</v>
      </c>
      <c r="G437">
        <f ca="1"/>
        <v>147</v>
      </c>
      <c r="H437" t="str">
        <f ca="1"/>
        <v>Pictet Fund Accounting</v>
      </c>
      <c r="I437" t="str">
        <f ca="1"/>
        <v>17502070-0</v>
      </c>
      <c r="J437" s="50">
        <f ca="1"/>
        <v>44775</v>
      </c>
      <c r="K437">
        <f ca="1"/>
        <v>550000</v>
      </c>
      <c r="L437" t="str">
        <f ca="1"/>
        <v>127315-0</v>
      </c>
      <c r="M437" t="str">
        <f ca="1"/>
        <v>Call USD 05.11.21  N</v>
      </c>
      <c r="N437" t="str">
        <f ca="1"/>
        <v>USD</v>
      </c>
      <c r="O437" t="str">
        <f ca="1"/>
        <v>Margins</v>
      </c>
      <c r="P437" t="str">
        <f ca="1"/>
        <v/>
      </c>
      <c r="Q437" t="str">
        <f ca="1"/>
        <v/>
      </c>
      <c r="R437" t="str">
        <f ca="1"/>
        <v/>
      </c>
      <c r="S437" t="str">
        <f ca="1"/>
        <v/>
      </c>
      <c r="T437" t="str">
        <f ca="1"/>
        <v/>
      </c>
      <c r="U437">
        <f ca="1">IF(LEFT(_xll.BDP($T437,U$2),4)="#N/A",0,_xll.BDP($T437,U$2))</f>
        <v>0</v>
      </c>
      <c r="V437" t="e">
        <f>_xll.BDP(#REF!,V$2)</f>
        <v>#REF!</v>
      </c>
      <c r="W437" t="e">
        <f>_xll.BDP(#REF!,W$2)</f>
        <v>#REF!</v>
      </c>
      <c r="X437" t="e">
        <f>_xll.BDP(#REF!,X$2)</f>
        <v>#REF!</v>
      </c>
      <c r="Y437" t="e">
        <f>_xll.BDP(#REF!,Y$2)</f>
        <v>#REF!</v>
      </c>
      <c r="Z437" t="e">
        <f>_xll.BDP(#REF!,Z$2)</f>
        <v>#REF!</v>
      </c>
      <c r="AA437" t="e">
        <f>_xll.BDP(#REF!,AA$2)</f>
        <v>#REF!</v>
      </c>
      <c r="AD437">
        <f ca="1">IF(LEFT(_xll.BDP($T437,AD$2),4)="#N/A",-1,_xll.BDP($T437,AD$2))</f>
        <v>-1</v>
      </c>
    </row>
    <row r="438" spans="1:30">
      <c r="A438">
        <f ca="1"/>
        <v>149</v>
      </c>
      <c r="B438" t="str">
        <f ca="1"/>
        <v>iW ALTERNATIVE SIF</v>
      </c>
      <c r="C438" t="str">
        <f ca="1"/>
        <v>iW ALTERNATIVE SIF</v>
      </c>
      <c r="D438">
        <f ca="1"/>
        <v>60568</v>
      </c>
      <c r="E438" t="str">
        <f ca="1"/>
        <v>REVO</v>
      </c>
      <c r="F438" t="str">
        <f ca="1"/>
        <v>REVO</v>
      </c>
      <c r="G438">
        <f ca="1"/>
        <v>147</v>
      </c>
      <c r="H438" t="str">
        <f ca="1"/>
        <v>Pictet Fund Accounting</v>
      </c>
      <c r="I438" t="str">
        <f ca="1"/>
        <v>17502073-0</v>
      </c>
      <c r="J438" s="50">
        <f ca="1"/>
        <v>44775</v>
      </c>
      <c r="K438">
        <f ca="1"/>
        <v>550000</v>
      </c>
      <c r="L438" t="str">
        <f ca="1"/>
        <v>60602-0</v>
      </c>
      <c r="M438" t="str">
        <f ca="1"/>
        <v>Call USD 06.02.20  A</v>
      </c>
      <c r="N438" t="str">
        <f ca="1"/>
        <v>USD</v>
      </c>
      <c r="O438" t="str">
        <f ca="1"/>
        <v>Margins</v>
      </c>
      <c r="P438" t="str">
        <f ca="1"/>
        <v/>
      </c>
      <c r="Q438" t="str">
        <f ca="1"/>
        <v/>
      </c>
      <c r="R438" t="str">
        <f ca="1"/>
        <v/>
      </c>
      <c r="S438" t="str">
        <f ca="1"/>
        <v/>
      </c>
      <c r="T438" t="str">
        <f ca="1"/>
        <v/>
      </c>
      <c r="U438">
        <f ca="1">IF(LEFT(_xll.BDP($T438,U$2),4)="#N/A",0,_xll.BDP($T438,U$2))</f>
        <v>0</v>
      </c>
      <c r="V438" t="e">
        <f>_xll.BDP(#REF!,V$2)</f>
        <v>#REF!</v>
      </c>
      <c r="W438" t="e">
        <f>_xll.BDP(#REF!,W$2)</f>
        <v>#REF!</v>
      </c>
      <c r="X438" t="e">
        <f>_xll.BDP(#REF!,X$2)</f>
        <v>#REF!</v>
      </c>
      <c r="Y438" t="e">
        <f>_xll.BDP(#REF!,Y$2)</f>
        <v>#REF!</v>
      </c>
      <c r="Z438" t="e">
        <f>_xll.BDP(#REF!,Z$2)</f>
        <v>#REF!</v>
      </c>
      <c r="AA438" t="e">
        <f>_xll.BDP(#REF!,AA$2)</f>
        <v>#REF!</v>
      </c>
      <c r="AD438">
        <f ca="1">IF(LEFT(_xll.BDP($T438,AD$2),4)="#N/A",-1,_xll.BDP($T438,AD$2))</f>
        <v>-1</v>
      </c>
    </row>
    <row r="439" spans="1:30">
      <c r="A439">
        <f ca="1"/>
        <v>149</v>
      </c>
      <c r="B439" t="str">
        <f ca="1"/>
        <v>iW ALTERNATIVE SIF</v>
      </c>
      <c r="C439" t="str">
        <f ca="1"/>
        <v>iW ALTERNATIVE SIF</v>
      </c>
      <c r="D439">
        <f ca="1"/>
        <v>60568</v>
      </c>
      <c r="E439" t="str">
        <f ca="1"/>
        <v>REVO</v>
      </c>
      <c r="F439" t="str">
        <f ca="1"/>
        <v>REVO</v>
      </c>
      <c r="G439">
        <f ca="1"/>
        <v>147</v>
      </c>
      <c r="H439" t="str">
        <f ca="1"/>
        <v>Pictet Fund Accounting</v>
      </c>
      <c r="I439" t="str">
        <f ca="1"/>
        <v>17502068-0</v>
      </c>
      <c r="J439" s="50">
        <f ca="1"/>
        <v>44775</v>
      </c>
      <c r="K439">
        <f ca="1"/>
        <v>550000</v>
      </c>
      <c r="L439" t="str">
        <f ca="1"/>
        <v>60595-0</v>
      </c>
      <c r="M439" t="str">
        <f ca="1"/>
        <v>Call USD 06.02.20  B</v>
      </c>
      <c r="N439" t="str">
        <f ca="1"/>
        <v>USD</v>
      </c>
      <c r="O439" t="str">
        <f ca="1"/>
        <v>Margins</v>
      </c>
      <c r="P439" t="str">
        <f ca="1"/>
        <v/>
      </c>
      <c r="Q439" t="str">
        <f ca="1"/>
        <v/>
      </c>
      <c r="R439" t="str">
        <f ca="1"/>
        <v/>
      </c>
      <c r="S439" t="str">
        <f ca="1"/>
        <v/>
      </c>
      <c r="T439" t="str">
        <f ca="1"/>
        <v/>
      </c>
      <c r="U439">
        <f ca="1">IF(LEFT(_xll.BDP($T439,U$2),4)="#N/A",0,_xll.BDP($T439,U$2))</f>
        <v>0</v>
      </c>
      <c r="V439" t="e">
        <f>_xll.BDP(#REF!,V$2)</f>
        <v>#REF!</v>
      </c>
      <c r="W439" t="e">
        <f>_xll.BDP(#REF!,W$2)</f>
        <v>#REF!</v>
      </c>
      <c r="X439" t="e">
        <f>_xll.BDP(#REF!,X$2)</f>
        <v>#REF!</v>
      </c>
      <c r="Y439" t="e">
        <f>_xll.BDP(#REF!,Y$2)</f>
        <v>#REF!</v>
      </c>
      <c r="Z439" t="e">
        <f>_xll.BDP(#REF!,Z$2)</f>
        <v>#REF!</v>
      </c>
      <c r="AA439" t="e">
        <f>_xll.BDP(#REF!,AA$2)</f>
        <v>#REF!</v>
      </c>
      <c r="AD439">
        <f ca="1">IF(LEFT(_xll.BDP($T439,AD$2),4)="#N/A",-1,_xll.BDP($T439,AD$2))</f>
        <v>-1</v>
      </c>
    </row>
    <row r="440" spans="1:30">
      <c r="A440">
        <f ca="1"/>
        <v>149</v>
      </c>
      <c r="B440" t="str">
        <f ca="1"/>
        <v>iW ALTERNATIVE SIF</v>
      </c>
      <c r="C440" t="str">
        <f ca="1"/>
        <v>iW ALTERNATIVE SIF</v>
      </c>
      <c r="D440">
        <f ca="1"/>
        <v>60568</v>
      </c>
      <c r="E440" t="str">
        <f ca="1"/>
        <v>REVO</v>
      </c>
      <c r="F440" t="str">
        <f ca="1"/>
        <v>REVO</v>
      </c>
      <c r="G440">
        <f ca="1"/>
        <v>147</v>
      </c>
      <c r="H440" t="str">
        <f ca="1"/>
        <v>Pictet Fund Accounting</v>
      </c>
      <c r="I440" t="str">
        <f ca="1"/>
        <v>17502077-0</v>
      </c>
      <c r="J440" s="50">
        <f ca="1"/>
        <v>44775</v>
      </c>
      <c r="K440">
        <f ca="1"/>
        <v>550000</v>
      </c>
      <c r="L440" t="str">
        <f ca="1"/>
        <v>68173-0</v>
      </c>
      <c r="M440" t="str">
        <f ca="1"/>
        <v>Call USD 08.04.20  C</v>
      </c>
      <c r="N440" t="str">
        <f ca="1"/>
        <v>USD</v>
      </c>
      <c r="O440" t="str">
        <f ca="1"/>
        <v>Margins</v>
      </c>
      <c r="P440" t="str">
        <f ca="1"/>
        <v/>
      </c>
      <c r="Q440" t="str">
        <f ca="1"/>
        <v/>
      </c>
      <c r="R440" t="str">
        <f ca="1"/>
        <v/>
      </c>
      <c r="S440" t="str">
        <f ca="1"/>
        <v/>
      </c>
      <c r="T440" t="str">
        <f ca="1"/>
        <v/>
      </c>
      <c r="U440">
        <f ca="1">IF(LEFT(_xll.BDP($T440,U$2),4)="#N/A",0,_xll.BDP($T440,U$2))</f>
        <v>0</v>
      </c>
      <c r="V440" t="e">
        <f>_xll.BDP(#REF!,V$2)</f>
        <v>#REF!</v>
      </c>
      <c r="W440" t="e">
        <f>_xll.BDP(#REF!,W$2)</f>
        <v>#REF!</v>
      </c>
      <c r="X440" t="e">
        <f>_xll.BDP(#REF!,X$2)</f>
        <v>#REF!</v>
      </c>
      <c r="Y440" t="e">
        <f>_xll.BDP(#REF!,Y$2)</f>
        <v>#REF!</v>
      </c>
      <c r="Z440" t="e">
        <f>_xll.BDP(#REF!,Z$2)</f>
        <v>#REF!</v>
      </c>
      <c r="AA440" t="e">
        <f>_xll.BDP(#REF!,AA$2)</f>
        <v>#REF!</v>
      </c>
      <c r="AD440">
        <f ca="1">IF(LEFT(_xll.BDP($T440,AD$2),4)="#N/A",-1,_xll.BDP($T440,AD$2))</f>
        <v>-1</v>
      </c>
    </row>
    <row r="441" spans="1:30">
      <c r="A441">
        <f ca="1"/>
        <v>149</v>
      </c>
      <c r="B441" t="str">
        <f ca="1"/>
        <v>iW ALTERNATIVE SIF</v>
      </c>
      <c r="C441" t="str">
        <f ca="1"/>
        <v>iW ALTERNATIVE SIF</v>
      </c>
      <c r="D441">
        <f ca="1"/>
        <v>60568</v>
      </c>
      <c r="E441" t="str">
        <f ca="1"/>
        <v>REVO</v>
      </c>
      <c r="F441" t="str">
        <f ca="1"/>
        <v>REVO</v>
      </c>
      <c r="G441">
        <f ca="1"/>
        <v>147</v>
      </c>
      <c r="H441" t="str">
        <f ca="1"/>
        <v>Pictet Fund Accounting</v>
      </c>
      <c r="I441" t="str">
        <f ca="1"/>
        <v>17502080-0</v>
      </c>
      <c r="J441" s="50">
        <f ca="1"/>
        <v>44775</v>
      </c>
      <c r="K441">
        <f ca="1"/>
        <v>530.6</v>
      </c>
      <c r="L441" t="str">
        <f ca="1"/>
        <v>60607-0</v>
      </c>
      <c r="M441" t="str">
        <f ca="1"/>
        <v>Accr. Inter. Call deposit</v>
      </c>
      <c r="N441" t="str">
        <f ca="1"/>
        <v>USD</v>
      </c>
      <c r="O441" t="str">
        <f ca="1"/>
        <v>Uncategorized (Treasury)</v>
      </c>
      <c r="P441" t="str">
        <f ca="1"/>
        <v/>
      </c>
      <c r="Q441" t="str">
        <f ca="1"/>
        <v/>
      </c>
      <c r="R441" t="str">
        <f ca="1"/>
        <v/>
      </c>
      <c r="S441" t="str">
        <f ca="1"/>
        <v/>
      </c>
      <c r="T441" t="str">
        <f ca="1"/>
        <v/>
      </c>
      <c r="U441">
        <f ca="1">IF(LEFT(_xll.BDP($T441,U$2),4)="#N/A",0,_xll.BDP($T441,U$2))</f>
        <v>0</v>
      </c>
      <c r="V441" t="e">
        <f>_xll.BDP(#REF!,V$2)</f>
        <v>#REF!</v>
      </c>
      <c r="W441" t="e">
        <f>_xll.BDP(#REF!,W$2)</f>
        <v>#REF!</v>
      </c>
      <c r="X441" t="e">
        <f>_xll.BDP(#REF!,X$2)</f>
        <v>#REF!</v>
      </c>
      <c r="Y441" t="e">
        <f>_xll.BDP(#REF!,Y$2)</f>
        <v>#REF!</v>
      </c>
      <c r="Z441" t="e">
        <f>_xll.BDP(#REF!,Z$2)</f>
        <v>#REF!</v>
      </c>
      <c r="AA441" t="e">
        <f>_xll.BDP(#REF!,AA$2)</f>
        <v>#REF!</v>
      </c>
      <c r="AD441">
        <f ca="1">IF(LEFT(_xll.BDP($T441,AD$2),4)="#N/A",-1,_xll.BDP($T441,AD$2))</f>
        <v>-1</v>
      </c>
    </row>
    <row r="442" spans="1:30">
      <c r="A442">
        <f ca="1"/>
        <v>149</v>
      </c>
      <c r="B442" t="str">
        <f ca="1"/>
        <v>iW ALTERNATIVE SIF</v>
      </c>
      <c r="C442" t="str">
        <f ca="1"/>
        <v>iW ALTERNATIVE SIF</v>
      </c>
      <c r="D442">
        <f ca="1"/>
        <v>60568</v>
      </c>
      <c r="E442" t="str">
        <f ca="1"/>
        <v>REVO</v>
      </c>
      <c r="F442" t="str">
        <f ca="1"/>
        <v>REVO</v>
      </c>
      <c r="G442">
        <f ca="1"/>
        <v>147</v>
      </c>
      <c r="H442" t="str">
        <f ca="1"/>
        <v>Pictet Fund Accounting</v>
      </c>
      <c r="I442" t="str">
        <f ca="1"/>
        <v>17502076-0</v>
      </c>
      <c r="J442" s="50">
        <f ca="1"/>
        <v>44775</v>
      </c>
      <c r="K442">
        <f ca="1"/>
        <v>-2833.55</v>
      </c>
      <c r="L442" t="str">
        <f ca="1"/>
        <v>146998-0</v>
      </c>
      <c r="M442" t="str">
        <f ca="1"/>
        <v>Amortisation Others fees</v>
      </c>
      <c r="N442" t="str">
        <f ca="1"/>
        <v>USD</v>
      </c>
      <c r="O442" t="str">
        <f ca="1"/>
        <v>Uncategorized (Treasury)</v>
      </c>
      <c r="P442" t="str">
        <f ca="1"/>
        <v/>
      </c>
      <c r="Q442" t="str">
        <f ca="1"/>
        <v/>
      </c>
      <c r="R442" t="str">
        <f ca="1"/>
        <v/>
      </c>
      <c r="S442" t="str">
        <f ca="1"/>
        <v/>
      </c>
      <c r="T442" t="str">
        <f ca="1"/>
        <v/>
      </c>
      <c r="U442">
        <f ca="1">IF(LEFT(_xll.BDP($T442,U$2),4)="#N/A",0,_xll.BDP($T442,U$2))</f>
        <v>0</v>
      </c>
      <c r="V442" t="e">
        <f>_xll.BDP(#REF!,V$2)</f>
        <v>#REF!</v>
      </c>
      <c r="W442" t="e">
        <f>_xll.BDP(#REF!,W$2)</f>
        <v>#REF!</v>
      </c>
      <c r="X442" t="e">
        <f>_xll.BDP(#REF!,X$2)</f>
        <v>#REF!</v>
      </c>
      <c r="Y442" t="e">
        <f>_xll.BDP(#REF!,Y$2)</f>
        <v>#REF!</v>
      </c>
      <c r="Z442" t="e">
        <f>_xll.BDP(#REF!,Z$2)</f>
        <v>#REF!</v>
      </c>
      <c r="AA442" t="e">
        <f>_xll.BDP(#REF!,AA$2)</f>
        <v>#REF!</v>
      </c>
      <c r="AD442">
        <f ca="1">IF(LEFT(_xll.BDP($T442,AD$2),4)="#N/A",-1,_xll.BDP($T442,AD$2))</f>
        <v>-1</v>
      </c>
    </row>
    <row r="443" spans="1:30">
      <c r="A443">
        <f ca="1"/>
        <v>149</v>
      </c>
      <c r="B443" t="str">
        <f ca="1"/>
        <v>iW ALTERNATIVE SIF</v>
      </c>
      <c r="C443" t="str">
        <f ca="1"/>
        <v>iW ALTERNATIVE SIF</v>
      </c>
      <c r="D443">
        <f ca="1"/>
        <v>60568</v>
      </c>
      <c r="E443" t="str">
        <f ca="1"/>
        <v>REVO</v>
      </c>
      <c r="F443" t="str">
        <f ca="1"/>
        <v>REVO</v>
      </c>
      <c r="G443">
        <f ca="1"/>
        <v>147</v>
      </c>
      <c r="H443" t="str">
        <f ca="1"/>
        <v>Pictet Fund Accounting</v>
      </c>
      <c r="I443" t="str">
        <f ca="1"/>
        <v>17502078-0</v>
      </c>
      <c r="J443" s="50">
        <f ca="1"/>
        <v>44775</v>
      </c>
      <c r="K443">
        <f ca="1"/>
        <v>5763.37</v>
      </c>
      <c r="L443" t="str">
        <f ca="1"/>
        <v>146999-0</v>
      </c>
      <c r="M443" t="str">
        <f ca="1"/>
        <v>Other Fees</v>
      </c>
      <c r="N443" t="str">
        <f ca="1"/>
        <v>USD</v>
      </c>
      <c r="O443" t="str">
        <f ca="1"/>
        <v>Uncategorized (Treasury)</v>
      </c>
      <c r="P443" t="str">
        <f ca="1"/>
        <v/>
      </c>
      <c r="Q443" t="str">
        <f ca="1"/>
        <v/>
      </c>
      <c r="R443" t="str">
        <f ca="1"/>
        <v/>
      </c>
      <c r="S443" t="str">
        <f ca="1"/>
        <v/>
      </c>
      <c r="T443" t="str">
        <f ca="1"/>
        <v/>
      </c>
      <c r="U443">
        <f ca="1">IF(LEFT(_xll.BDP($T443,U$2),4)="#N/A",0,_xll.BDP($T443,U$2))</f>
        <v>0</v>
      </c>
      <c r="V443" t="e">
        <f>_xll.BDP(#REF!,V$2)</f>
        <v>#REF!</v>
      </c>
      <c r="W443" t="e">
        <f>_xll.BDP(#REF!,W$2)</f>
        <v>#REF!</v>
      </c>
      <c r="X443" t="e">
        <f>_xll.BDP(#REF!,X$2)</f>
        <v>#REF!</v>
      </c>
      <c r="Y443" t="e">
        <f>_xll.BDP(#REF!,Y$2)</f>
        <v>#REF!</v>
      </c>
      <c r="Z443" t="e">
        <f>_xll.BDP(#REF!,Z$2)</f>
        <v>#REF!</v>
      </c>
      <c r="AA443" t="e">
        <f>_xll.BDP(#REF!,AA$2)</f>
        <v>#REF!</v>
      </c>
      <c r="AD443">
        <f ca="1">IF(LEFT(_xll.BDP($T443,AD$2),4)="#N/A",-1,_xll.BDP($T443,AD$2))</f>
        <v>-1</v>
      </c>
    </row>
    <row r="444" spans="1:30">
      <c r="A444">
        <f ca="1"/>
        <v>149</v>
      </c>
      <c r="B444" t="str">
        <f ca="1"/>
        <v>iW ALTERNATIVE SIF</v>
      </c>
      <c r="C444" t="str">
        <f ca="1"/>
        <v>iW ALTERNATIVE SIF</v>
      </c>
      <c r="D444">
        <f ca="1"/>
        <v>60568</v>
      </c>
      <c r="E444" t="str">
        <f ca="1"/>
        <v>REVO</v>
      </c>
      <c r="F444" t="str">
        <f ca="1"/>
        <v>REVO</v>
      </c>
      <c r="G444">
        <f ca="1"/>
        <v>147</v>
      </c>
      <c r="H444" t="str">
        <f ca="1"/>
        <v>Pictet Fund Accounting</v>
      </c>
      <c r="I444" t="str">
        <f ca="1"/>
        <v>17502058-0</v>
      </c>
      <c r="J444" s="50">
        <f ca="1"/>
        <v>44775</v>
      </c>
      <c r="K444">
        <f ca="1"/>
        <v>-557.22</v>
      </c>
      <c r="L444" t="str">
        <f ca="1"/>
        <v>67876-0</v>
      </c>
      <c r="M444" t="str">
        <f ca="1"/>
        <v>Prov Admin Hedging fees</v>
      </c>
      <c r="N444" t="str">
        <f ca="1"/>
        <v>USD</v>
      </c>
      <c r="O444" t="str">
        <f ca="1"/>
        <v>Uncategorized (Treasury)</v>
      </c>
      <c r="P444" t="str">
        <f ca="1"/>
        <v/>
      </c>
      <c r="Q444" t="str">
        <f ca="1"/>
        <v/>
      </c>
      <c r="R444" t="str">
        <f ca="1"/>
        <v/>
      </c>
      <c r="S444" t="str">
        <f ca="1"/>
        <v/>
      </c>
      <c r="T444" t="str">
        <f ca="1"/>
        <v/>
      </c>
      <c r="U444">
        <f ca="1">IF(LEFT(_xll.BDP($T444,U$2),4)="#N/A",0,_xll.BDP($T444,U$2))</f>
        <v>0</v>
      </c>
      <c r="V444" t="e">
        <f>_xll.BDP(#REF!,V$2)</f>
        <v>#REF!</v>
      </c>
      <c r="W444" t="e">
        <f>_xll.BDP(#REF!,W$2)</f>
        <v>#REF!</v>
      </c>
      <c r="X444" t="e">
        <f>_xll.BDP(#REF!,X$2)</f>
        <v>#REF!</v>
      </c>
      <c r="Y444" t="e">
        <f>_xll.BDP(#REF!,Y$2)</f>
        <v>#REF!</v>
      </c>
      <c r="Z444" t="e">
        <f>_xll.BDP(#REF!,Z$2)</f>
        <v>#REF!</v>
      </c>
      <c r="AA444" t="e">
        <f>_xll.BDP(#REF!,AA$2)</f>
        <v>#REF!</v>
      </c>
      <c r="AD444">
        <f ca="1">IF(LEFT(_xll.BDP($T444,AD$2),4)="#N/A",-1,_xll.BDP($T444,AD$2))</f>
        <v>-1</v>
      </c>
    </row>
    <row r="445" spans="1:30">
      <c r="A445">
        <f ca="1"/>
        <v>149</v>
      </c>
      <c r="B445" t="str">
        <f ca="1"/>
        <v>iW ALTERNATIVE SIF</v>
      </c>
      <c r="C445" t="str">
        <f ca="1"/>
        <v>iW ALTERNATIVE SIF</v>
      </c>
      <c r="D445">
        <f ca="1"/>
        <v>60568</v>
      </c>
      <c r="E445" t="str">
        <f ca="1"/>
        <v>REVO</v>
      </c>
      <c r="F445" t="str">
        <f ca="1"/>
        <v>REVO</v>
      </c>
      <c r="G445">
        <f ca="1"/>
        <v>147</v>
      </c>
      <c r="H445" t="str">
        <f ca="1"/>
        <v>Pictet Fund Accounting</v>
      </c>
      <c r="I445" t="str">
        <f ca="1"/>
        <v>17502079-0</v>
      </c>
      <c r="J445" s="50">
        <f ca="1"/>
        <v>44775</v>
      </c>
      <c r="K445">
        <f ca="1"/>
        <v>-184.44</v>
      </c>
      <c r="L445" t="str">
        <f ca="1"/>
        <v>60606-0</v>
      </c>
      <c r="M445" t="str">
        <f ca="1"/>
        <v>Prov Audit Annual report</v>
      </c>
      <c r="N445" t="str">
        <f ca="1"/>
        <v>USD</v>
      </c>
      <c r="O445" t="str">
        <f ca="1"/>
        <v>Uncategorized (Treasury)</v>
      </c>
      <c r="P445" t="str">
        <f ca="1"/>
        <v/>
      </c>
      <c r="Q445" t="str">
        <f ca="1"/>
        <v/>
      </c>
      <c r="R445" t="str">
        <f ca="1"/>
        <v/>
      </c>
      <c r="S445" t="str">
        <f ca="1"/>
        <v/>
      </c>
      <c r="T445" t="str">
        <f ca="1"/>
        <v/>
      </c>
      <c r="U445">
        <f ca="1">IF(LEFT(_xll.BDP($T445,U$2),4)="#N/A",0,_xll.BDP($T445,U$2))</f>
        <v>0</v>
      </c>
      <c r="V445" t="e">
        <f>_xll.BDP(#REF!,V$2)</f>
        <v>#REF!</v>
      </c>
      <c r="W445" t="e">
        <f>_xll.BDP(#REF!,W$2)</f>
        <v>#REF!</v>
      </c>
      <c r="X445" t="e">
        <f>_xll.BDP(#REF!,X$2)</f>
        <v>#REF!</v>
      </c>
      <c r="Y445" t="e">
        <f>_xll.BDP(#REF!,Y$2)</f>
        <v>#REF!</v>
      </c>
      <c r="Z445" t="e">
        <f>_xll.BDP(#REF!,Z$2)</f>
        <v>#REF!</v>
      </c>
      <c r="AA445" t="e">
        <f>_xll.BDP(#REF!,AA$2)</f>
        <v>#REF!</v>
      </c>
      <c r="AD445">
        <f ca="1">IF(LEFT(_xll.BDP($T445,AD$2),4)="#N/A",-1,_xll.BDP($T445,AD$2))</f>
        <v>-1</v>
      </c>
    </row>
    <row r="446" spans="1:30">
      <c r="A446">
        <f ca="1"/>
        <v>149</v>
      </c>
      <c r="B446" t="str">
        <f ca="1"/>
        <v>iW ALTERNATIVE SIF</v>
      </c>
      <c r="C446" t="str">
        <f ca="1"/>
        <v>iW ALTERNATIVE SIF</v>
      </c>
      <c r="D446">
        <f ca="1"/>
        <v>60568</v>
      </c>
      <c r="E446" t="str">
        <f ca="1"/>
        <v>REVO</v>
      </c>
      <c r="F446" t="str">
        <f ca="1"/>
        <v>REVO</v>
      </c>
      <c r="G446">
        <f ca="1"/>
        <v>147</v>
      </c>
      <c r="H446" t="str">
        <f ca="1"/>
        <v>Pictet Fund Accounting</v>
      </c>
      <c r="I446" t="str">
        <f ca="1"/>
        <v>17502082-0</v>
      </c>
      <c r="J446" s="50">
        <f ca="1"/>
        <v>44775</v>
      </c>
      <c r="K446">
        <f ca="1"/>
        <v>-140.22</v>
      </c>
      <c r="L446" t="str">
        <f ca="1"/>
        <v>60608-0</v>
      </c>
      <c r="M446" t="str">
        <f ca="1"/>
        <v>Prov Risk Management fees</v>
      </c>
      <c r="N446" t="str">
        <f ca="1"/>
        <v>USD</v>
      </c>
      <c r="O446" t="str">
        <f ca="1"/>
        <v>Uncategorized (Treasury)</v>
      </c>
      <c r="P446" t="str">
        <f ca="1"/>
        <v/>
      </c>
      <c r="Q446" t="str">
        <f ca="1"/>
        <v/>
      </c>
      <c r="R446" t="str">
        <f ca="1"/>
        <v/>
      </c>
      <c r="S446" t="str">
        <f ca="1"/>
        <v/>
      </c>
      <c r="T446" t="str">
        <f ca="1"/>
        <v/>
      </c>
      <c r="U446">
        <f ca="1">IF(LEFT(_xll.BDP($T446,U$2),4)="#N/A",0,_xll.BDP($T446,U$2))</f>
        <v>0</v>
      </c>
      <c r="V446" t="e">
        <f>_xll.BDP(#REF!,V$2)</f>
        <v>#REF!</v>
      </c>
      <c r="W446" t="e">
        <f>_xll.BDP(#REF!,W$2)</f>
        <v>#REF!</v>
      </c>
      <c r="X446" t="e">
        <f>_xll.BDP(#REF!,X$2)</f>
        <v>#REF!</v>
      </c>
      <c r="Y446" t="e">
        <f>_xll.BDP(#REF!,Y$2)</f>
        <v>#REF!</v>
      </c>
      <c r="Z446" t="e">
        <f>_xll.BDP(#REF!,Z$2)</f>
        <v>#REF!</v>
      </c>
      <c r="AA446" t="e">
        <f>_xll.BDP(#REF!,AA$2)</f>
        <v>#REF!</v>
      </c>
      <c r="AD446">
        <f ca="1">IF(LEFT(_xll.BDP($T446,AD$2),4)="#N/A",-1,_xll.BDP($T446,AD$2))</f>
        <v>-1</v>
      </c>
    </row>
    <row r="447" spans="1:30">
      <c r="A447">
        <f ca="1"/>
        <v>149</v>
      </c>
      <c r="B447" t="str">
        <f ca="1"/>
        <v>iW ALTERNATIVE SIF</v>
      </c>
      <c r="C447" t="str">
        <f ca="1"/>
        <v>iW ALTERNATIVE SIF</v>
      </c>
      <c r="D447">
        <f ca="1"/>
        <v>60568</v>
      </c>
      <c r="E447" t="str">
        <f ca="1"/>
        <v>REVO</v>
      </c>
      <c r="F447" t="str">
        <f ca="1"/>
        <v>REVO</v>
      </c>
      <c r="G447">
        <f ca="1"/>
        <v>147</v>
      </c>
      <c r="H447" t="str">
        <f ca="1"/>
        <v>Pictet Fund Accounting</v>
      </c>
      <c r="I447" t="str">
        <f ca="1"/>
        <v>17502060-0</v>
      </c>
      <c r="J447" s="50">
        <f ca="1"/>
        <v>44775</v>
      </c>
      <c r="K447">
        <f ca="1"/>
        <v>-4504.13</v>
      </c>
      <c r="L447" t="str">
        <f ca="1"/>
        <v>133796-0</v>
      </c>
      <c r="M447" t="str">
        <f ca="1"/>
        <v>Prov/paiemt directors fees ant</v>
      </c>
      <c r="N447" t="str">
        <f ca="1"/>
        <v>USD</v>
      </c>
      <c r="O447" t="str">
        <f ca="1"/>
        <v>Uncategorized (Treasury)</v>
      </c>
      <c r="P447" t="str">
        <f ca="1"/>
        <v/>
      </c>
      <c r="Q447" t="str">
        <f ca="1"/>
        <v/>
      </c>
      <c r="R447" t="str">
        <f ca="1"/>
        <v/>
      </c>
      <c r="S447" t="str">
        <f ca="1"/>
        <v/>
      </c>
      <c r="T447" t="str">
        <f ca="1"/>
        <v/>
      </c>
      <c r="U447">
        <f ca="1">IF(LEFT(_xll.BDP($T447,U$2),4)="#N/A",0,_xll.BDP($T447,U$2))</f>
        <v>0</v>
      </c>
      <c r="V447" t="e">
        <f>_xll.BDP(#REF!,V$2)</f>
        <v>#REF!</v>
      </c>
      <c r="W447" t="e">
        <f>_xll.BDP(#REF!,W$2)</f>
        <v>#REF!</v>
      </c>
      <c r="X447" t="e">
        <f>_xll.BDP(#REF!,X$2)</f>
        <v>#REF!</v>
      </c>
      <c r="Y447" t="e">
        <f>_xll.BDP(#REF!,Y$2)</f>
        <v>#REF!</v>
      </c>
      <c r="Z447" t="e">
        <f>_xll.BDP(#REF!,Z$2)</f>
        <v>#REF!</v>
      </c>
      <c r="AA447" t="e">
        <f>_xll.BDP(#REF!,AA$2)</f>
        <v>#REF!</v>
      </c>
      <c r="AD447">
        <f ca="1">IF(LEFT(_xll.BDP($T447,AD$2),4)="#N/A",-1,_xll.BDP($T447,AD$2))</f>
        <v>-1</v>
      </c>
    </row>
    <row r="448" spans="1:30">
      <c r="A448">
        <f ca="1"/>
        <v>149</v>
      </c>
      <c r="B448" t="str">
        <f ca="1"/>
        <v>iW ALTERNATIVE SIF</v>
      </c>
      <c r="C448" t="str">
        <f ca="1"/>
        <v>iW ALTERNATIVE SIF</v>
      </c>
      <c r="D448">
        <f ca="1"/>
        <v>60568</v>
      </c>
      <c r="E448" t="str">
        <f ca="1"/>
        <v>REVO</v>
      </c>
      <c r="F448" t="str">
        <f ca="1"/>
        <v>REVO</v>
      </c>
      <c r="G448">
        <f ca="1"/>
        <v>147</v>
      </c>
      <c r="H448" t="str">
        <f ca="1"/>
        <v>Pictet Fund Accounting</v>
      </c>
      <c r="I448" t="str">
        <f ca="1"/>
        <v>17502075-0</v>
      </c>
      <c r="J448" s="50">
        <f ca="1"/>
        <v>44775</v>
      </c>
      <c r="K448">
        <f ca="1"/>
        <v>-100.63</v>
      </c>
      <c r="L448" t="str">
        <f ca="1"/>
        <v>60603-0</v>
      </c>
      <c r="M448" t="str">
        <f ca="1"/>
        <v>Provis. taxe d'abonnemt 0.01 %</v>
      </c>
      <c r="N448" t="str">
        <f ca="1"/>
        <v>USD</v>
      </c>
      <c r="O448" t="str">
        <f ca="1"/>
        <v>Uncategorized (Treasury)</v>
      </c>
      <c r="P448" t="str">
        <f ca="1"/>
        <v/>
      </c>
      <c r="Q448" t="str">
        <f ca="1"/>
        <v/>
      </c>
      <c r="R448" t="str">
        <f ca="1"/>
        <v/>
      </c>
      <c r="S448" t="str">
        <f ca="1"/>
        <v/>
      </c>
      <c r="T448" t="str">
        <f ca="1"/>
        <v/>
      </c>
      <c r="U448">
        <f ca="1">IF(LEFT(_xll.BDP($T448,U$2),4)="#N/A",0,_xll.BDP($T448,U$2))</f>
        <v>0</v>
      </c>
      <c r="V448" t="e">
        <f>_xll.BDP(#REF!,V$2)</f>
        <v>#REF!</v>
      </c>
      <c r="W448" t="e">
        <f>_xll.BDP(#REF!,W$2)</f>
        <v>#REF!</v>
      </c>
      <c r="X448" t="e">
        <f>_xll.BDP(#REF!,X$2)</f>
        <v>#REF!</v>
      </c>
      <c r="Y448" t="e">
        <f>_xll.BDP(#REF!,Y$2)</f>
        <v>#REF!</v>
      </c>
      <c r="Z448" t="e">
        <f>_xll.BDP(#REF!,Z$2)</f>
        <v>#REF!</v>
      </c>
      <c r="AA448" t="e">
        <f>_xll.BDP(#REF!,AA$2)</f>
        <v>#REF!</v>
      </c>
      <c r="AD448">
        <f ca="1">IF(LEFT(_xll.BDP($T448,AD$2),4)="#N/A",-1,_xll.BDP($T448,AD$2))</f>
        <v>-1</v>
      </c>
    </row>
    <row r="449" spans="1:30">
      <c r="A449">
        <f ca="1"/>
        <v>149</v>
      </c>
      <c r="B449" t="str">
        <f ca="1"/>
        <v>iW ALTERNATIVE SIF</v>
      </c>
      <c r="C449" t="str">
        <f ca="1"/>
        <v>iW ALTERNATIVE SIF</v>
      </c>
      <c r="D449">
        <f ca="1"/>
        <v>60568</v>
      </c>
      <c r="E449" t="str">
        <f ca="1"/>
        <v>REVO</v>
      </c>
      <c r="F449" t="str">
        <f ca="1"/>
        <v>REVO</v>
      </c>
      <c r="G449">
        <f ca="1"/>
        <v>147</v>
      </c>
      <c r="H449" t="str">
        <f ca="1"/>
        <v>Pictet Fund Accounting</v>
      </c>
      <c r="I449" t="str">
        <f ca="1"/>
        <v>17502074-0</v>
      </c>
      <c r="J449" s="50">
        <f ca="1"/>
        <v>44775</v>
      </c>
      <c r="K449">
        <f ca="1"/>
        <v>-7.3</v>
      </c>
      <c r="L449" t="str">
        <f ca="1"/>
        <v>73818-0</v>
      </c>
      <c r="M449" t="str">
        <f ca="1"/>
        <v>Provis/paiemt audit fees ant</v>
      </c>
      <c r="N449" t="str">
        <f ca="1"/>
        <v>USD</v>
      </c>
      <c r="O449" t="str">
        <f ca="1"/>
        <v>Uncategorized (Treasury)</v>
      </c>
      <c r="P449" t="str">
        <f ca="1"/>
        <v/>
      </c>
      <c r="Q449" t="str">
        <f ca="1"/>
        <v/>
      </c>
      <c r="R449" t="str">
        <f ca="1"/>
        <v/>
      </c>
      <c r="S449" t="str">
        <f ca="1"/>
        <v/>
      </c>
      <c r="T449" t="str">
        <f ca="1"/>
        <v/>
      </c>
      <c r="U449">
        <f ca="1">IF(LEFT(_xll.BDP($T449,U$2),4)="#N/A",0,_xll.BDP($T449,U$2))</f>
        <v>0</v>
      </c>
      <c r="V449" t="e">
        <f>_xll.BDP(#REF!,V$2)</f>
        <v>#REF!</v>
      </c>
      <c r="W449" t="e">
        <f>_xll.BDP(#REF!,W$2)</f>
        <v>#REF!</v>
      </c>
      <c r="X449" t="e">
        <f>_xll.BDP(#REF!,X$2)</f>
        <v>#REF!</v>
      </c>
      <c r="Y449" t="e">
        <f>_xll.BDP(#REF!,Y$2)</f>
        <v>#REF!</v>
      </c>
      <c r="Z449" t="e">
        <f>_xll.BDP(#REF!,Z$2)</f>
        <v>#REF!</v>
      </c>
      <c r="AA449" t="e">
        <f>_xll.BDP(#REF!,AA$2)</f>
        <v>#REF!</v>
      </c>
      <c r="AD449">
        <f ca="1">IF(LEFT(_xll.BDP($T449,AD$2),4)="#N/A",-1,_xll.BDP($T449,AD$2))</f>
        <v>-1</v>
      </c>
    </row>
    <row r="450" spans="1:30">
      <c r="A450">
        <f ca="1"/>
        <v>149</v>
      </c>
      <c r="B450" t="str">
        <f ca="1"/>
        <v>iW ALTERNATIVE SIF</v>
      </c>
      <c r="C450" t="str">
        <f ca="1"/>
        <v>iW ALTERNATIVE SIF</v>
      </c>
      <c r="D450">
        <f ca="1"/>
        <v>60568</v>
      </c>
      <c r="E450" t="str">
        <f ca="1"/>
        <v>REVO</v>
      </c>
      <c r="F450" t="str">
        <f ca="1"/>
        <v>REVO</v>
      </c>
      <c r="G450">
        <f ca="1"/>
        <v>147</v>
      </c>
      <c r="H450" t="str">
        <f ca="1"/>
        <v>Pictet Fund Accounting</v>
      </c>
      <c r="I450" t="str">
        <f ca="1"/>
        <v>17502061-0</v>
      </c>
      <c r="J450" s="50">
        <f ca="1"/>
        <v>44775</v>
      </c>
      <c r="K450">
        <f ca="1"/>
        <v>-3248.55</v>
      </c>
      <c r="L450" t="str">
        <f ca="1"/>
        <v>60588-0</v>
      </c>
      <c r="M450" t="str">
        <f ca="1"/>
        <v>Provision administration fee</v>
      </c>
      <c r="N450" t="str">
        <f ca="1"/>
        <v>USD</v>
      </c>
      <c r="O450" t="str">
        <f ca="1"/>
        <v>Uncategorized (Treasury)</v>
      </c>
      <c r="P450" t="str">
        <f ca="1"/>
        <v/>
      </c>
      <c r="Q450" t="str">
        <f ca="1"/>
        <v/>
      </c>
      <c r="R450" t="str">
        <f ca="1"/>
        <v/>
      </c>
      <c r="S450" t="str">
        <f ca="1"/>
        <v/>
      </c>
      <c r="T450" t="str">
        <f ca="1"/>
        <v/>
      </c>
      <c r="U450">
        <f ca="1">IF(LEFT(_xll.BDP($T450,U$2),4)="#N/A",0,_xll.BDP($T450,U$2))</f>
        <v>0</v>
      </c>
      <c r="V450" t="e">
        <f>_xll.BDP(#REF!,V$2)</f>
        <v>#REF!</v>
      </c>
      <c r="W450" t="e">
        <f>_xll.BDP(#REF!,W$2)</f>
        <v>#REF!</v>
      </c>
      <c r="X450" t="e">
        <f>_xll.BDP(#REF!,X$2)</f>
        <v>#REF!</v>
      </c>
      <c r="Y450" t="e">
        <f>_xll.BDP(#REF!,Y$2)</f>
        <v>#REF!</v>
      </c>
      <c r="Z450" t="e">
        <f>_xll.BDP(#REF!,Z$2)</f>
        <v>#REF!</v>
      </c>
      <c r="AA450" t="e">
        <f>_xll.BDP(#REF!,AA$2)</f>
        <v>#REF!</v>
      </c>
      <c r="AD450">
        <f ca="1">IF(LEFT(_xll.BDP($T450,AD$2),4)="#N/A",-1,_xll.BDP($T450,AD$2))</f>
        <v>-1</v>
      </c>
    </row>
    <row r="451" spans="1:30">
      <c r="A451">
        <f ca="1"/>
        <v>149</v>
      </c>
      <c r="B451" t="str">
        <f ca="1"/>
        <v>iW ALTERNATIVE SIF</v>
      </c>
      <c r="C451" t="str">
        <f ca="1"/>
        <v>iW ALTERNATIVE SIF</v>
      </c>
      <c r="D451">
        <f ca="1"/>
        <v>60568</v>
      </c>
      <c r="E451" t="str">
        <f ca="1"/>
        <v>REVO</v>
      </c>
      <c r="F451" t="str">
        <f ca="1"/>
        <v>REVO</v>
      </c>
      <c r="G451">
        <f ca="1"/>
        <v>147</v>
      </c>
      <c r="H451" t="str">
        <f ca="1"/>
        <v>Pictet Fund Accounting</v>
      </c>
      <c r="I451" t="str">
        <f ca="1"/>
        <v>17502084-0</v>
      </c>
      <c r="J451" s="50">
        <f ca="1"/>
        <v>44775</v>
      </c>
      <c r="K451">
        <f ca="1"/>
        <v>-539.4</v>
      </c>
      <c r="L451" t="str">
        <f ca="1"/>
        <v>70421-0</v>
      </c>
      <c r="M451" t="str">
        <f ca="1"/>
        <v>Provision AIFM Fees</v>
      </c>
      <c r="N451" t="str">
        <f ca="1"/>
        <v>USD</v>
      </c>
      <c r="O451" t="str">
        <f ca="1"/>
        <v>Uncategorized (Treasury)</v>
      </c>
      <c r="P451" t="str">
        <f ca="1"/>
        <v/>
      </c>
      <c r="Q451" t="str">
        <f ca="1"/>
        <v/>
      </c>
      <c r="R451" t="str">
        <f ca="1"/>
        <v/>
      </c>
      <c r="S451" t="str">
        <f ca="1"/>
        <v/>
      </c>
      <c r="T451" t="str">
        <f ca="1"/>
        <v/>
      </c>
      <c r="U451">
        <f ca="1">IF(LEFT(_xll.BDP($T451,U$2),4)="#N/A",0,_xll.BDP($T451,U$2))</f>
        <v>0</v>
      </c>
      <c r="V451" t="e">
        <f>_xll.BDP(#REF!,V$2)</f>
        <v>#REF!</v>
      </c>
      <c r="W451" t="e">
        <f>_xll.BDP(#REF!,W$2)</f>
        <v>#REF!</v>
      </c>
      <c r="X451" t="e">
        <f>_xll.BDP(#REF!,X$2)</f>
        <v>#REF!</v>
      </c>
      <c r="Y451" t="e">
        <f>_xll.BDP(#REF!,Y$2)</f>
        <v>#REF!</v>
      </c>
      <c r="Z451" t="e">
        <f>_xll.BDP(#REF!,Z$2)</f>
        <v>#REF!</v>
      </c>
      <c r="AA451" t="e">
        <f>_xll.BDP(#REF!,AA$2)</f>
        <v>#REF!</v>
      </c>
      <c r="AD451">
        <f ca="1">IF(LEFT(_xll.BDP($T451,AD$2),4)="#N/A",-1,_xll.BDP($T451,AD$2))</f>
        <v>-1</v>
      </c>
    </row>
    <row r="452" spans="1:30">
      <c r="A452">
        <f ca="1"/>
        <v>149</v>
      </c>
      <c r="B452" t="str">
        <f ca="1"/>
        <v>iW ALTERNATIVE SIF</v>
      </c>
      <c r="C452" t="str">
        <f ca="1"/>
        <v>iW ALTERNATIVE SIF</v>
      </c>
      <c r="D452">
        <f ca="1"/>
        <v>60568</v>
      </c>
      <c r="E452" t="str">
        <f ca="1"/>
        <v>REVO</v>
      </c>
      <c r="F452" t="str">
        <f ca="1"/>
        <v>REVO</v>
      </c>
      <c r="G452">
        <f ca="1"/>
        <v>147</v>
      </c>
      <c r="H452" t="str">
        <f ca="1"/>
        <v>Pictet Fund Accounting</v>
      </c>
      <c r="I452" t="str">
        <f ca="1"/>
        <v>17502083-0</v>
      </c>
      <c r="J452" s="50">
        <f ca="1"/>
        <v>44775</v>
      </c>
      <c r="K452">
        <f ca="1"/>
        <v>-9.8000000000000007</v>
      </c>
      <c r="L452" t="str">
        <f ca="1"/>
        <v>123130-0</v>
      </c>
      <c r="M452" t="str">
        <f ca="1"/>
        <v>Provision AIFM Legal Reporting</v>
      </c>
      <c r="N452" t="str">
        <f ca="1"/>
        <v>USD</v>
      </c>
      <c r="O452" t="str">
        <f ca="1"/>
        <v>Uncategorized (Treasury)</v>
      </c>
      <c r="P452" t="str">
        <f ca="1"/>
        <v/>
      </c>
      <c r="Q452" t="str">
        <f ca="1"/>
        <v/>
      </c>
      <c r="R452" t="str">
        <f ca="1"/>
        <v/>
      </c>
      <c r="S452" t="str">
        <f ca="1"/>
        <v/>
      </c>
      <c r="T452" t="str">
        <f ca="1"/>
        <v/>
      </c>
      <c r="U452">
        <f ca="1">IF(LEFT(_xll.BDP($T452,U$2),4)="#N/A",0,_xll.BDP($T452,U$2))</f>
        <v>0</v>
      </c>
      <c r="V452" t="e">
        <f>_xll.BDP(#REF!,V$2)</f>
        <v>#REF!</v>
      </c>
      <c r="W452" t="e">
        <f>_xll.BDP(#REF!,W$2)</f>
        <v>#REF!</v>
      </c>
      <c r="X452" t="e">
        <f>_xll.BDP(#REF!,X$2)</f>
        <v>#REF!</v>
      </c>
      <c r="Y452" t="e">
        <f>_xll.BDP(#REF!,Y$2)</f>
        <v>#REF!</v>
      </c>
      <c r="Z452" t="e">
        <f>_xll.BDP(#REF!,Z$2)</f>
        <v>#REF!</v>
      </c>
      <c r="AA452" t="e">
        <f>_xll.BDP(#REF!,AA$2)</f>
        <v>#REF!</v>
      </c>
      <c r="AD452">
        <f ca="1">IF(LEFT(_xll.BDP($T452,AD$2),4)="#N/A",-1,_xll.BDP($T452,AD$2))</f>
        <v>-1</v>
      </c>
    </row>
    <row r="453" spans="1:30">
      <c r="A453">
        <f ca="1"/>
        <v>149</v>
      </c>
      <c r="B453" t="str">
        <f ca="1"/>
        <v>iW ALTERNATIVE SIF</v>
      </c>
      <c r="C453" t="str">
        <f ca="1"/>
        <v>iW ALTERNATIVE SIF</v>
      </c>
      <c r="D453">
        <f ca="1"/>
        <v>60568</v>
      </c>
      <c r="E453" t="str">
        <f ca="1"/>
        <v>REVO</v>
      </c>
      <c r="F453" t="str">
        <f ca="1"/>
        <v>REVO</v>
      </c>
      <c r="G453">
        <f ca="1"/>
        <v>147</v>
      </c>
      <c r="H453" t="str">
        <f ca="1"/>
        <v>Pictet Fund Accounting</v>
      </c>
      <c r="I453" t="str">
        <f ca="1"/>
        <v>17502066-0</v>
      </c>
      <c r="J453" s="50">
        <f ca="1"/>
        <v>44775</v>
      </c>
      <c r="K453">
        <f ca="1"/>
        <v>-7230.68</v>
      </c>
      <c r="L453" t="str">
        <f ca="1"/>
        <v>60591-0</v>
      </c>
      <c r="M453" t="str">
        <f ca="1"/>
        <v>Provision audit fees</v>
      </c>
      <c r="N453" t="str">
        <f ca="1"/>
        <v>USD</v>
      </c>
      <c r="O453" t="str">
        <f ca="1"/>
        <v>Uncategorized (Treasury)</v>
      </c>
      <c r="P453" t="str">
        <f ca="1"/>
        <v/>
      </c>
      <c r="Q453" t="str">
        <f ca="1"/>
        <v/>
      </c>
      <c r="R453" t="str">
        <f ca="1"/>
        <v/>
      </c>
      <c r="S453" t="str">
        <f ca="1"/>
        <v/>
      </c>
      <c r="T453" t="str">
        <f ca="1"/>
        <v/>
      </c>
      <c r="U453">
        <f ca="1">IF(LEFT(_xll.BDP($T453,U$2),4)="#N/A",0,_xll.BDP($T453,U$2))</f>
        <v>0</v>
      </c>
      <c r="V453" t="e">
        <f>_xll.BDP(#REF!,V$2)</f>
        <v>#REF!</v>
      </c>
      <c r="W453" t="e">
        <f>_xll.BDP(#REF!,W$2)</f>
        <v>#REF!</v>
      </c>
      <c r="X453" t="e">
        <f>_xll.BDP(#REF!,X$2)</f>
        <v>#REF!</v>
      </c>
      <c r="Y453" t="e">
        <f>_xll.BDP(#REF!,Y$2)</f>
        <v>#REF!</v>
      </c>
      <c r="Z453" t="e">
        <f>_xll.BDP(#REF!,Z$2)</f>
        <v>#REF!</v>
      </c>
      <c r="AA453" t="e">
        <f>_xll.BDP(#REF!,AA$2)</f>
        <v>#REF!</v>
      </c>
      <c r="AD453">
        <f ca="1">IF(LEFT(_xll.BDP($T453,AD$2),4)="#N/A",-1,_xll.BDP($T453,AD$2))</f>
        <v>-1</v>
      </c>
    </row>
    <row r="454" spans="1:30">
      <c r="A454">
        <f ca="1"/>
        <v>149</v>
      </c>
      <c r="B454" t="str">
        <f ca="1"/>
        <v>iW ALTERNATIVE SIF</v>
      </c>
      <c r="C454" t="str">
        <f ca="1"/>
        <v>iW ALTERNATIVE SIF</v>
      </c>
      <c r="D454">
        <f ca="1"/>
        <v>60568</v>
      </c>
      <c r="E454" t="str">
        <f ca="1"/>
        <v>REVO</v>
      </c>
      <c r="F454" t="str">
        <f ca="1"/>
        <v>REVO</v>
      </c>
      <c r="G454">
        <f ca="1"/>
        <v>147</v>
      </c>
      <c r="H454" t="str">
        <f ca="1"/>
        <v>Pictet Fund Accounting</v>
      </c>
      <c r="I454" t="str">
        <f ca="1"/>
        <v>17502057-0</v>
      </c>
      <c r="J454" s="50">
        <f ca="1"/>
        <v>44775</v>
      </c>
      <c r="K454">
        <f ca="1"/>
        <v>-2320.36</v>
      </c>
      <c r="L454" t="str">
        <f ca="1"/>
        <v>60584-0</v>
      </c>
      <c r="M454" t="str">
        <f ca="1"/>
        <v>Provision custody fee</v>
      </c>
      <c r="N454" t="str">
        <f ca="1"/>
        <v>USD</v>
      </c>
      <c r="O454" t="str">
        <f ca="1"/>
        <v>Uncategorized (Treasury)</v>
      </c>
      <c r="P454" t="str">
        <f ca="1"/>
        <v/>
      </c>
      <c r="Q454" t="str">
        <f ca="1"/>
        <v/>
      </c>
      <c r="R454" t="str">
        <f ca="1"/>
        <v/>
      </c>
      <c r="S454" t="str">
        <f ca="1"/>
        <v/>
      </c>
      <c r="T454" t="str">
        <f ca="1"/>
        <v/>
      </c>
      <c r="U454">
        <f ca="1">IF(LEFT(_xll.BDP($T454,U$2),4)="#N/A",0,_xll.BDP($T454,U$2))</f>
        <v>0</v>
      </c>
      <c r="V454" t="e">
        <f>_xll.BDP(#REF!,V$2)</f>
        <v>#REF!</v>
      </c>
      <c r="W454" t="e">
        <f>_xll.BDP(#REF!,W$2)</f>
        <v>#REF!</v>
      </c>
      <c r="X454" t="e">
        <f>_xll.BDP(#REF!,X$2)</f>
        <v>#REF!</v>
      </c>
      <c r="Y454" t="e">
        <f>_xll.BDP(#REF!,Y$2)</f>
        <v>#REF!</v>
      </c>
      <c r="Z454" t="e">
        <f>_xll.BDP(#REF!,Z$2)</f>
        <v>#REF!</v>
      </c>
      <c r="AA454" t="e">
        <f>_xll.BDP(#REF!,AA$2)</f>
        <v>#REF!</v>
      </c>
      <c r="AD454">
        <f ca="1">IF(LEFT(_xll.BDP($T454,AD$2),4)="#N/A",-1,_xll.BDP($T454,AD$2))</f>
        <v>-1</v>
      </c>
    </row>
    <row r="455" spans="1:30">
      <c r="A455">
        <f ca="1"/>
        <v>149</v>
      </c>
      <c r="B455" t="str">
        <f ca="1"/>
        <v>iW ALTERNATIVE SIF</v>
      </c>
      <c r="C455" t="str">
        <f ca="1"/>
        <v>iW ALTERNATIVE SIF</v>
      </c>
      <c r="D455">
        <f ca="1"/>
        <v>60568</v>
      </c>
      <c r="E455" t="str">
        <f ca="1"/>
        <v>REVO</v>
      </c>
      <c r="F455" t="str">
        <f ca="1"/>
        <v>REVO</v>
      </c>
      <c r="G455">
        <f ca="1"/>
        <v>147</v>
      </c>
      <c r="H455" t="str">
        <f ca="1"/>
        <v>Pictet Fund Accounting</v>
      </c>
      <c r="I455" t="str">
        <f ca="1"/>
        <v>17502069-0</v>
      </c>
      <c r="J455" s="50">
        <f ca="1"/>
        <v>44775</v>
      </c>
      <c r="K455">
        <f ca="1"/>
        <v>-461.03</v>
      </c>
      <c r="L455" t="str">
        <f ca="1"/>
        <v>60599-0</v>
      </c>
      <c r="M455" t="str">
        <f ca="1"/>
        <v>Provision Deposit supervi duty</v>
      </c>
      <c r="N455" t="str">
        <f ca="1"/>
        <v>USD</v>
      </c>
      <c r="O455" t="str">
        <f ca="1"/>
        <v>Uncategorized (Treasury)</v>
      </c>
      <c r="P455" t="str">
        <f ca="1"/>
        <v/>
      </c>
      <c r="Q455" t="str">
        <f ca="1"/>
        <v/>
      </c>
      <c r="R455" t="str">
        <f ca="1"/>
        <v/>
      </c>
      <c r="S455" t="str">
        <f ca="1"/>
        <v/>
      </c>
      <c r="T455" t="str">
        <f ca="1"/>
        <v/>
      </c>
      <c r="U455">
        <f ca="1">IF(LEFT(_xll.BDP($T455,U$2),4)="#N/A",0,_xll.BDP($T455,U$2))</f>
        <v>0</v>
      </c>
      <c r="V455" t="e">
        <f>_xll.BDP(#REF!,V$2)</f>
        <v>#REF!</v>
      </c>
      <c r="W455" t="e">
        <f>_xll.BDP(#REF!,W$2)</f>
        <v>#REF!</v>
      </c>
      <c r="X455" t="e">
        <f>_xll.BDP(#REF!,X$2)</f>
        <v>#REF!</v>
      </c>
      <c r="Y455" t="e">
        <f>_xll.BDP(#REF!,Y$2)</f>
        <v>#REF!</v>
      </c>
      <c r="Z455" t="e">
        <f>_xll.BDP(#REF!,Z$2)</f>
        <v>#REF!</v>
      </c>
      <c r="AA455" t="e">
        <f>_xll.BDP(#REF!,AA$2)</f>
        <v>#REF!</v>
      </c>
      <c r="AD455">
        <f ca="1">IF(LEFT(_xll.BDP($T455,AD$2),4)="#N/A",-1,_xll.BDP($T455,AD$2))</f>
        <v>-1</v>
      </c>
    </row>
    <row r="456" spans="1:30">
      <c r="A456">
        <f ca="1"/>
        <v>149</v>
      </c>
      <c r="B456" t="str">
        <f ca="1"/>
        <v>iW ALTERNATIVE SIF</v>
      </c>
      <c r="C456" t="str">
        <f ca="1"/>
        <v>iW ALTERNATIVE SIF</v>
      </c>
      <c r="D456">
        <f ca="1"/>
        <v>60568</v>
      </c>
      <c r="E456" t="str">
        <f ca="1"/>
        <v>REVO</v>
      </c>
      <c r="F456" t="str">
        <f ca="1"/>
        <v>REVO</v>
      </c>
      <c r="G456">
        <f ca="1"/>
        <v>147</v>
      </c>
      <c r="H456" t="str">
        <f ca="1"/>
        <v>Pictet Fund Accounting</v>
      </c>
      <c r="I456" t="str">
        <f ca="1"/>
        <v>17502062-0</v>
      </c>
      <c r="J456" s="50">
        <f ca="1"/>
        <v>44775</v>
      </c>
      <c r="K456">
        <f ca="1"/>
        <v>6323.94</v>
      </c>
      <c r="L456" t="str">
        <f ca="1"/>
        <v>60590-0</v>
      </c>
      <c r="M456" t="str">
        <f ca="1"/>
        <v>Provision directors fees</v>
      </c>
      <c r="N456" t="str">
        <f ca="1"/>
        <v>USD</v>
      </c>
      <c r="O456" t="str">
        <f ca="1"/>
        <v>Uncategorized (Treasury)</v>
      </c>
      <c r="P456" t="str">
        <f ca="1"/>
        <v/>
      </c>
      <c r="Q456" t="str">
        <f ca="1"/>
        <v/>
      </c>
      <c r="R456" t="str">
        <f ca="1"/>
        <v/>
      </c>
      <c r="S456" t="str">
        <f ca="1"/>
        <v/>
      </c>
      <c r="T456" t="str">
        <f ca="1"/>
        <v/>
      </c>
      <c r="U456">
        <f ca="1">IF(LEFT(_xll.BDP($T456,U$2),4)="#N/A",0,_xll.BDP($T456,U$2))</f>
        <v>0</v>
      </c>
      <c r="V456" t="e">
        <f>_xll.BDP(#REF!,V$2)</f>
        <v>#REF!</v>
      </c>
      <c r="W456" t="e">
        <f>_xll.BDP(#REF!,W$2)</f>
        <v>#REF!</v>
      </c>
      <c r="X456" t="e">
        <f>_xll.BDP(#REF!,X$2)</f>
        <v>#REF!</v>
      </c>
      <c r="Y456" t="e">
        <f>_xll.BDP(#REF!,Y$2)</f>
        <v>#REF!</v>
      </c>
      <c r="Z456" t="e">
        <f>_xll.BDP(#REF!,Z$2)</f>
        <v>#REF!</v>
      </c>
      <c r="AA456" t="e">
        <f>_xll.BDP(#REF!,AA$2)</f>
        <v>#REF!</v>
      </c>
      <c r="AD456">
        <f ca="1">IF(LEFT(_xll.BDP($T456,AD$2),4)="#N/A",-1,_xll.BDP($T456,AD$2))</f>
        <v>-1</v>
      </c>
    </row>
    <row r="457" spans="1:30">
      <c r="A457">
        <f ca="1"/>
        <v>149</v>
      </c>
      <c r="B457" t="str">
        <f ca="1"/>
        <v>iW ALTERNATIVE SIF</v>
      </c>
      <c r="C457" t="str">
        <f ca="1"/>
        <v>iW ALTERNATIVE SIF</v>
      </c>
      <c r="D457">
        <f ca="1"/>
        <v>60568</v>
      </c>
      <c r="E457" t="str">
        <f ca="1"/>
        <v>REVO</v>
      </c>
      <c r="F457" t="str">
        <f ca="1"/>
        <v>REVO</v>
      </c>
      <c r="G457">
        <f ca="1"/>
        <v>147</v>
      </c>
      <c r="H457" t="str">
        <f ca="1"/>
        <v>Pictet Fund Accounting</v>
      </c>
      <c r="I457" t="str">
        <f ca="1"/>
        <v>17502072-0</v>
      </c>
      <c r="J457" s="50">
        <f ca="1"/>
        <v>44775</v>
      </c>
      <c r="K457">
        <f ca="1"/>
        <v>-34.42</v>
      </c>
      <c r="L457" t="str">
        <f ca="1"/>
        <v>60600-0</v>
      </c>
      <c r="M457" t="str">
        <f ca="1"/>
        <v>Provision Domiciliation fees</v>
      </c>
      <c r="N457" t="str">
        <f ca="1"/>
        <v>USD</v>
      </c>
      <c r="O457" t="str">
        <f ca="1"/>
        <v>Uncategorized (Treasury)</v>
      </c>
      <c r="P457" t="str">
        <f ca="1"/>
        <v/>
      </c>
      <c r="Q457" t="str">
        <f ca="1"/>
        <v/>
      </c>
      <c r="R457" t="str">
        <f ca="1"/>
        <v/>
      </c>
      <c r="S457" t="str">
        <f ca="1"/>
        <v/>
      </c>
      <c r="T457" t="str">
        <f ca="1"/>
        <v/>
      </c>
      <c r="U457">
        <f ca="1">IF(LEFT(_xll.BDP($T457,U$2),4)="#N/A",0,_xll.BDP($T457,U$2))</f>
        <v>0</v>
      </c>
      <c r="V457" t="e">
        <f>_xll.BDP(#REF!,V$2)</f>
        <v>#REF!</v>
      </c>
      <c r="W457" t="e">
        <f>_xll.BDP(#REF!,W$2)</f>
        <v>#REF!</v>
      </c>
      <c r="X457" t="e">
        <f>_xll.BDP(#REF!,X$2)</f>
        <v>#REF!</v>
      </c>
      <c r="Y457" t="e">
        <f>_xll.BDP(#REF!,Y$2)</f>
        <v>#REF!</v>
      </c>
      <c r="Z457" t="e">
        <f>_xll.BDP(#REF!,Z$2)</f>
        <v>#REF!</v>
      </c>
      <c r="AA457" t="e">
        <f>_xll.BDP(#REF!,AA$2)</f>
        <v>#REF!</v>
      </c>
      <c r="AD457">
        <f ca="1">IF(LEFT(_xll.BDP($T457,AD$2),4)="#N/A",-1,_xll.BDP($T457,AD$2))</f>
        <v>-1</v>
      </c>
    </row>
    <row r="458" spans="1:30">
      <c r="A458">
        <f ca="1"/>
        <v>149</v>
      </c>
      <c r="B458" t="str">
        <f ca="1"/>
        <v>iW ALTERNATIVE SIF</v>
      </c>
      <c r="C458" t="str">
        <f ca="1"/>
        <v>iW ALTERNATIVE SIF</v>
      </c>
      <c r="D458">
        <f ca="1"/>
        <v>60568</v>
      </c>
      <c r="E458" t="str">
        <f ca="1"/>
        <v>REVO</v>
      </c>
      <c r="F458" t="str">
        <f ca="1"/>
        <v>REVO</v>
      </c>
      <c r="G458">
        <f ca="1"/>
        <v>147</v>
      </c>
      <c r="H458" t="str">
        <f ca="1"/>
        <v>Pictet Fund Accounting</v>
      </c>
      <c r="I458" t="str">
        <f ca="1"/>
        <v>17502067-0</v>
      </c>
      <c r="J458" s="50">
        <f ca="1"/>
        <v>44775</v>
      </c>
      <c r="K458">
        <f ca="1"/>
        <v>-230.53</v>
      </c>
      <c r="L458" t="str">
        <f ca="1"/>
        <v>121515-0</v>
      </c>
      <c r="M458" t="str">
        <f ca="1"/>
        <v>Provision Transfer Agency</v>
      </c>
      <c r="N458" t="str">
        <f ca="1"/>
        <v>USD</v>
      </c>
      <c r="O458" t="str">
        <f ca="1"/>
        <v>Uncategorized (Treasury)</v>
      </c>
      <c r="P458" t="str">
        <f ca="1"/>
        <v/>
      </c>
      <c r="Q458" t="str">
        <f ca="1"/>
        <v/>
      </c>
      <c r="R458" t="str">
        <f ca="1"/>
        <v/>
      </c>
      <c r="S458" t="str">
        <f ca="1"/>
        <v/>
      </c>
      <c r="T458" t="str">
        <f ca="1"/>
        <v/>
      </c>
      <c r="U458">
        <f ca="1">IF(LEFT(_xll.BDP($T458,U$2),4)="#N/A",0,_xll.BDP($T458,U$2))</f>
        <v>0</v>
      </c>
      <c r="V458" t="e">
        <f>_xll.BDP(#REF!,V$2)</f>
        <v>#REF!</v>
      </c>
      <c r="W458" t="e">
        <f>_xll.BDP(#REF!,W$2)</f>
        <v>#REF!</v>
      </c>
      <c r="X458" t="e">
        <f>_xll.BDP(#REF!,X$2)</f>
        <v>#REF!</v>
      </c>
      <c r="Y458" t="e">
        <f>_xll.BDP(#REF!,Y$2)</f>
        <v>#REF!</v>
      </c>
      <c r="Z458" t="e">
        <f>_xll.BDP(#REF!,Z$2)</f>
        <v>#REF!</v>
      </c>
      <c r="AA458" t="e">
        <f>_xll.BDP(#REF!,AA$2)</f>
        <v>#REF!</v>
      </c>
      <c r="AD458">
        <f ca="1">IF(LEFT(_xll.BDP($T458,AD$2),4)="#N/A",-1,_xll.BDP($T458,AD$2))</f>
        <v>-1</v>
      </c>
    </row>
    <row r="459" spans="1:30">
      <c r="A459">
        <f ca="1"/>
        <v>149</v>
      </c>
      <c r="B459" t="str">
        <f ca="1"/>
        <v>iW ALTERNATIVE SIF</v>
      </c>
      <c r="C459" t="str">
        <f ca="1"/>
        <v>iW ALTERNATIVE SIF</v>
      </c>
      <c r="D459">
        <f ca="1"/>
        <v>60568</v>
      </c>
      <c r="E459" t="str">
        <f ca="1"/>
        <v>REVO</v>
      </c>
      <c r="F459" t="str">
        <f ca="1"/>
        <v>REVO</v>
      </c>
      <c r="G459">
        <f ca="1"/>
        <v>147</v>
      </c>
      <c r="H459" t="str">
        <f ca="1"/>
        <v>Pictet Fund Accounting</v>
      </c>
      <c r="I459" t="str">
        <f ca="1"/>
        <v>17502085-0</v>
      </c>
      <c r="J459" s="50">
        <f ca="1"/>
        <v>44775</v>
      </c>
      <c r="K459">
        <f ca="1"/>
        <v>-6.89</v>
      </c>
      <c r="L459" t="str">
        <f ca="1"/>
        <v>67888-0</v>
      </c>
      <c r="M459" t="str">
        <f ca="1"/>
        <v>Provision VAT Declaration</v>
      </c>
      <c r="N459" t="str">
        <f ca="1"/>
        <v>USD</v>
      </c>
      <c r="O459" t="str">
        <f ca="1"/>
        <v>Uncategorized (Treasury)</v>
      </c>
      <c r="P459" t="str">
        <f ca="1"/>
        <v/>
      </c>
      <c r="Q459" t="str">
        <f ca="1"/>
        <v/>
      </c>
      <c r="R459" t="str">
        <f ca="1"/>
        <v/>
      </c>
      <c r="S459" t="str">
        <f ca="1"/>
        <v/>
      </c>
      <c r="T459" t="str">
        <f ca="1"/>
        <v/>
      </c>
      <c r="U459">
        <f ca="1">IF(LEFT(_xll.BDP($T459,U$2),4)="#N/A",0,_xll.BDP($T459,U$2))</f>
        <v>0</v>
      </c>
      <c r="V459" t="e">
        <f>_xll.BDP(#REF!,V$2)</f>
        <v>#REF!</v>
      </c>
      <c r="W459" t="e">
        <f>_xll.BDP(#REF!,W$2)</f>
        <v>#REF!</v>
      </c>
      <c r="X459" t="e">
        <f>_xll.BDP(#REF!,X$2)</f>
        <v>#REF!</v>
      </c>
      <c r="Y459" t="e">
        <f>_xll.BDP(#REF!,Y$2)</f>
        <v>#REF!</v>
      </c>
      <c r="Z459" t="e">
        <f>_xll.BDP(#REF!,Z$2)</f>
        <v>#REF!</v>
      </c>
      <c r="AA459" t="e">
        <f>_xll.BDP(#REF!,AA$2)</f>
        <v>#REF!</v>
      </c>
      <c r="AD459">
        <f ca="1">IF(LEFT(_xll.BDP($T459,AD$2),4)="#N/A",-1,_xll.BDP($T459,AD$2))</f>
        <v>-1</v>
      </c>
    </row>
    <row r="460" spans="1:30">
      <c r="A460">
        <f ca="1"/>
        <v>149</v>
      </c>
      <c r="B460" t="str">
        <f ca="1"/>
        <v>iW ALTERNATIVE SIF</v>
      </c>
      <c r="C460" t="str">
        <f ca="1"/>
        <v>iW ALTERNATIVE SIF</v>
      </c>
      <c r="D460">
        <f ca="1"/>
        <v>60568</v>
      </c>
      <c r="E460" t="str">
        <f ca="1"/>
        <v>REVO</v>
      </c>
      <c r="F460" t="str">
        <f ca="1"/>
        <v>REVO</v>
      </c>
      <c r="G460">
        <f ca="1"/>
        <v>147</v>
      </c>
      <c r="H460" t="str">
        <f ca="1"/>
        <v>Pictet Fund Accounting</v>
      </c>
      <c r="I460" t="str">
        <f ca="1"/>
        <v>17502064-0</v>
      </c>
      <c r="J460" s="50">
        <f ca="1"/>
        <v>44775</v>
      </c>
      <c r="K460">
        <f ca="1"/>
        <v>-2.2999999999999998</v>
      </c>
      <c r="L460" t="str">
        <f ca="1"/>
        <v>119859-0</v>
      </c>
      <c r="M460" t="str">
        <f ca="1"/>
        <v>Ultimate Beneficial declaratio</v>
      </c>
      <c r="N460" t="str">
        <f ca="1"/>
        <v>USD</v>
      </c>
      <c r="O460" t="str">
        <f ca="1"/>
        <v>Uncategorized (Treasury)</v>
      </c>
      <c r="P460" t="str">
        <f ca="1"/>
        <v/>
      </c>
      <c r="Q460" t="str">
        <f ca="1"/>
        <v/>
      </c>
      <c r="R460" t="str">
        <f ca="1"/>
        <v/>
      </c>
      <c r="S460" t="str">
        <f ca="1"/>
        <v/>
      </c>
      <c r="T460" t="str">
        <f ca="1"/>
        <v/>
      </c>
      <c r="U460">
        <f ca="1">IF(LEFT(_xll.BDP($T460,U$2),4)="#N/A",0,_xll.BDP($T460,U$2))</f>
        <v>0</v>
      </c>
      <c r="V460" t="e">
        <f>_xll.BDP(#REF!,V$2)</f>
        <v>#REF!</v>
      </c>
      <c r="W460" t="e">
        <f>_xll.BDP(#REF!,W$2)</f>
        <v>#REF!</v>
      </c>
      <c r="X460" t="e">
        <f>_xll.BDP(#REF!,X$2)</f>
        <v>#REF!</v>
      </c>
      <c r="Y460" t="e">
        <f>_xll.BDP(#REF!,Y$2)</f>
        <v>#REF!</v>
      </c>
      <c r="Z460" t="e">
        <f>_xll.BDP(#REF!,Z$2)</f>
        <v>#REF!</v>
      </c>
      <c r="AA460" t="e">
        <f>_xll.BDP(#REF!,AA$2)</f>
        <v>#REF!</v>
      </c>
      <c r="AD460">
        <f ca="1">IF(LEFT(_xll.BDP($T460,AD$2),4)="#N/A",-1,_xll.BDP($T460,AD$2))</f>
        <v>-1</v>
      </c>
    </row>
    <row r="461" spans="1:30">
      <c r="J461" s="37"/>
      <c r="U461">
        <f>IF(LEFT(_xll.BDP($T461,U$2),4)="#N/A",0,_xll.BDP($T461,U$2))</f>
        <v>0</v>
      </c>
      <c r="V461" t="e">
        <f>_xll.BDP(#REF!,V$2)</f>
        <v>#REF!</v>
      </c>
      <c r="W461" t="e">
        <f>_xll.BDP(#REF!,W$2)</f>
        <v>#REF!</v>
      </c>
      <c r="X461" t="e">
        <f>_xll.BDP(#REF!,X$2)</f>
        <v>#REF!</v>
      </c>
      <c r="Y461" t="e">
        <f>_xll.BDP(#REF!,Y$2)</f>
        <v>#REF!</v>
      </c>
      <c r="Z461" t="e">
        <f>_xll.BDP(#REF!,Z$2)</f>
        <v>#REF!</v>
      </c>
      <c r="AA461" t="e">
        <f>_xll.BDP(#REF!,AA$2)</f>
        <v>#REF!</v>
      </c>
      <c r="AD461">
        <f>IF(LEFT(_xll.BDP($T461,AD$2),4)="#N/A",-1,_xll.BDP($T461,AD$2))</f>
        <v>-1</v>
      </c>
    </row>
    <row r="462" spans="1:30">
      <c r="J462" s="37"/>
      <c r="U462">
        <f>IF(LEFT(_xll.BDP($T462,U$2),4)="#N/A",0,_xll.BDP($T462,U$2))</f>
        <v>0</v>
      </c>
      <c r="V462" t="e">
        <f>_xll.BDP(#REF!,V$2)</f>
        <v>#REF!</v>
      </c>
      <c r="W462" t="e">
        <f>_xll.BDP(#REF!,W$2)</f>
        <v>#REF!</v>
      </c>
      <c r="X462" t="e">
        <f>_xll.BDP(#REF!,X$2)</f>
        <v>#REF!</v>
      </c>
      <c r="Y462" t="e">
        <f>_xll.BDP(#REF!,Y$2)</f>
        <v>#REF!</v>
      </c>
      <c r="Z462" t="e">
        <f>_xll.BDP(#REF!,Z$2)</f>
        <v>#REF!</v>
      </c>
      <c r="AA462" t="e">
        <f>_xll.BDP(#REF!,AA$2)</f>
        <v>#REF!</v>
      </c>
      <c r="AD462">
        <f>IF(LEFT(_xll.BDP($T462,AD$2),4)="#N/A",-1,_xll.BDP($T462,AD$2))</f>
        <v>-1</v>
      </c>
    </row>
    <row r="463" spans="1:30">
      <c r="J463" s="37"/>
      <c r="U463">
        <f>IF(LEFT(_xll.BDP($T463,U$2),4)="#N/A",0,_xll.BDP($T463,U$2))</f>
        <v>0</v>
      </c>
      <c r="V463" t="e">
        <f>_xll.BDP(#REF!,V$2)</f>
        <v>#REF!</v>
      </c>
      <c r="W463" t="e">
        <f>_xll.BDP(#REF!,W$2)</f>
        <v>#REF!</v>
      </c>
      <c r="X463" t="e">
        <f>_xll.BDP(#REF!,X$2)</f>
        <v>#REF!</v>
      </c>
      <c r="Y463" t="e">
        <f>_xll.BDP(#REF!,Y$2)</f>
        <v>#REF!</v>
      </c>
      <c r="Z463" t="e">
        <f>_xll.BDP(#REF!,Z$2)</f>
        <v>#REF!</v>
      </c>
      <c r="AA463" t="e">
        <f>_xll.BDP(#REF!,AA$2)</f>
        <v>#REF!</v>
      </c>
      <c r="AD463">
        <f>IF(LEFT(_xll.BDP($T463,AD$2),4)="#N/A",-1,_xll.BDP($T463,AD$2))</f>
        <v>-1</v>
      </c>
    </row>
    <row r="464" spans="1:30">
      <c r="J464" s="37"/>
      <c r="U464">
        <f>IF(LEFT(_xll.BDP($T464,U$2),4)="#N/A",0,_xll.BDP($T464,U$2))</f>
        <v>0</v>
      </c>
      <c r="V464" t="e">
        <f>_xll.BDP(#REF!,V$2)</f>
        <v>#REF!</v>
      </c>
      <c r="W464" t="e">
        <f>_xll.BDP(#REF!,W$2)</f>
        <v>#REF!</v>
      </c>
      <c r="X464" t="e">
        <f>_xll.BDP(#REF!,X$2)</f>
        <v>#REF!</v>
      </c>
      <c r="Y464" t="e">
        <f>_xll.BDP(#REF!,Y$2)</f>
        <v>#REF!</v>
      </c>
      <c r="Z464" t="e">
        <f>_xll.BDP(#REF!,Z$2)</f>
        <v>#REF!</v>
      </c>
      <c r="AA464" t="e">
        <f>_xll.BDP(#REF!,AA$2)</f>
        <v>#REF!</v>
      </c>
      <c r="AD464">
        <f>IF(LEFT(_xll.BDP($T464,AD$2),4)="#N/A",-1,_xll.BDP($T464,AD$2))</f>
        <v>-1</v>
      </c>
    </row>
    <row r="465" spans="10:30">
      <c r="J465" s="37"/>
      <c r="U465">
        <f>IF(LEFT(_xll.BDP($T465,U$2),4)="#N/A",0,_xll.BDP($T465,U$2))</f>
        <v>0</v>
      </c>
      <c r="V465" t="e">
        <f>_xll.BDP(#REF!,V$2)</f>
        <v>#REF!</v>
      </c>
      <c r="W465" t="e">
        <f>_xll.BDP(#REF!,W$2)</f>
        <v>#REF!</v>
      </c>
      <c r="X465" t="e">
        <f>_xll.BDP(#REF!,X$2)</f>
        <v>#REF!</v>
      </c>
      <c r="Y465" t="e">
        <f>_xll.BDP(#REF!,Y$2)</f>
        <v>#REF!</v>
      </c>
      <c r="Z465" t="e">
        <f>_xll.BDP(#REF!,Z$2)</f>
        <v>#REF!</v>
      </c>
      <c r="AA465" t="e">
        <f>_xll.BDP(#REF!,AA$2)</f>
        <v>#REF!</v>
      </c>
      <c r="AD465">
        <f>IF(LEFT(_xll.BDP($T465,AD$2),4)="#N/A",-1,_xll.BDP($T465,AD$2))</f>
        <v>-1</v>
      </c>
    </row>
    <row r="466" spans="10:30">
      <c r="J466" s="37"/>
      <c r="U466">
        <f>IF(LEFT(_xll.BDP($T466,U$2),4)="#N/A",0,_xll.BDP($T466,U$2))</f>
        <v>0</v>
      </c>
      <c r="V466" t="e">
        <f>_xll.BDP(#REF!,V$2)</f>
        <v>#REF!</v>
      </c>
      <c r="W466" t="e">
        <f>_xll.BDP(#REF!,W$2)</f>
        <v>#REF!</v>
      </c>
      <c r="X466" t="e">
        <f>_xll.BDP(#REF!,X$2)</f>
        <v>#REF!</v>
      </c>
      <c r="Y466" t="e">
        <f>_xll.BDP(#REF!,Y$2)</f>
        <v>#REF!</v>
      </c>
      <c r="Z466" t="e">
        <f>_xll.BDP(#REF!,Z$2)</f>
        <v>#REF!</v>
      </c>
      <c r="AA466" t="e">
        <f>_xll.BDP(#REF!,AA$2)</f>
        <v>#REF!</v>
      </c>
      <c r="AD466">
        <f>IF(LEFT(_xll.BDP($T466,AD$2),4)="#N/A",-1,_xll.BDP($T466,AD$2))</f>
        <v>-1</v>
      </c>
    </row>
    <row r="467" spans="10:30">
      <c r="J467" s="37"/>
      <c r="U467">
        <f>IF(LEFT(_xll.BDP($T467,U$2),4)="#N/A",0,_xll.BDP($T467,U$2))</f>
        <v>0</v>
      </c>
      <c r="V467" t="e">
        <f>_xll.BDP(#REF!,V$2)</f>
        <v>#REF!</v>
      </c>
      <c r="W467" t="e">
        <f>_xll.BDP(#REF!,W$2)</f>
        <v>#REF!</v>
      </c>
      <c r="X467" t="e">
        <f>_xll.BDP(#REF!,X$2)</f>
        <v>#REF!</v>
      </c>
      <c r="Y467" t="e">
        <f>_xll.BDP(#REF!,Y$2)</f>
        <v>#REF!</v>
      </c>
      <c r="Z467" t="e">
        <f>_xll.BDP(#REF!,Z$2)</f>
        <v>#REF!</v>
      </c>
      <c r="AA467" t="e">
        <f>_xll.BDP(#REF!,AA$2)</f>
        <v>#REF!</v>
      </c>
      <c r="AD467">
        <f>IF(LEFT(_xll.BDP($T467,AD$2),4)="#N/A",-1,_xll.BDP($T467,AD$2))</f>
        <v>-1</v>
      </c>
    </row>
    <row r="468" spans="10:30">
      <c r="J468" s="37"/>
      <c r="U468">
        <f>IF(LEFT(_xll.BDP($T468,U$2),4)="#N/A",0,_xll.BDP($T468,U$2))</f>
        <v>0</v>
      </c>
      <c r="V468" t="e">
        <f>_xll.BDP(#REF!,V$2)</f>
        <v>#REF!</v>
      </c>
      <c r="W468" t="e">
        <f>_xll.BDP(#REF!,W$2)</f>
        <v>#REF!</v>
      </c>
      <c r="X468" t="e">
        <f>_xll.BDP(#REF!,X$2)</f>
        <v>#REF!</v>
      </c>
      <c r="Y468" t="e">
        <f>_xll.BDP(#REF!,Y$2)</f>
        <v>#REF!</v>
      </c>
      <c r="Z468" t="e">
        <f>_xll.BDP(#REF!,Z$2)</f>
        <v>#REF!</v>
      </c>
      <c r="AA468" t="e">
        <f>_xll.BDP(#REF!,AA$2)</f>
        <v>#REF!</v>
      </c>
      <c r="AD468">
        <f>IF(LEFT(_xll.BDP($T468,AD$2),4)="#N/A",-1,_xll.BDP($T468,AD$2))</f>
        <v>-1</v>
      </c>
    </row>
    <row r="469" spans="10:30">
      <c r="J469" s="37"/>
      <c r="U469">
        <f>IF(LEFT(_xll.BDP($T469,U$2),4)="#N/A",0,_xll.BDP($T469,U$2))</f>
        <v>0</v>
      </c>
      <c r="V469" t="e">
        <f>_xll.BDP(#REF!,V$2)</f>
        <v>#REF!</v>
      </c>
      <c r="W469" t="e">
        <f>_xll.BDP(#REF!,W$2)</f>
        <v>#REF!</v>
      </c>
      <c r="X469" t="e">
        <f>_xll.BDP(#REF!,X$2)</f>
        <v>#REF!</v>
      </c>
      <c r="Y469" t="e">
        <f>_xll.BDP(#REF!,Y$2)</f>
        <v>#REF!</v>
      </c>
      <c r="Z469" t="e">
        <f>_xll.BDP(#REF!,Z$2)</f>
        <v>#REF!</v>
      </c>
      <c r="AA469" t="e">
        <f>_xll.BDP(#REF!,AA$2)</f>
        <v>#REF!</v>
      </c>
      <c r="AD469">
        <f>IF(LEFT(_xll.BDP($T469,AD$2),4)="#N/A",-1,_xll.BDP($T469,AD$2))</f>
        <v>-1</v>
      </c>
    </row>
    <row r="470" spans="10:30">
      <c r="J470" s="37"/>
      <c r="U470">
        <f>IF(LEFT(_xll.BDP($T470,U$2),4)="#N/A",0,_xll.BDP($T470,U$2))</f>
        <v>0</v>
      </c>
      <c r="V470" t="e">
        <f>_xll.BDP(#REF!,V$2)</f>
        <v>#REF!</v>
      </c>
      <c r="W470" t="e">
        <f>_xll.BDP(#REF!,W$2)</f>
        <v>#REF!</v>
      </c>
      <c r="X470" t="e">
        <f>_xll.BDP(#REF!,X$2)</f>
        <v>#REF!</v>
      </c>
      <c r="Y470" t="e">
        <f>_xll.BDP(#REF!,Y$2)</f>
        <v>#REF!</v>
      </c>
      <c r="Z470" t="e">
        <f>_xll.BDP(#REF!,Z$2)</f>
        <v>#REF!</v>
      </c>
      <c r="AA470" t="e">
        <f>_xll.BDP(#REF!,AA$2)</f>
        <v>#REF!</v>
      </c>
      <c r="AD470">
        <f>IF(LEFT(_xll.BDP($T470,AD$2),4)="#N/A",-1,_xll.BDP($T470,AD$2))</f>
        <v>-1</v>
      </c>
    </row>
    <row r="471" spans="10:30">
      <c r="J471" s="37"/>
      <c r="U471">
        <f>IF(LEFT(_xll.BDP($T471,U$2),4)="#N/A",0,_xll.BDP($T471,U$2))</f>
        <v>0</v>
      </c>
      <c r="V471" t="e">
        <f>_xll.BDP(#REF!,V$2)</f>
        <v>#REF!</v>
      </c>
      <c r="W471" t="e">
        <f>_xll.BDP(#REF!,W$2)</f>
        <v>#REF!</v>
      </c>
      <c r="X471" t="e">
        <f>_xll.BDP(#REF!,X$2)</f>
        <v>#REF!</v>
      </c>
      <c r="Y471" t="e">
        <f>_xll.BDP(#REF!,Y$2)</f>
        <v>#REF!</v>
      </c>
      <c r="Z471" t="e">
        <f>_xll.BDP(#REF!,Z$2)</f>
        <v>#REF!</v>
      </c>
      <c r="AA471" t="e">
        <f>_xll.BDP(#REF!,AA$2)</f>
        <v>#REF!</v>
      </c>
      <c r="AD471">
        <f>IF(LEFT(_xll.BDP($T471,AD$2),4)="#N/A",-1,_xll.BDP($T471,AD$2))</f>
        <v>-1</v>
      </c>
    </row>
    <row r="472" spans="10:30">
      <c r="J472" s="37"/>
      <c r="U472">
        <f>IF(LEFT(_xll.BDP($T472,U$2),4)="#N/A",0,_xll.BDP($T472,U$2))</f>
        <v>0</v>
      </c>
      <c r="V472" t="e">
        <f>_xll.BDP(#REF!,V$2)</f>
        <v>#REF!</v>
      </c>
      <c r="W472" t="e">
        <f>_xll.BDP(#REF!,W$2)</f>
        <v>#REF!</v>
      </c>
      <c r="X472" t="e">
        <f>_xll.BDP(#REF!,X$2)</f>
        <v>#REF!</v>
      </c>
      <c r="Y472" t="e">
        <f>_xll.BDP(#REF!,Y$2)</f>
        <v>#REF!</v>
      </c>
      <c r="Z472" t="e">
        <f>_xll.BDP(#REF!,Z$2)</f>
        <v>#REF!</v>
      </c>
      <c r="AA472" t="e">
        <f>_xll.BDP(#REF!,AA$2)</f>
        <v>#REF!</v>
      </c>
      <c r="AD472">
        <f>IF(LEFT(_xll.BDP($T472,AD$2),4)="#N/A",-1,_xll.BDP($T472,AD$2))</f>
        <v>-1</v>
      </c>
    </row>
    <row r="473" spans="10:30">
      <c r="J473" s="37"/>
      <c r="U473">
        <f>IF(LEFT(_xll.BDP($T473,U$2),4)="#N/A",0,_xll.BDP($T473,U$2))</f>
        <v>0</v>
      </c>
      <c r="V473" t="e">
        <f>_xll.BDP(#REF!,V$2)</f>
        <v>#REF!</v>
      </c>
      <c r="W473" t="e">
        <f>_xll.BDP(#REF!,W$2)</f>
        <v>#REF!</v>
      </c>
      <c r="X473" t="e">
        <f>_xll.BDP(#REF!,X$2)</f>
        <v>#REF!</v>
      </c>
      <c r="Y473" t="e">
        <f>_xll.BDP(#REF!,Y$2)</f>
        <v>#REF!</v>
      </c>
      <c r="Z473" t="e">
        <f>_xll.BDP(#REF!,Z$2)</f>
        <v>#REF!</v>
      </c>
      <c r="AA473" t="e">
        <f>_xll.BDP(#REF!,AA$2)</f>
        <v>#REF!</v>
      </c>
      <c r="AD473">
        <f>IF(LEFT(_xll.BDP($T473,AD$2),4)="#N/A",-1,_xll.BDP($T473,AD$2))</f>
        <v>-1</v>
      </c>
    </row>
    <row r="474" spans="10:30">
      <c r="J474" s="37"/>
      <c r="U474">
        <f>IF(LEFT(_xll.BDP($T474,U$2),4)="#N/A",0,_xll.BDP($T474,U$2))</f>
        <v>0</v>
      </c>
      <c r="V474" t="e">
        <f>_xll.BDP(#REF!,V$2)</f>
        <v>#REF!</v>
      </c>
      <c r="W474" t="e">
        <f>_xll.BDP(#REF!,W$2)</f>
        <v>#REF!</v>
      </c>
      <c r="X474" t="e">
        <f>_xll.BDP(#REF!,X$2)</f>
        <v>#REF!</v>
      </c>
      <c r="Y474" t="e">
        <f>_xll.BDP(#REF!,Y$2)</f>
        <v>#REF!</v>
      </c>
      <c r="Z474" t="e">
        <f>_xll.BDP(#REF!,Z$2)</f>
        <v>#REF!</v>
      </c>
      <c r="AA474" t="e">
        <f>_xll.BDP(#REF!,AA$2)</f>
        <v>#REF!</v>
      </c>
      <c r="AD474">
        <f>IF(LEFT(_xll.BDP($T474,AD$2),4)="#N/A",-1,_xll.BDP($T474,AD$2))</f>
        <v>-1</v>
      </c>
    </row>
    <row r="475" spans="10:30">
      <c r="J475" s="37"/>
      <c r="U475">
        <f>IF(LEFT(_xll.BDP($T475,U$2),4)="#N/A",0,_xll.BDP($T475,U$2))</f>
        <v>0</v>
      </c>
      <c r="V475" t="e">
        <f>_xll.BDP(#REF!,V$2)</f>
        <v>#REF!</v>
      </c>
      <c r="W475" t="e">
        <f>_xll.BDP(#REF!,W$2)</f>
        <v>#REF!</v>
      </c>
      <c r="X475" t="e">
        <f>_xll.BDP(#REF!,X$2)</f>
        <v>#REF!</v>
      </c>
      <c r="Y475" t="e">
        <f>_xll.BDP(#REF!,Y$2)</f>
        <v>#REF!</v>
      </c>
      <c r="Z475" t="e">
        <f>_xll.BDP(#REF!,Z$2)</f>
        <v>#REF!</v>
      </c>
      <c r="AA475" t="e">
        <f>_xll.BDP(#REF!,AA$2)</f>
        <v>#REF!</v>
      </c>
      <c r="AD475">
        <f>IF(LEFT(_xll.BDP($T475,AD$2),4)="#N/A",-1,_xll.BDP($T475,AD$2))</f>
        <v>-1</v>
      </c>
    </row>
    <row r="476" spans="10:30">
      <c r="J476" s="37"/>
      <c r="U476">
        <f>IF(LEFT(_xll.BDP($T476,U$2),4)="#N/A",0,_xll.BDP($T476,U$2))</f>
        <v>0</v>
      </c>
      <c r="V476" t="e">
        <f>_xll.BDP(#REF!,V$2)</f>
        <v>#REF!</v>
      </c>
      <c r="W476" t="e">
        <f>_xll.BDP(#REF!,W$2)</f>
        <v>#REF!</v>
      </c>
      <c r="X476" t="e">
        <f>_xll.BDP(#REF!,X$2)</f>
        <v>#REF!</v>
      </c>
      <c r="Y476" t="e">
        <f>_xll.BDP(#REF!,Y$2)</f>
        <v>#REF!</v>
      </c>
      <c r="Z476" t="e">
        <f>_xll.BDP(#REF!,Z$2)</f>
        <v>#REF!</v>
      </c>
      <c r="AA476" t="e">
        <f>_xll.BDP(#REF!,AA$2)</f>
        <v>#REF!</v>
      </c>
      <c r="AD476">
        <f>IF(LEFT(_xll.BDP($T476,AD$2),4)="#N/A",-1,_xll.BDP($T476,AD$2))</f>
        <v>-1</v>
      </c>
    </row>
    <row r="477" spans="10:30">
      <c r="J477" s="37"/>
      <c r="U477">
        <f>IF(LEFT(_xll.BDP($T477,U$2),4)="#N/A",0,_xll.BDP($T477,U$2))</f>
        <v>0</v>
      </c>
      <c r="V477" t="e">
        <f>_xll.BDP(#REF!,V$2)</f>
        <v>#REF!</v>
      </c>
      <c r="W477" t="e">
        <f>_xll.BDP(#REF!,W$2)</f>
        <v>#REF!</v>
      </c>
      <c r="X477" t="e">
        <f>_xll.BDP(#REF!,X$2)</f>
        <v>#REF!</v>
      </c>
      <c r="Y477" t="e">
        <f>_xll.BDP(#REF!,Y$2)</f>
        <v>#REF!</v>
      </c>
      <c r="Z477" t="e">
        <f>_xll.BDP(#REF!,Z$2)</f>
        <v>#REF!</v>
      </c>
      <c r="AA477" t="e">
        <f>_xll.BDP(#REF!,AA$2)</f>
        <v>#REF!</v>
      </c>
      <c r="AD477">
        <f>IF(LEFT(_xll.BDP($T477,AD$2),4)="#N/A",-1,_xll.BDP($T477,AD$2))</f>
        <v>-1</v>
      </c>
    </row>
    <row r="478" spans="10:30">
      <c r="J478" s="37"/>
      <c r="U478">
        <f>IF(LEFT(_xll.BDP($T478,U$2),4)="#N/A",0,_xll.BDP($T478,U$2))</f>
        <v>0</v>
      </c>
      <c r="V478" t="e">
        <f>_xll.BDP(#REF!,V$2)</f>
        <v>#REF!</v>
      </c>
      <c r="W478" t="e">
        <f>_xll.BDP(#REF!,W$2)</f>
        <v>#REF!</v>
      </c>
      <c r="X478" t="e">
        <f>_xll.BDP(#REF!,X$2)</f>
        <v>#REF!</v>
      </c>
      <c r="Y478" t="e">
        <f>_xll.BDP(#REF!,Y$2)</f>
        <v>#REF!</v>
      </c>
      <c r="Z478" t="e">
        <f>_xll.BDP(#REF!,Z$2)</f>
        <v>#REF!</v>
      </c>
      <c r="AA478" t="e">
        <f>_xll.BDP(#REF!,AA$2)</f>
        <v>#REF!</v>
      </c>
      <c r="AD478">
        <f>IF(LEFT(_xll.BDP($T478,AD$2),4)="#N/A",-1,_xll.BDP($T478,AD$2))</f>
        <v>-1</v>
      </c>
    </row>
    <row r="479" spans="10:30">
      <c r="J479" s="37"/>
      <c r="U479">
        <f>IF(LEFT(_xll.BDP($T479,U$2),4)="#N/A",0,_xll.BDP($T479,U$2))</f>
        <v>0</v>
      </c>
      <c r="V479" t="e">
        <f>_xll.BDP(#REF!,V$2)</f>
        <v>#REF!</v>
      </c>
      <c r="W479" t="e">
        <f>_xll.BDP(#REF!,W$2)</f>
        <v>#REF!</v>
      </c>
      <c r="X479" t="e">
        <f>_xll.BDP(#REF!,X$2)</f>
        <v>#REF!</v>
      </c>
      <c r="Y479" t="e">
        <f>_xll.BDP(#REF!,Y$2)</f>
        <v>#REF!</v>
      </c>
      <c r="Z479" t="e">
        <f>_xll.BDP(#REF!,Z$2)</f>
        <v>#REF!</v>
      </c>
      <c r="AA479" t="e">
        <f>_xll.BDP(#REF!,AA$2)</f>
        <v>#REF!</v>
      </c>
      <c r="AD479">
        <f>IF(LEFT(_xll.BDP($T479,AD$2),4)="#N/A",-1,_xll.BDP($T479,AD$2))</f>
        <v>-1</v>
      </c>
    </row>
    <row r="480" spans="10:30">
      <c r="J480" s="37"/>
      <c r="U480">
        <f>IF(LEFT(_xll.BDP($T480,U$2),4)="#N/A",0,_xll.BDP($T480,U$2))</f>
        <v>0</v>
      </c>
      <c r="V480" t="e">
        <f>_xll.BDP(#REF!,V$2)</f>
        <v>#REF!</v>
      </c>
      <c r="W480" t="e">
        <f>_xll.BDP(#REF!,W$2)</f>
        <v>#REF!</v>
      </c>
      <c r="X480" t="e">
        <f>_xll.BDP(#REF!,X$2)</f>
        <v>#REF!</v>
      </c>
      <c r="Y480" t="e">
        <f>_xll.BDP(#REF!,Y$2)</f>
        <v>#REF!</v>
      </c>
      <c r="Z480" t="e">
        <f>_xll.BDP(#REF!,Z$2)</f>
        <v>#REF!</v>
      </c>
      <c r="AA480" t="e">
        <f>_xll.BDP(#REF!,AA$2)</f>
        <v>#REF!</v>
      </c>
      <c r="AD480">
        <f>IF(LEFT(_xll.BDP($T480,AD$2),4)="#N/A",-1,_xll.BDP($T480,AD$2))</f>
        <v>-1</v>
      </c>
    </row>
    <row r="481" spans="10:30">
      <c r="J481" s="37"/>
      <c r="U481">
        <f>IF(LEFT(_xll.BDP($T481,U$2),4)="#N/A",0,_xll.BDP($T481,U$2))</f>
        <v>0</v>
      </c>
      <c r="V481" t="e">
        <f>_xll.BDP(#REF!,V$2)</f>
        <v>#REF!</v>
      </c>
      <c r="W481" t="e">
        <f>_xll.BDP(#REF!,W$2)</f>
        <v>#REF!</v>
      </c>
      <c r="X481" t="e">
        <f>_xll.BDP(#REF!,X$2)</f>
        <v>#REF!</v>
      </c>
      <c r="Y481" t="e">
        <f>_xll.BDP(#REF!,Y$2)</f>
        <v>#REF!</v>
      </c>
      <c r="Z481" t="e">
        <f>_xll.BDP(#REF!,Z$2)</f>
        <v>#REF!</v>
      </c>
      <c r="AA481" t="e">
        <f>_xll.BDP(#REF!,AA$2)</f>
        <v>#REF!</v>
      </c>
      <c r="AD481">
        <f>IF(LEFT(_xll.BDP($T481,AD$2),4)="#N/A",-1,_xll.BDP($T481,AD$2))</f>
        <v>-1</v>
      </c>
    </row>
    <row r="482" spans="10:30">
      <c r="J482" s="37"/>
      <c r="U482">
        <f>IF(LEFT(_xll.BDP($T482,U$2),4)="#N/A",0,_xll.BDP($T482,U$2))</f>
        <v>0</v>
      </c>
      <c r="V482" t="e">
        <f>_xll.BDP(#REF!,V$2)</f>
        <v>#REF!</v>
      </c>
      <c r="W482" t="e">
        <f>_xll.BDP(#REF!,W$2)</f>
        <v>#REF!</v>
      </c>
      <c r="X482" t="e">
        <f>_xll.BDP(#REF!,X$2)</f>
        <v>#REF!</v>
      </c>
      <c r="Y482" t="e">
        <f>_xll.BDP(#REF!,Y$2)</f>
        <v>#REF!</v>
      </c>
      <c r="Z482" t="e">
        <f>_xll.BDP(#REF!,Z$2)</f>
        <v>#REF!</v>
      </c>
      <c r="AA482" t="e">
        <f>_xll.BDP(#REF!,AA$2)</f>
        <v>#REF!</v>
      </c>
      <c r="AD482">
        <f>IF(LEFT(_xll.BDP($T482,AD$2),4)="#N/A",-1,_xll.BDP($T482,AD$2))</f>
        <v>-1</v>
      </c>
    </row>
    <row r="483" spans="10:30">
      <c r="J483" s="37"/>
      <c r="U483">
        <f>IF(LEFT(_xll.BDP($T483,U$2),4)="#N/A",0,_xll.BDP($T483,U$2))</f>
        <v>0</v>
      </c>
      <c r="V483" t="e">
        <f>_xll.BDP(#REF!,V$2)</f>
        <v>#REF!</v>
      </c>
      <c r="W483" t="e">
        <f>_xll.BDP(#REF!,W$2)</f>
        <v>#REF!</v>
      </c>
      <c r="X483" t="e">
        <f>_xll.BDP(#REF!,X$2)</f>
        <v>#REF!</v>
      </c>
      <c r="Y483" t="e">
        <f>_xll.BDP(#REF!,Y$2)</f>
        <v>#REF!</v>
      </c>
      <c r="Z483" t="e">
        <f>_xll.BDP(#REF!,Z$2)</f>
        <v>#REF!</v>
      </c>
      <c r="AA483" t="e">
        <f>_xll.BDP(#REF!,AA$2)</f>
        <v>#REF!</v>
      </c>
      <c r="AD483">
        <f>IF(LEFT(_xll.BDP($T483,AD$2),4)="#N/A",-1,_xll.BDP($T483,AD$2))</f>
        <v>-1</v>
      </c>
    </row>
    <row r="484" spans="10:30">
      <c r="J484" s="37"/>
      <c r="U484">
        <f>IF(LEFT(_xll.BDP($T484,U$2),4)="#N/A",0,_xll.BDP($T484,U$2))</f>
        <v>0</v>
      </c>
      <c r="V484" t="e">
        <f>_xll.BDP(#REF!,V$2)</f>
        <v>#REF!</v>
      </c>
      <c r="W484" t="e">
        <f>_xll.BDP(#REF!,W$2)</f>
        <v>#REF!</v>
      </c>
      <c r="X484" t="e">
        <f>_xll.BDP(#REF!,X$2)</f>
        <v>#REF!</v>
      </c>
      <c r="Y484" t="e">
        <f>_xll.BDP(#REF!,Y$2)</f>
        <v>#REF!</v>
      </c>
      <c r="Z484" t="e">
        <f>_xll.BDP(#REF!,Z$2)</f>
        <v>#REF!</v>
      </c>
      <c r="AA484" t="e">
        <f>_xll.BDP(#REF!,AA$2)</f>
        <v>#REF!</v>
      </c>
      <c r="AD484">
        <f>IF(LEFT(_xll.BDP($T484,AD$2),4)="#N/A",-1,_xll.BDP($T484,AD$2))</f>
        <v>-1</v>
      </c>
    </row>
    <row r="485" spans="10:30">
      <c r="J485" s="37"/>
      <c r="U485">
        <f>IF(LEFT(_xll.BDP($T485,U$2),4)="#N/A",0,_xll.BDP($T485,U$2))</f>
        <v>0</v>
      </c>
      <c r="V485" t="e">
        <f>_xll.BDP(#REF!,V$2)</f>
        <v>#REF!</v>
      </c>
      <c r="W485" t="e">
        <f>_xll.BDP(#REF!,W$2)</f>
        <v>#REF!</v>
      </c>
      <c r="X485" t="e">
        <f>_xll.BDP(#REF!,X$2)</f>
        <v>#REF!</v>
      </c>
      <c r="Y485" t="e">
        <f>_xll.BDP(#REF!,Y$2)</f>
        <v>#REF!</v>
      </c>
      <c r="Z485" t="e">
        <f>_xll.BDP(#REF!,Z$2)</f>
        <v>#REF!</v>
      </c>
      <c r="AA485" t="e">
        <f>_xll.BDP(#REF!,AA$2)</f>
        <v>#REF!</v>
      </c>
      <c r="AD485">
        <f>IF(LEFT(_xll.BDP($T485,AD$2),4)="#N/A",-1,_xll.BDP($T485,AD$2))</f>
        <v>-1</v>
      </c>
    </row>
    <row r="486" spans="10:30">
      <c r="J486" s="37"/>
      <c r="U486">
        <f>IF(LEFT(_xll.BDP($T486,U$2),4)="#N/A",0,_xll.BDP($T486,U$2))</f>
        <v>0</v>
      </c>
      <c r="V486" t="e">
        <f>_xll.BDP(#REF!,V$2)</f>
        <v>#REF!</v>
      </c>
      <c r="W486" t="e">
        <f>_xll.BDP(#REF!,W$2)</f>
        <v>#REF!</v>
      </c>
      <c r="X486" t="e">
        <f>_xll.BDP(#REF!,X$2)</f>
        <v>#REF!</v>
      </c>
      <c r="Y486" t="e">
        <f>_xll.BDP(#REF!,Y$2)</f>
        <v>#REF!</v>
      </c>
      <c r="Z486" t="e">
        <f>_xll.BDP(#REF!,Z$2)</f>
        <v>#REF!</v>
      </c>
      <c r="AA486" t="e">
        <f>_xll.BDP(#REF!,AA$2)</f>
        <v>#REF!</v>
      </c>
      <c r="AD486">
        <f>IF(LEFT(_xll.BDP($T486,AD$2),4)="#N/A",-1,_xll.BDP($T486,AD$2))</f>
        <v>-1</v>
      </c>
    </row>
    <row r="487" spans="10:30">
      <c r="J487" s="37"/>
      <c r="U487">
        <f>IF(LEFT(_xll.BDP($T487,U$2),4)="#N/A",0,_xll.BDP($T487,U$2))</f>
        <v>0</v>
      </c>
      <c r="V487" t="e">
        <f>_xll.BDP(#REF!,V$2)</f>
        <v>#REF!</v>
      </c>
      <c r="W487" t="e">
        <f>_xll.BDP(#REF!,W$2)</f>
        <v>#REF!</v>
      </c>
      <c r="X487" t="e">
        <f>_xll.BDP(#REF!,X$2)</f>
        <v>#REF!</v>
      </c>
      <c r="Y487" t="e">
        <f>_xll.BDP(#REF!,Y$2)</f>
        <v>#REF!</v>
      </c>
      <c r="Z487" t="e">
        <f>_xll.BDP(#REF!,Z$2)</f>
        <v>#REF!</v>
      </c>
      <c r="AA487" t="e">
        <f>_xll.BDP(#REF!,AA$2)</f>
        <v>#REF!</v>
      </c>
      <c r="AD487">
        <f>IF(LEFT(_xll.BDP($T487,AD$2),4)="#N/A",-1,_xll.BDP($T487,AD$2))</f>
        <v>-1</v>
      </c>
    </row>
    <row r="488" spans="10:30">
      <c r="J488" s="37"/>
      <c r="U488">
        <f>IF(LEFT(_xll.BDP($T488,U$2),4)="#N/A",0,_xll.BDP($T488,U$2))</f>
        <v>0</v>
      </c>
      <c r="V488" t="e">
        <f>_xll.BDP(#REF!,V$2)</f>
        <v>#REF!</v>
      </c>
      <c r="W488" t="e">
        <f>_xll.BDP(#REF!,W$2)</f>
        <v>#REF!</v>
      </c>
      <c r="X488" t="e">
        <f>_xll.BDP(#REF!,X$2)</f>
        <v>#REF!</v>
      </c>
      <c r="Y488" t="e">
        <f>_xll.BDP(#REF!,Y$2)</f>
        <v>#REF!</v>
      </c>
      <c r="Z488" t="e">
        <f>_xll.BDP(#REF!,Z$2)</f>
        <v>#REF!</v>
      </c>
      <c r="AA488" t="e">
        <f>_xll.BDP(#REF!,AA$2)</f>
        <v>#REF!</v>
      </c>
      <c r="AD488">
        <f>IF(LEFT(_xll.BDP($T488,AD$2),4)="#N/A",-1,_xll.BDP($T488,AD$2))</f>
        <v>-1</v>
      </c>
    </row>
    <row r="489" spans="10:30">
      <c r="J489" s="37"/>
      <c r="U489">
        <f>IF(LEFT(_xll.BDP($T489,U$2),4)="#N/A",0,_xll.BDP($T489,U$2))</f>
        <v>0</v>
      </c>
      <c r="V489" t="e">
        <f>_xll.BDP(#REF!,V$2)</f>
        <v>#REF!</v>
      </c>
      <c r="W489" t="e">
        <f>_xll.BDP(#REF!,W$2)</f>
        <v>#REF!</v>
      </c>
      <c r="X489" t="e">
        <f>_xll.BDP(#REF!,X$2)</f>
        <v>#REF!</v>
      </c>
      <c r="Y489" t="e">
        <f>_xll.BDP(#REF!,Y$2)</f>
        <v>#REF!</v>
      </c>
      <c r="Z489" t="e">
        <f>_xll.BDP(#REF!,Z$2)</f>
        <v>#REF!</v>
      </c>
      <c r="AA489" t="e">
        <f>_xll.BDP(#REF!,AA$2)</f>
        <v>#REF!</v>
      </c>
      <c r="AD489">
        <f>IF(LEFT(_xll.BDP($T489,AD$2),4)="#N/A",-1,_xll.BDP($T489,AD$2))</f>
        <v>-1</v>
      </c>
    </row>
    <row r="490" spans="10:30">
      <c r="J490" s="37"/>
      <c r="U490">
        <f>IF(LEFT(_xll.BDP($T490,U$2),4)="#N/A",0,_xll.BDP($T490,U$2))</f>
        <v>0</v>
      </c>
      <c r="V490" t="e">
        <f>_xll.BDP(#REF!,V$2)</f>
        <v>#REF!</v>
      </c>
      <c r="W490" t="e">
        <f>_xll.BDP(#REF!,W$2)</f>
        <v>#REF!</v>
      </c>
      <c r="X490" t="e">
        <f>_xll.BDP(#REF!,X$2)</f>
        <v>#REF!</v>
      </c>
      <c r="Y490" t="e">
        <f>_xll.BDP(#REF!,Y$2)</f>
        <v>#REF!</v>
      </c>
      <c r="Z490" t="e">
        <f>_xll.BDP(#REF!,Z$2)</f>
        <v>#REF!</v>
      </c>
      <c r="AA490" t="e">
        <f>_xll.BDP(#REF!,AA$2)</f>
        <v>#REF!</v>
      </c>
      <c r="AD490">
        <f>IF(LEFT(_xll.BDP($T490,AD$2),4)="#N/A",-1,_xll.BDP($T490,AD$2))</f>
        <v>-1</v>
      </c>
    </row>
    <row r="491" spans="10:30">
      <c r="J491" s="37"/>
      <c r="U491">
        <f>IF(LEFT(_xll.BDP($T491,U$2),4)="#N/A",0,_xll.BDP($T491,U$2))</f>
        <v>0</v>
      </c>
      <c r="V491" t="e">
        <f>_xll.BDP(#REF!,V$2)</f>
        <v>#REF!</v>
      </c>
      <c r="W491" t="e">
        <f>_xll.BDP(#REF!,W$2)</f>
        <v>#REF!</v>
      </c>
      <c r="X491" t="e">
        <f>_xll.BDP(#REF!,X$2)</f>
        <v>#REF!</v>
      </c>
      <c r="Y491" t="e">
        <f>_xll.BDP(#REF!,Y$2)</f>
        <v>#REF!</v>
      </c>
      <c r="Z491" t="e">
        <f>_xll.BDP(#REF!,Z$2)</f>
        <v>#REF!</v>
      </c>
      <c r="AA491" t="e">
        <f>_xll.BDP(#REF!,AA$2)</f>
        <v>#REF!</v>
      </c>
      <c r="AD491">
        <f>IF(LEFT(_xll.BDP($T491,AD$2),4)="#N/A",-1,_xll.BDP($T491,AD$2))</f>
        <v>-1</v>
      </c>
    </row>
    <row r="492" spans="10:30">
      <c r="J492" s="37"/>
      <c r="U492">
        <f>IF(LEFT(_xll.BDP($T492,U$2),4)="#N/A",0,_xll.BDP($T492,U$2))</f>
        <v>0</v>
      </c>
      <c r="V492" t="e">
        <f>_xll.BDP(#REF!,V$2)</f>
        <v>#REF!</v>
      </c>
      <c r="W492" t="e">
        <f>_xll.BDP(#REF!,W$2)</f>
        <v>#REF!</v>
      </c>
      <c r="X492" t="e">
        <f>_xll.BDP(#REF!,X$2)</f>
        <v>#REF!</v>
      </c>
      <c r="Y492" t="e">
        <f>_xll.BDP(#REF!,Y$2)</f>
        <v>#REF!</v>
      </c>
      <c r="Z492" t="e">
        <f>_xll.BDP(#REF!,Z$2)</f>
        <v>#REF!</v>
      </c>
      <c r="AA492" t="e">
        <f>_xll.BDP(#REF!,AA$2)</f>
        <v>#REF!</v>
      </c>
      <c r="AD492">
        <f>IF(LEFT(_xll.BDP($T492,AD$2),4)="#N/A",-1,_xll.BDP($T492,AD$2))</f>
        <v>-1</v>
      </c>
    </row>
    <row r="493" spans="10:30">
      <c r="J493" s="37"/>
      <c r="U493">
        <f>IF(LEFT(_xll.BDP($T493,U$2),4)="#N/A",0,_xll.BDP($T493,U$2))</f>
        <v>0</v>
      </c>
      <c r="V493" t="e">
        <f>_xll.BDP(#REF!,V$2)</f>
        <v>#REF!</v>
      </c>
      <c r="W493" t="e">
        <f>_xll.BDP(#REF!,W$2)</f>
        <v>#REF!</v>
      </c>
      <c r="X493" t="e">
        <f>_xll.BDP(#REF!,X$2)</f>
        <v>#REF!</v>
      </c>
      <c r="Y493" t="e">
        <f>_xll.BDP(#REF!,Y$2)</f>
        <v>#REF!</v>
      </c>
      <c r="Z493" t="e">
        <f>_xll.BDP(#REF!,Z$2)</f>
        <v>#REF!</v>
      </c>
      <c r="AA493" t="e">
        <f>_xll.BDP(#REF!,AA$2)</f>
        <v>#REF!</v>
      </c>
      <c r="AD493">
        <f>IF(LEFT(_xll.BDP($T493,AD$2),4)="#N/A",-1,_xll.BDP($T493,AD$2))</f>
        <v>-1</v>
      </c>
    </row>
    <row r="494" spans="10:30">
      <c r="J494" s="37"/>
      <c r="U494">
        <f>IF(LEFT(_xll.BDP($T494,U$2),4)="#N/A",0,_xll.BDP($T494,U$2))</f>
        <v>0</v>
      </c>
      <c r="V494" t="e">
        <f>_xll.BDP(#REF!,V$2)</f>
        <v>#REF!</v>
      </c>
      <c r="W494" t="e">
        <f>_xll.BDP(#REF!,W$2)</f>
        <v>#REF!</v>
      </c>
      <c r="X494" t="e">
        <f>_xll.BDP(#REF!,X$2)</f>
        <v>#REF!</v>
      </c>
      <c r="Y494" t="e">
        <f>_xll.BDP(#REF!,Y$2)</f>
        <v>#REF!</v>
      </c>
      <c r="Z494" t="e">
        <f>_xll.BDP(#REF!,Z$2)</f>
        <v>#REF!</v>
      </c>
      <c r="AA494" t="e">
        <f>_xll.BDP(#REF!,AA$2)</f>
        <v>#REF!</v>
      </c>
      <c r="AD494">
        <f>IF(LEFT(_xll.BDP($T494,AD$2),4)="#N/A",-1,_xll.BDP($T494,AD$2))</f>
        <v>-1</v>
      </c>
    </row>
    <row r="495" spans="10:30">
      <c r="J495" s="37"/>
      <c r="U495">
        <f>IF(LEFT(_xll.BDP($T495,U$2),4)="#N/A",0,_xll.BDP($T495,U$2))</f>
        <v>0</v>
      </c>
      <c r="V495" t="e">
        <f>_xll.BDP(#REF!,V$2)</f>
        <v>#REF!</v>
      </c>
      <c r="W495" t="e">
        <f>_xll.BDP(#REF!,W$2)</f>
        <v>#REF!</v>
      </c>
      <c r="X495" t="e">
        <f>_xll.BDP(#REF!,X$2)</f>
        <v>#REF!</v>
      </c>
      <c r="Y495" t="e">
        <f>_xll.BDP(#REF!,Y$2)</f>
        <v>#REF!</v>
      </c>
      <c r="Z495" t="e">
        <f>_xll.BDP(#REF!,Z$2)</f>
        <v>#REF!</v>
      </c>
      <c r="AA495" t="e">
        <f>_xll.BDP(#REF!,AA$2)</f>
        <v>#REF!</v>
      </c>
      <c r="AD495">
        <f>IF(LEFT(_xll.BDP($T495,AD$2),4)="#N/A",-1,_xll.BDP($T495,AD$2))</f>
        <v>-1</v>
      </c>
    </row>
    <row r="496" spans="10:30">
      <c r="J496" s="37"/>
      <c r="U496">
        <f>IF(LEFT(_xll.BDP($T496,U$2),4)="#N/A",0,_xll.BDP($T496,U$2))</f>
        <v>0</v>
      </c>
      <c r="V496" t="e">
        <f>_xll.BDP(#REF!,V$2)</f>
        <v>#REF!</v>
      </c>
      <c r="W496" t="e">
        <f>_xll.BDP(#REF!,W$2)</f>
        <v>#REF!</v>
      </c>
      <c r="X496" t="e">
        <f>_xll.BDP(#REF!,X$2)</f>
        <v>#REF!</v>
      </c>
      <c r="Y496" t="e">
        <f>_xll.BDP(#REF!,Y$2)</f>
        <v>#REF!</v>
      </c>
      <c r="Z496" t="e">
        <f>_xll.BDP(#REF!,Z$2)</f>
        <v>#REF!</v>
      </c>
      <c r="AA496" t="e">
        <f>_xll.BDP(#REF!,AA$2)</f>
        <v>#REF!</v>
      </c>
      <c r="AD496">
        <f>IF(LEFT(_xll.BDP($T496,AD$2),4)="#N/A",-1,_xll.BDP($T496,AD$2))</f>
        <v>-1</v>
      </c>
    </row>
    <row r="497" spans="10:30">
      <c r="J497" s="37"/>
      <c r="U497">
        <f>IF(LEFT(_xll.BDP($T497,U$2),4)="#N/A",0,_xll.BDP($T497,U$2))</f>
        <v>0</v>
      </c>
      <c r="V497" t="e">
        <f>_xll.BDP(#REF!,V$2)</f>
        <v>#REF!</v>
      </c>
      <c r="W497" t="e">
        <f>_xll.BDP(#REF!,W$2)</f>
        <v>#REF!</v>
      </c>
      <c r="X497" t="e">
        <f>_xll.BDP(#REF!,X$2)</f>
        <v>#REF!</v>
      </c>
      <c r="Y497" t="e">
        <f>_xll.BDP(#REF!,Y$2)</f>
        <v>#REF!</v>
      </c>
      <c r="Z497" t="e">
        <f>_xll.BDP(#REF!,Z$2)</f>
        <v>#REF!</v>
      </c>
      <c r="AA497" t="e">
        <f>_xll.BDP(#REF!,AA$2)</f>
        <v>#REF!</v>
      </c>
      <c r="AD497">
        <f>IF(LEFT(_xll.BDP($T497,AD$2),4)="#N/A",-1,_xll.BDP($T497,AD$2))</f>
        <v>-1</v>
      </c>
    </row>
    <row r="498" spans="10:30">
      <c r="J498" s="37"/>
      <c r="U498">
        <f>IF(LEFT(_xll.BDP($T498,U$2),4)="#N/A",0,_xll.BDP($T498,U$2))</f>
        <v>0</v>
      </c>
      <c r="V498" t="e">
        <f>_xll.BDP(#REF!,V$2)</f>
        <v>#REF!</v>
      </c>
      <c r="W498" t="e">
        <f>_xll.BDP(#REF!,W$2)</f>
        <v>#REF!</v>
      </c>
      <c r="X498" t="e">
        <f>_xll.BDP(#REF!,X$2)</f>
        <v>#REF!</v>
      </c>
      <c r="Y498" t="e">
        <f>_xll.BDP(#REF!,Y$2)</f>
        <v>#REF!</v>
      </c>
      <c r="Z498" t="e">
        <f>_xll.BDP(#REF!,Z$2)</f>
        <v>#REF!</v>
      </c>
      <c r="AA498" t="e">
        <f>_xll.BDP(#REF!,AA$2)</f>
        <v>#REF!</v>
      </c>
      <c r="AD498">
        <f>IF(LEFT(_xll.BDP($T498,AD$2),4)="#N/A",-1,_xll.BDP($T498,AD$2))</f>
        <v>-1</v>
      </c>
    </row>
    <row r="499" spans="10:30">
      <c r="J499" s="37"/>
      <c r="U499">
        <f>IF(LEFT(_xll.BDP($T499,U$2),4)="#N/A",0,_xll.BDP($T499,U$2))</f>
        <v>0</v>
      </c>
      <c r="V499" t="e">
        <f>_xll.BDP(#REF!,V$2)</f>
        <v>#REF!</v>
      </c>
      <c r="W499" t="e">
        <f>_xll.BDP(#REF!,W$2)</f>
        <v>#REF!</v>
      </c>
      <c r="X499" t="e">
        <f>_xll.BDP(#REF!,X$2)</f>
        <v>#REF!</v>
      </c>
      <c r="Y499" t="e">
        <f>_xll.BDP(#REF!,Y$2)</f>
        <v>#REF!</v>
      </c>
      <c r="Z499" t="e">
        <f>_xll.BDP(#REF!,Z$2)</f>
        <v>#REF!</v>
      </c>
      <c r="AA499" t="e">
        <f>_xll.BDP(#REF!,AA$2)</f>
        <v>#REF!</v>
      </c>
      <c r="AD499">
        <f>IF(LEFT(_xll.BDP($T499,AD$2),4)="#N/A",-1,_xll.BDP($T499,AD$2))</f>
        <v>-1</v>
      </c>
    </row>
    <row r="500" spans="10:30">
      <c r="J500" s="37"/>
      <c r="U500">
        <f>IF(LEFT(_xll.BDP($T500,U$2),4)="#N/A",0,_xll.BDP($T500,U$2))</f>
        <v>0</v>
      </c>
      <c r="V500" t="e">
        <f>_xll.BDP(#REF!,V$2)</f>
        <v>#REF!</v>
      </c>
      <c r="W500" t="e">
        <f>_xll.BDP(#REF!,W$2)</f>
        <v>#REF!</v>
      </c>
      <c r="X500" t="e">
        <f>_xll.BDP(#REF!,X$2)</f>
        <v>#REF!</v>
      </c>
      <c r="Y500" t="e">
        <f>_xll.BDP(#REF!,Y$2)</f>
        <v>#REF!</v>
      </c>
      <c r="Z500" t="e">
        <f>_xll.BDP(#REF!,Z$2)</f>
        <v>#REF!</v>
      </c>
      <c r="AA500" t="e">
        <f>_xll.BDP(#REF!,AA$2)</f>
        <v>#REF!</v>
      </c>
      <c r="AD500">
        <f>IF(LEFT(_xll.BDP($T500,AD$2),4)="#N/A",-1,_xll.BDP($T500,AD$2))</f>
        <v>-1</v>
      </c>
    </row>
    <row r="501" spans="10:30">
      <c r="J501" s="37"/>
      <c r="U501">
        <f>IF(LEFT(_xll.BDP($T501,U$2),4)="#N/A",0,_xll.BDP($T501,U$2))</f>
        <v>0</v>
      </c>
      <c r="V501" t="e">
        <f>_xll.BDP(#REF!,V$2)</f>
        <v>#REF!</v>
      </c>
      <c r="W501" t="e">
        <f>_xll.BDP(#REF!,W$2)</f>
        <v>#REF!</v>
      </c>
      <c r="X501" t="e">
        <f>_xll.BDP(#REF!,X$2)</f>
        <v>#REF!</v>
      </c>
      <c r="Y501" t="e">
        <f>_xll.BDP(#REF!,Y$2)</f>
        <v>#REF!</v>
      </c>
      <c r="Z501" t="e">
        <f>_xll.BDP(#REF!,Z$2)</f>
        <v>#REF!</v>
      </c>
      <c r="AA501" t="e">
        <f>_xll.BDP(#REF!,AA$2)</f>
        <v>#REF!</v>
      </c>
      <c r="AD501">
        <f>IF(LEFT(_xll.BDP($T501,AD$2),4)="#N/A",-1,_xll.BDP($T501,AD$2))</f>
        <v>-1</v>
      </c>
    </row>
    <row r="502" spans="10:30">
      <c r="J502" s="37"/>
      <c r="U502">
        <f>IF(LEFT(_xll.BDP($T502,U$2),4)="#N/A",0,_xll.BDP($T502,U$2))</f>
        <v>0</v>
      </c>
      <c r="V502" t="e">
        <f>_xll.BDP(#REF!,V$2)</f>
        <v>#REF!</v>
      </c>
      <c r="W502" t="e">
        <f>_xll.BDP(#REF!,W$2)</f>
        <v>#REF!</v>
      </c>
      <c r="X502" t="e">
        <f>_xll.BDP(#REF!,X$2)</f>
        <v>#REF!</v>
      </c>
      <c r="Y502" t="e">
        <f>_xll.BDP(#REF!,Y$2)</f>
        <v>#REF!</v>
      </c>
      <c r="Z502" t="e">
        <f>_xll.BDP(#REF!,Z$2)</f>
        <v>#REF!</v>
      </c>
      <c r="AA502" t="e">
        <f>_xll.BDP(#REF!,AA$2)</f>
        <v>#REF!</v>
      </c>
      <c r="AD502">
        <f>IF(LEFT(_xll.BDP($T502,AD$2),4)="#N/A",-1,_xll.BDP($T502,AD$2))</f>
        <v>-1</v>
      </c>
    </row>
    <row r="503" spans="10:30">
      <c r="J503" s="37"/>
      <c r="U503">
        <f>IF(LEFT(_xll.BDP($T503,U$2),4)="#N/A",0,_xll.BDP($T503,U$2))</f>
        <v>0</v>
      </c>
      <c r="V503" t="e">
        <f>_xll.BDP(#REF!,V$2)</f>
        <v>#REF!</v>
      </c>
      <c r="W503" t="e">
        <f>_xll.BDP(#REF!,W$2)</f>
        <v>#REF!</v>
      </c>
      <c r="X503" t="e">
        <f>_xll.BDP(#REF!,X$2)</f>
        <v>#REF!</v>
      </c>
      <c r="Y503" t="e">
        <f>_xll.BDP(#REF!,Y$2)</f>
        <v>#REF!</v>
      </c>
      <c r="Z503" t="e">
        <f>_xll.BDP(#REF!,Z$2)</f>
        <v>#REF!</v>
      </c>
      <c r="AA503" t="e">
        <f>_xll.BDP(#REF!,AA$2)</f>
        <v>#REF!</v>
      </c>
      <c r="AD503">
        <f>IF(LEFT(_xll.BDP($T503,AD$2),4)="#N/A",-1,_xll.BDP($T503,AD$2))</f>
        <v>-1</v>
      </c>
    </row>
    <row r="504" spans="10:30">
      <c r="J504" s="37"/>
      <c r="U504">
        <f>IF(LEFT(_xll.BDP($T504,U$2),4)="#N/A",0,_xll.BDP($T504,U$2))</f>
        <v>0</v>
      </c>
      <c r="V504" t="e">
        <f>_xll.BDP(#REF!,V$2)</f>
        <v>#REF!</v>
      </c>
      <c r="W504" t="e">
        <f>_xll.BDP(#REF!,W$2)</f>
        <v>#REF!</v>
      </c>
      <c r="X504" t="e">
        <f>_xll.BDP(#REF!,X$2)</f>
        <v>#REF!</v>
      </c>
      <c r="Y504" t="e">
        <f>_xll.BDP(#REF!,Y$2)</f>
        <v>#REF!</v>
      </c>
      <c r="Z504" t="e">
        <f>_xll.BDP(#REF!,Z$2)</f>
        <v>#REF!</v>
      </c>
      <c r="AA504" t="e">
        <f>_xll.BDP(#REF!,AA$2)</f>
        <v>#REF!</v>
      </c>
      <c r="AD504">
        <f>IF(LEFT(_xll.BDP($T504,AD$2),4)="#N/A",-1,_xll.BDP($T504,AD$2))</f>
        <v>-1</v>
      </c>
    </row>
    <row r="505" spans="10:30">
      <c r="J505" s="37"/>
      <c r="U505">
        <f>IF(LEFT(_xll.BDP($T505,U$2),4)="#N/A",0,_xll.BDP($T505,U$2))</f>
        <v>0</v>
      </c>
      <c r="V505" t="e">
        <f>_xll.BDP(#REF!,V$2)</f>
        <v>#REF!</v>
      </c>
      <c r="W505" t="e">
        <f>_xll.BDP(#REF!,W$2)</f>
        <v>#REF!</v>
      </c>
      <c r="X505" t="e">
        <f>_xll.BDP(#REF!,X$2)</f>
        <v>#REF!</v>
      </c>
      <c r="Y505" t="e">
        <f>_xll.BDP(#REF!,Y$2)</f>
        <v>#REF!</v>
      </c>
      <c r="Z505" t="e">
        <f>_xll.BDP(#REF!,Z$2)</f>
        <v>#REF!</v>
      </c>
      <c r="AA505" t="e">
        <f>_xll.BDP(#REF!,AA$2)</f>
        <v>#REF!</v>
      </c>
      <c r="AD505">
        <f>IF(LEFT(_xll.BDP($T505,AD$2),4)="#N/A",-1,_xll.BDP($T505,AD$2))</f>
        <v>-1</v>
      </c>
    </row>
    <row r="506" spans="10:30">
      <c r="J506" s="37"/>
      <c r="U506">
        <f>IF(LEFT(_xll.BDP($T506,U$2),4)="#N/A",0,_xll.BDP($T506,U$2))</f>
        <v>0</v>
      </c>
      <c r="V506" t="e">
        <f>_xll.BDP(#REF!,V$2)</f>
        <v>#REF!</v>
      </c>
      <c r="W506" t="e">
        <f>_xll.BDP(#REF!,W$2)</f>
        <v>#REF!</v>
      </c>
      <c r="X506" t="e">
        <f>_xll.BDP(#REF!,X$2)</f>
        <v>#REF!</v>
      </c>
      <c r="Y506" t="e">
        <f>_xll.BDP(#REF!,Y$2)</f>
        <v>#REF!</v>
      </c>
      <c r="Z506" t="e">
        <f>_xll.BDP(#REF!,Z$2)</f>
        <v>#REF!</v>
      </c>
      <c r="AA506" t="e">
        <f>_xll.BDP(#REF!,AA$2)</f>
        <v>#REF!</v>
      </c>
      <c r="AD506">
        <f>IF(LEFT(_xll.BDP($T506,AD$2),4)="#N/A",-1,_xll.BDP($T506,AD$2))</f>
        <v>-1</v>
      </c>
    </row>
    <row r="507" spans="10:30">
      <c r="J507" s="37"/>
      <c r="U507">
        <f>IF(LEFT(_xll.BDP($T507,U$2),4)="#N/A",0,_xll.BDP($T507,U$2))</f>
        <v>0</v>
      </c>
      <c r="V507" t="e">
        <f>_xll.BDP(#REF!,V$2)</f>
        <v>#REF!</v>
      </c>
      <c r="W507" t="e">
        <f>_xll.BDP(#REF!,W$2)</f>
        <v>#REF!</v>
      </c>
      <c r="X507" t="e">
        <f>_xll.BDP(#REF!,X$2)</f>
        <v>#REF!</v>
      </c>
      <c r="Y507" t="e">
        <f>_xll.BDP(#REF!,Y$2)</f>
        <v>#REF!</v>
      </c>
      <c r="Z507" t="e">
        <f>_xll.BDP(#REF!,Z$2)</f>
        <v>#REF!</v>
      </c>
      <c r="AA507" t="e">
        <f>_xll.BDP(#REF!,AA$2)</f>
        <v>#REF!</v>
      </c>
      <c r="AD507">
        <f>IF(LEFT(_xll.BDP($T507,AD$2),4)="#N/A",-1,_xll.BDP($T507,AD$2))</f>
        <v>-1</v>
      </c>
    </row>
    <row r="508" spans="10:30">
      <c r="J508" s="37"/>
      <c r="U508">
        <f>IF(LEFT(_xll.BDP($T508,U$2),4)="#N/A",0,_xll.BDP($T508,U$2))</f>
        <v>0</v>
      </c>
      <c r="V508" t="e">
        <f>_xll.BDP(#REF!,V$2)</f>
        <v>#REF!</v>
      </c>
      <c r="W508" t="e">
        <f>_xll.BDP(#REF!,W$2)</f>
        <v>#REF!</v>
      </c>
      <c r="X508" t="e">
        <f>_xll.BDP(#REF!,X$2)</f>
        <v>#REF!</v>
      </c>
      <c r="Y508" t="e">
        <f>_xll.BDP(#REF!,Y$2)</f>
        <v>#REF!</v>
      </c>
      <c r="Z508" t="e">
        <f>_xll.BDP(#REF!,Z$2)</f>
        <v>#REF!</v>
      </c>
      <c r="AA508" t="e">
        <f>_xll.BDP(#REF!,AA$2)</f>
        <v>#REF!</v>
      </c>
      <c r="AD508">
        <f>IF(LEFT(_xll.BDP($T508,AD$2),4)="#N/A",-1,_xll.BDP($T508,AD$2))</f>
        <v>-1</v>
      </c>
    </row>
    <row r="509" spans="10:30">
      <c r="J509" s="37"/>
      <c r="U509">
        <f>IF(LEFT(_xll.BDP($T509,U$2),4)="#N/A",0,_xll.BDP($T509,U$2))</f>
        <v>0</v>
      </c>
      <c r="V509" t="e">
        <f>_xll.BDP(#REF!,V$2)</f>
        <v>#REF!</v>
      </c>
      <c r="W509" t="e">
        <f>_xll.BDP(#REF!,W$2)</f>
        <v>#REF!</v>
      </c>
      <c r="X509" t="e">
        <f>_xll.BDP(#REF!,X$2)</f>
        <v>#REF!</v>
      </c>
      <c r="Y509" t="e">
        <f>_xll.BDP(#REF!,Y$2)</f>
        <v>#REF!</v>
      </c>
      <c r="Z509" t="e">
        <f>_xll.BDP(#REF!,Z$2)</f>
        <v>#REF!</v>
      </c>
      <c r="AA509" t="e">
        <f>_xll.BDP(#REF!,AA$2)</f>
        <v>#REF!</v>
      </c>
      <c r="AD509">
        <f>IF(LEFT(_xll.BDP($T509,AD$2),4)="#N/A",-1,_xll.BDP($T509,AD$2))</f>
        <v>-1</v>
      </c>
    </row>
    <row r="510" spans="10:30">
      <c r="J510" s="37"/>
      <c r="U510">
        <f>IF(LEFT(_xll.BDP($T510,U$2),4)="#N/A",0,_xll.BDP($T510,U$2))</f>
        <v>0</v>
      </c>
      <c r="V510" t="e">
        <f>_xll.BDP(#REF!,V$2)</f>
        <v>#REF!</v>
      </c>
      <c r="W510" t="e">
        <f>_xll.BDP(#REF!,W$2)</f>
        <v>#REF!</v>
      </c>
      <c r="X510" t="e">
        <f>_xll.BDP(#REF!,X$2)</f>
        <v>#REF!</v>
      </c>
      <c r="Y510" t="e">
        <f>_xll.BDP(#REF!,Y$2)</f>
        <v>#REF!</v>
      </c>
      <c r="Z510" t="e">
        <f>_xll.BDP(#REF!,Z$2)</f>
        <v>#REF!</v>
      </c>
      <c r="AA510" t="e">
        <f>_xll.BDP(#REF!,AA$2)</f>
        <v>#REF!</v>
      </c>
      <c r="AD510">
        <f>IF(LEFT(_xll.BDP($T510,AD$2),4)="#N/A",-1,_xll.BDP($T510,AD$2))</f>
        <v>-1</v>
      </c>
    </row>
    <row r="511" spans="10:30">
      <c r="J511" s="37"/>
      <c r="U511">
        <f>IF(LEFT(_xll.BDP($T511,U$2),4)="#N/A",0,_xll.BDP($T511,U$2))</f>
        <v>0</v>
      </c>
      <c r="V511" t="e">
        <f>_xll.BDP(#REF!,V$2)</f>
        <v>#REF!</v>
      </c>
      <c r="W511" t="e">
        <f>_xll.BDP(#REF!,W$2)</f>
        <v>#REF!</v>
      </c>
      <c r="X511" t="e">
        <f>_xll.BDP(#REF!,X$2)</f>
        <v>#REF!</v>
      </c>
      <c r="Y511" t="e">
        <f>_xll.BDP(#REF!,Y$2)</f>
        <v>#REF!</v>
      </c>
      <c r="Z511" t="e">
        <f>_xll.BDP(#REF!,Z$2)</f>
        <v>#REF!</v>
      </c>
      <c r="AA511" t="e">
        <f>_xll.BDP(#REF!,AA$2)</f>
        <v>#REF!</v>
      </c>
      <c r="AD511">
        <f>IF(LEFT(_xll.BDP($T511,AD$2),4)="#N/A",-1,_xll.BDP($T511,AD$2))</f>
        <v>-1</v>
      </c>
    </row>
    <row r="512" spans="10:30">
      <c r="J512" s="37"/>
      <c r="U512">
        <f>IF(LEFT(_xll.BDP($T512,U$2),4)="#N/A",0,_xll.BDP($T512,U$2))</f>
        <v>0</v>
      </c>
      <c r="V512" t="e">
        <f>_xll.BDP(#REF!,V$2)</f>
        <v>#REF!</v>
      </c>
      <c r="W512" t="e">
        <f>_xll.BDP(#REF!,W$2)</f>
        <v>#REF!</v>
      </c>
      <c r="X512" t="e">
        <f>_xll.BDP(#REF!,X$2)</f>
        <v>#REF!</v>
      </c>
      <c r="Y512" t="e">
        <f>_xll.BDP(#REF!,Y$2)</f>
        <v>#REF!</v>
      </c>
      <c r="Z512" t="e">
        <f>_xll.BDP(#REF!,Z$2)</f>
        <v>#REF!</v>
      </c>
      <c r="AA512" t="e">
        <f>_xll.BDP(#REF!,AA$2)</f>
        <v>#REF!</v>
      </c>
      <c r="AD512">
        <f>IF(LEFT(_xll.BDP($T512,AD$2),4)="#N/A",-1,_xll.BDP($T512,AD$2))</f>
        <v>-1</v>
      </c>
    </row>
    <row r="513" spans="10:30">
      <c r="J513" s="37"/>
      <c r="U513">
        <f>IF(LEFT(_xll.BDP($T513,U$2),4)="#N/A",0,_xll.BDP($T513,U$2))</f>
        <v>0</v>
      </c>
      <c r="V513" t="e">
        <f>_xll.BDP(#REF!,V$2)</f>
        <v>#REF!</v>
      </c>
      <c r="W513" t="e">
        <f>_xll.BDP(#REF!,W$2)</f>
        <v>#REF!</v>
      </c>
      <c r="X513" t="e">
        <f>_xll.BDP(#REF!,X$2)</f>
        <v>#REF!</v>
      </c>
      <c r="Y513" t="e">
        <f>_xll.BDP(#REF!,Y$2)</f>
        <v>#REF!</v>
      </c>
      <c r="Z513" t="e">
        <f>_xll.BDP(#REF!,Z$2)</f>
        <v>#REF!</v>
      </c>
      <c r="AA513" t="e">
        <f>_xll.BDP(#REF!,AA$2)</f>
        <v>#REF!</v>
      </c>
      <c r="AD513">
        <f>IF(LEFT(_xll.BDP($T513,AD$2),4)="#N/A",-1,_xll.BDP($T513,AD$2))</f>
        <v>-1</v>
      </c>
    </row>
    <row r="514" spans="10:30">
      <c r="J514" s="37"/>
      <c r="U514">
        <f>IF(LEFT(_xll.BDP($T514,U$2),4)="#N/A",0,_xll.BDP($T514,U$2))</f>
        <v>0</v>
      </c>
      <c r="V514" t="e">
        <f>_xll.BDP(#REF!,V$2)</f>
        <v>#REF!</v>
      </c>
      <c r="W514" t="e">
        <f>_xll.BDP(#REF!,W$2)</f>
        <v>#REF!</v>
      </c>
      <c r="X514" t="e">
        <f>_xll.BDP(#REF!,X$2)</f>
        <v>#REF!</v>
      </c>
      <c r="Y514" t="e">
        <f>_xll.BDP(#REF!,Y$2)</f>
        <v>#REF!</v>
      </c>
      <c r="Z514" t="e">
        <f>_xll.BDP(#REF!,Z$2)</f>
        <v>#REF!</v>
      </c>
      <c r="AA514" t="e">
        <f>_xll.BDP(#REF!,AA$2)</f>
        <v>#REF!</v>
      </c>
      <c r="AD514">
        <f>IF(LEFT(_xll.BDP($T514,AD$2),4)="#N/A",-1,_xll.BDP($T514,AD$2))</f>
        <v>-1</v>
      </c>
    </row>
    <row r="515" spans="10:30">
      <c r="J515" s="37"/>
      <c r="U515">
        <f>IF(LEFT(_xll.BDP($T515,U$2),4)="#N/A",0,_xll.BDP($T515,U$2))</f>
        <v>0</v>
      </c>
      <c r="V515" t="e">
        <f>_xll.BDP(#REF!,V$2)</f>
        <v>#REF!</v>
      </c>
      <c r="W515" t="e">
        <f>_xll.BDP(#REF!,W$2)</f>
        <v>#REF!</v>
      </c>
      <c r="X515" t="e">
        <f>_xll.BDP(#REF!,X$2)</f>
        <v>#REF!</v>
      </c>
      <c r="Y515" t="e">
        <f>_xll.BDP(#REF!,Y$2)</f>
        <v>#REF!</v>
      </c>
      <c r="Z515" t="e">
        <f>_xll.BDP(#REF!,Z$2)</f>
        <v>#REF!</v>
      </c>
      <c r="AA515" t="e">
        <f>_xll.BDP(#REF!,AA$2)</f>
        <v>#REF!</v>
      </c>
      <c r="AD515">
        <f>IF(LEFT(_xll.BDP($T515,AD$2),4)="#N/A",-1,_xll.BDP($T515,AD$2))</f>
        <v>-1</v>
      </c>
    </row>
    <row r="516" spans="10:30">
      <c r="J516" s="37"/>
      <c r="U516">
        <f>IF(LEFT(_xll.BDP($T516,U$2),4)="#N/A",0,_xll.BDP($T516,U$2))</f>
        <v>0</v>
      </c>
      <c r="V516" t="e">
        <f>_xll.BDP(#REF!,V$2)</f>
        <v>#REF!</v>
      </c>
      <c r="W516" t="e">
        <f>_xll.BDP(#REF!,W$2)</f>
        <v>#REF!</v>
      </c>
      <c r="X516" t="e">
        <f>_xll.BDP(#REF!,X$2)</f>
        <v>#REF!</v>
      </c>
      <c r="Y516" t="e">
        <f>_xll.BDP(#REF!,Y$2)</f>
        <v>#REF!</v>
      </c>
      <c r="Z516" t="e">
        <f>_xll.BDP(#REF!,Z$2)</f>
        <v>#REF!</v>
      </c>
      <c r="AA516" t="e">
        <f>_xll.BDP(#REF!,AA$2)</f>
        <v>#REF!</v>
      </c>
      <c r="AD516">
        <f>IF(LEFT(_xll.BDP($T516,AD$2),4)="#N/A",-1,_xll.BDP($T516,AD$2))</f>
        <v>-1</v>
      </c>
    </row>
    <row r="517" spans="10:30">
      <c r="J517" s="37"/>
      <c r="U517">
        <f>IF(LEFT(_xll.BDP($T517,U$2),4)="#N/A",0,_xll.BDP($T517,U$2))</f>
        <v>0</v>
      </c>
      <c r="V517" t="e">
        <f>_xll.BDP(#REF!,V$2)</f>
        <v>#REF!</v>
      </c>
      <c r="W517" t="e">
        <f>_xll.BDP(#REF!,W$2)</f>
        <v>#REF!</v>
      </c>
      <c r="X517" t="e">
        <f>_xll.BDP(#REF!,X$2)</f>
        <v>#REF!</v>
      </c>
      <c r="Y517" t="e">
        <f>_xll.BDP(#REF!,Y$2)</f>
        <v>#REF!</v>
      </c>
      <c r="Z517" t="e">
        <f>_xll.BDP(#REF!,Z$2)</f>
        <v>#REF!</v>
      </c>
      <c r="AA517" t="e">
        <f>_xll.BDP(#REF!,AA$2)</f>
        <v>#REF!</v>
      </c>
      <c r="AD517">
        <f>IF(LEFT(_xll.BDP($T517,AD$2),4)="#N/A",-1,_xll.BDP($T517,AD$2))</f>
        <v>-1</v>
      </c>
    </row>
    <row r="518" spans="10:30">
      <c r="J518" s="37"/>
      <c r="U518">
        <f>IF(LEFT(_xll.BDP($T518,U$2),4)="#N/A",0,_xll.BDP($T518,U$2))</f>
        <v>0</v>
      </c>
      <c r="V518" t="e">
        <f>_xll.BDP(#REF!,V$2)</f>
        <v>#REF!</v>
      </c>
      <c r="W518" t="e">
        <f>_xll.BDP(#REF!,W$2)</f>
        <v>#REF!</v>
      </c>
      <c r="X518" t="e">
        <f>_xll.BDP(#REF!,X$2)</f>
        <v>#REF!</v>
      </c>
      <c r="Y518" t="e">
        <f>_xll.BDP(#REF!,Y$2)</f>
        <v>#REF!</v>
      </c>
      <c r="Z518" t="e">
        <f>_xll.BDP(#REF!,Z$2)</f>
        <v>#REF!</v>
      </c>
      <c r="AA518" t="e">
        <f>_xll.BDP(#REF!,AA$2)</f>
        <v>#REF!</v>
      </c>
      <c r="AD518">
        <f>IF(LEFT(_xll.BDP($T518,AD$2),4)="#N/A",-1,_xll.BDP($T518,AD$2))</f>
        <v>-1</v>
      </c>
    </row>
    <row r="519" spans="10:30">
      <c r="J519" s="37"/>
      <c r="U519">
        <f>IF(LEFT(_xll.BDP($T519,U$2),4)="#N/A",0,_xll.BDP($T519,U$2))</f>
        <v>0</v>
      </c>
      <c r="V519" t="e">
        <f>_xll.BDP(#REF!,V$2)</f>
        <v>#REF!</v>
      </c>
      <c r="W519" t="e">
        <f>_xll.BDP(#REF!,W$2)</f>
        <v>#REF!</v>
      </c>
      <c r="X519" t="e">
        <f>_xll.BDP(#REF!,X$2)</f>
        <v>#REF!</v>
      </c>
      <c r="Y519" t="e">
        <f>_xll.BDP(#REF!,Y$2)</f>
        <v>#REF!</v>
      </c>
      <c r="Z519" t="e">
        <f>_xll.BDP(#REF!,Z$2)</f>
        <v>#REF!</v>
      </c>
      <c r="AA519" t="e">
        <f>_xll.BDP(#REF!,AA$2)</f>
        <v>#REF!</v>
      </c>
      <c r="AD519">
        <f>IF(LEFT(_xll.BDP($T519,AD$2),4)="#N/A",-1,_xll.BDP($T519,AD$2))</f>
        <v>-1</v>
      </c>
    </row>
    <row r="520" spans="10:30">
      <c r="J520" s="37"/>
      <c r="U520">
        <f>IF(LEFT(_xll.BDP($T520,U$2),4)="#N/A",0,_xll.BDP($T520,U$2))</f>
        <v>0</v>
      </c>
      <c r="V520" t="e">
        <f>_xll.BDP(#REF!,V$2)</f>
        <v>#REF!</v>
      </c>
      <c r="W520" t="e">
        <f>_xll.BDP(#REF!,W$2)</f>
        <v>#REF!</v>
      </c>
      <c r="X520" t="e">
        <f>_xll.BDP(#REF!,X$2)</f>
        <v>#REF!</v>
      </c>
      <c r="Y520" t="e">
        <f>_xll.BDP(#REF!,Y$2)</f>
        <v>#REF!</v>
      </c>
      <c r="Z520" t="e">
        <f>_xll.BDP(#REF!,Z$2)</f>
        <v>#REF!</v>
      </c>
      <c r="AA520" t="e">
        <f>_xll.BDP(#REF!,AA$2)</f>
        <v>#REF!</v>
      </c>
      <c r="AD520">
        <f>IF(LEFT(_xll.BDP($T520,AD$2),4)="#N/A",-1,_xll.BDP($T520,AD$2))</f>
        <v>-1</v>
      </c>
    </row>
    <row r="521" spans="10:30">
      <c r="J521" s="37"/>
      <c r="U521">
        <f>IF(LEFT(_xll.BDP($T521,U$2),4)="#N/A",0,_xll.BDP($T521,U$2))</f>
        <v>0</v>
      </c>
      <c r="V521" t="e">
        <f>_xll.BDP(#REF!,V$2)</f>
        <v>#REF!</v>
      </c>
      <c r="W521" t="e">
        <f>_xll.BDP(#REF!,W$2)</f>
        <v>#REF!</v>
      </c>
      <c r="X521" t="e">
        <f>_xll.BDP(#REF!,X$2)</f>
        <v>#REF!</v>
      </c>
      <c r="Y521" t="e">
        <f>_xll.BDP(#REF!,Y$2)</f>
        <v>#REF!</v>
      </c>
      <c r="Z521" t="e">
        <f>_xll.BDP(#REF!,Z$2)</f>
        <v>#REF!</v>
      </c>
      <c r="AA521" t="e">
        <f>_xll.BDP(#REF!,AA$2)</f>
        <v>#REF!</v>
      </c>
      <c r="AD521">
        <f>IF(LEFT(_xll.BDP($T521,AD$2),4)="#N/A",-1,_xll.BDP($T521,AD$2))</f>
        <v>-1</v>
      </c>
    </row>
    <row r="522" spans="10:30">
      <c r="J522" s="37"/>
      <c r="U522">
        <f>IF(LEFT(_xll.BDP($T522,U$2),4)="#N/A",0,_xll.BDP($T522,U$2))</f>
        <v>0</v>
      </c>
      <c r="V522" t="e">
        <f>_xll.BDP(#REF!,V$2)</f>
        <v>#REF!</v>
      </c>
      <c r="W522" t="e">
        <f>_xll.BDP(#REF!,W$2)</f>
        <v>#REF!</v>
      </c>
      <c r="X522" t="e">
        <f>_xll.BDP(#REF!,X$2)</f>
        <v>#REF!</v>
      </c>
      <c r="Y522" t="e">
        <f>_xll.BDP(#REF!,Y$2)</f>
        <v>#REF!</v>
      </c>
      <c r="Z522" t="e">
        <f>_xll.BDP(#REF!,Z$2)</f>
        <v>#REF!</v>
      </c>
      <c r="AA522" t="e">
        <f>_xll.BDP(#REF!,AA$2)</f>
        <v>#REF!</v>
      </c>
      <c r="AD522">
        <f>IF(LEFT(_xll.BDP($T522,AD$2),4)="#N/A",-1,_xll.BDP($T522,AD$2))</f>
        <v>-1</v>
      </c>
    </row>
    <row r="523" spans="10:30">
      <c r="J523" s="37"/>
      <c r="U523">
        <f>IF(LEFT(_xll.BDP($T523,U$2),4)="#N/A",0,_xll.BDP($T523,U$2))</f>
        <v>0</v>
      </c>
      <c r="V523" t="e">
        <f>_xll.BDP(#REF!,V$2)</f>
        <v>#REF!</v>
      </c>
      <c r="W523" t="e">
        <f>_xll.BDP(#REF!,W$2)</f>
        <v>#REF!</v>
      </c>
      <c r="X523" t="e">
        <f>_xll.BDP(#REF!,X$2)</f>
        <v>#REF!</v>
      </c>
      <c r="Y523" t="e">
        <f>_xll.BDP(#REF!,Y$2)</f>
        <v>#REF!</v>
      </c>
      <c r="Z523" t="e">
        <f>_xll.BDP(#REF!,Z$2)</f>
        <v>#REF!</v>
      </c>
      <c r="AA523" t="e">
        <f>_xll.BDP(#REF!,AA$2)</f>
        <v>#REF!</v>
      </c>
      <c r="AD523">
        <f>IF(LEFT(_xll.BDP($T523,AD$2),4)="#N/A",-1,_xll.BDP($T523,AD$2))</f>
        <v>-1</v>
      </c>
    </row>
    <row r="524" spans="10:30">
      <c r="J524" s="37"/>
      <c r="U524">
        <f>IF(LEFT(_xll.BDP($T524,U$2),4)="#N/A",0,_xll.BDP($T524,U$2))</f>
        <v>0</v>
      </c>
      <c r="V524" t="e">
        <f>_xll.BDP(#REF!,V$2)</f>
        <v>#REF!</v>
      </c>
      <c r="W524" t="e">
        <f>_xll.BDP(#REF!,W$2)</f>
        <v>#REF!</v>
      </c>
      <c r="X524" t="e">
        <f>_xll.BDP(#REF!,X$2)</f>
        <v>#REF!</v>
      </c>
      <c r="Y524" t="e">
        <f>_xll.BDP(#REF!,Y$2)</f>
        <v>#REF!</v>
      </c>
      <c r="Z524" t="e">
        <f>_xll.BDP(#REF!,Z$2)</f>
        <v>#REF!</v>
      </c>
      <c r="AA524" t="e">
        <f>_xll.BDP(#REF!,AA$2)</f>
        <v>#REF!</v>
      </c>
      <c r="AD524">
        <f>IF(LEFT(_xll.BDP($T524,AD$2),4)="#N/A",-1,_xll.BDP($T524,AD$2))</f>
        <v>-1</v>
      </c>
    </row>
    <row r="525" spans="10:30">
      <c r="J525" s="37"/>
      <c r="U525">
        <f>IF(LEFT(_xll.BDP($T525,U$2),4)="#N/A",0,_xll.BDP($T525,U$2))</f>
        <v>0</v>
      </c>
      <c r="V525" t="e">
        <f>_xll.BDP(#REF!,V$2)</f>
        <v>#REF!</v>
      </c>
      <c r="W525" t="e">
        <f>_xll.BDP(#REF!,W$2)</f>
        <v>#REF!</v>
      </c>
      <c r="X525" t="e">
        <f>_xll.BDP(#REF!,X$2)</f>
        <v>#REF!</v>
      </c>
      <c r="Y525" t="e">
        <f>_xll.BDP(#REF!,Y$2)</f>
        <v>#REF!</v>
      </c>
      <c r="Z525" t="e">
        <f>_xll.BDP(#REF!,Z$2)</f>
        <v>#REF!</v>
      </c>
      <c r="AA525" t="e">
        <f>_xll.BDP(#REF!,AA$2)</f>
        <v>#REF!</v>
      </c>
      <c r="AD525">
        <f>IF(LEFT(_xll.BDP($T525,AD$2),4)="#N/A",-1,_xll.BDP($T525,AD$2))</f>
        <v>-1</v>
      </c>
    </row>
    <row r="526" spans="10:30">
      <c r="J526" s="37"/>
      <c r="U526">
        <f>IF(LEFT(_xll.BDP($T526,U$2),4)="#N/A",0,_xll.BDP($T526,U$2))</f>
        <v>0</v>
      </c>
      <c r="V526" t="e">
        <f>_xll.BDP(#REF!,V$2)</f>
        <v>#REF!</v>
      </c>
      <c r="W526" t="e">
        <f>_xll.BDP(#REF!,W$2)</f>
        <v>#REF!</v>
      </c>
      <c r="X526" t="e">
        <f>_xll.BDP(#REF!,X$2)</f>
        <v>#REF!</v>
      </c>
      <c r="Y526" t="e">
        <f>_xll.BDP(#REF!,Y$2)</f>
        <v>#REF!</v>
      </c>
      <c r="Z526" t="e">
        <f>_xll.BDP(#REF!,Z$2)</f>
        <v>#REF!</v>
      </c>
      <c r="AA526" t="e">
        <f>_xll.BDP(#REF!,AA$2)</f>
        <v>#REF!</v>
      </c>
      <c r="AD526">
        <f>IF(LEFT(_xll.BDP($T526,AD$2),4)="#N/A",-1,_xll.BDP($T526,AD$2))</f>
        <v>-1</v>
      </c>
    </row>
    <row r="527" spans="10:30">
      <c r="J527" s="37"/>
      <c r="U527">
        <f>IF(LEFT(_xll.BDP($T527,U$2),4)="#N/A",0,_xll.BDP($T527,U$2))</f>
        <v>0</v>
      </c>
      <c r="V527" t="e">
        <f>_xll.BDP(#REF!,V$2)</f>
        <v>#REF!</v>
      </c>
      <c r="W527" t="e">
        <f>_xll.BDP(#REF!,W$2)</f>
        <v>#REF!</v>
      </c>
      <c r="X527" t="e">
        <f>_xll.BDP(#REF!,X$2)</f>
        <v>#REF!</v>
      </c>
      <c r="Y527" t="e">
        <f>_xll.BDP(#REF!,Y$2)</f>
        <v>#REF!</v>
      </c>
      <c r="Z527" t="e">
        <f>_xll.BDP(#REF!,Z$2)</f>
        <v>#REF!</v>
      </c>
      <c r="AA527" t="e">
        <f>_xll.BDP(#REF!,AA$2)</f>
        <v>#REF!</v>
      </c>
      <c r="AD527">
        <f>IF(LEFT(_xll.BDP($T527,AD$2),4)="#N/A",-1,_xll.BDP($T527,AD$2))</f>
        <v>-1</v>
      </c>
    </row>
    <row r="528" spans="10:30">
      <c r="J528" s="37"/>
      <c r="U528">
        <f>IF(LEFT(_xll.BDP($T528,U$2),4)="#N/A",0,_xll.BDP($T528,U$2))</f>
        <v>0</v>
      </c>
      <c r="V528" t="e">
        <f>_xll.BDP(#REF!,V$2)</f>
        <v>#REF!</v>
      </c>
      <c r="W528" t="e">
        <f>_xll.BDP(#REF!,W$2)</f>
        <v>#REF!</v>
      </c>
      <c r="X528" t="e">
        <f>_xll.BDP(#REF!,X$2)</f>
        <v>#REF!</v>
      </c>
      <c r="Y528" t="e">
        <f>_xll.BDP(#REF!,Y$2)</f>
        <v>#REF!</v>
      </c>
      <c r="Z528" t="e">
        <f>_xll.BDP(#REF!,Z$2)</f>
        <v>#REF!</v>
      </c>
      <c r="AA528" t="e">
        <f>_xll.BDP(#REF!,AA$2)</f>
        <v>#REF!</v>
      </c>
      <c r="AD528">
        <f>IF(LEFT(_xll.BDP($T528,AD$2),4)="#N/A",-1,_xll.BDP($T528,AD$2))</f>
        <v>-1</v>
      </c>
    </row>
    <row r="529" spans="10:30">
      <c r="J529" s="37"/>
      <c r="U529">
        <f>IF(LEFT(_xll.BDP($T529,U$2),4)="#N/A",0,_xll.BDP($T529,U$2))</f>
        <v>0</v>
      </c>
      <c r="V529" t="e">
        <f>_xll.BDP(#REF!,V$2)</f>
        <v>#REF!</v>
      </c>
      <c r="W529" t="e">
        <f>_xll.BDP(#REF!,W$2)</f>
        <v>#REF!</v>
      </c>
      <c r="X529" t="e">
        <f>_xll.BDP(#REF!,X$2)</f>
        <v>#REF!</v>
      </c>
      <c r="Y529" t="e">
        <f>_xll.BDP(#REF!,Y$2)</f>
        <v>#REF!</v>
      </c>
      <c r="Z529" t="e">
        <f>_xll.BDP(#REF!,Z$2)</f>
        <v>#REF!</v>
      </c>
      <c r="AA529" t="e">
        <f>_xll.BDP(#REF!,AA$2)</f>
        <v>#REF!</v>
      </c>
      <c r="AD529">
        <f>IF(LEFT(_xll.BDP($T529,AD$2),4)="#N/A",-1,_xll.BDP($T529,AD$2))</f>
        <v>-1</v>
      </c>
    </row>
    <row r="530" spans="10:30">
      <c r="J530" s="37"/>
      <c r="U530">
        <f>IF(LEFT(_xll.BDP($T530,U$2),4)="#N/A",0,_xll.BDP($T530,U$2))</f>
        <v>0</v>
      </c>
      <c r="V530" t="e">
        <f>_xll.BDP(#REF!,V$2)</f>
        <v>#REF!</v>
      </c>
      <c r="W530" t="e">
        <f>_xll.BDP(#REF!,W$2)</f>
        <v>#REF!</v>
      </c>
      <c r="X530" t="e">
        <f>_xll.BDP(#REF!,X$2)</f>
        <v>#REF!</v>
      </c>
      <c r="Y530" t="e">
        <f>_xll.BDP(#REF!,Y$2)</f>
        <v>#REF!</v>
      </c>
      <c r="Z530" t="e">
        <f>_xll.BDP(#REF!,Z$2)</f>
        <v>#REF!</v>
      </c>
      <c r="AA530" t="e">
        <f>_xll.BDP(#REF!,AA$2)</f>
        <v>#REF!</v>
      </c>
      <c r="AD530">
        <f>IF(LEFT(_xll.BDP($T530,AD$2),4)="#N/A",-1,_xll.BDP($T530,AD$2))</f>
        <v>-1</v>
      </c>
    </row>
    <row r="531" spans="10:30">
      <c r="J531" s="37"/>
      <c r="U531">
        <f>IF(LEFT(_xll.BDP($T531,U$2),4)="#N/A",0,_xll.BDP($T531,U$2))</f>
        <v>0</v>
      </c>
      <c r="V531" t="e">
        <f>_xll.BDP(#REF!,V$2)</f>
        <v>#REF!</v>
      </c>
      <c r="W531" t="e">
        <f>_xll.BDP(#REF!,W$2)</f>
        <v>#REF!</v>
      </c>
      <c r="X531" t="e">
        <f>_xll.BDP(#REF!,X$2)</f>
        <v>#REF!</v>
      </c>
      <c r="Y531" t="e">
        <f>_xll.BDP(#REF!,Y$2)</f>
        <v>#REF!</v>
      </c>
      <c r="Z531" t="e">
        <f>_xll.BDP(#REF!,Z$2)</f>
        <v>#REF!</v>
      </c>
      <c r="AA531" t="e">
        <f>_xll.BDP(#REF!,AA$2)</f>
        <v>#REF!</v>
      </c>
      <c r="AD531">
        <f>IF(LEFT(_xll.BDP($T531,AD$2),4)="#N/A",-1,_xll.BDP($T531,AD$2))</f>
        <v>-1</v>
      </c>
    </row>
    <row r="532" spans="10:30">
      <c r="J532" s="37"/>
      <c r="U532">
        <f>IF(LEFT(_xll.BDP($T532,U$2),4)="#N/A",0,_xll.BDP($T532,U$2))</f>
        <v>0</v>
      </c>
      <c r="V532" t="e">
        <f>_xll.BDP(#REF!,V$2)</f>
        <v>#REF!</v>
      </c>
      <c r="W532" t="e">
        <f>_xll.BDP(#REF!,W$2)</f>
        <v>#REF!</v>
      </c>
      <c r="X532" t="e">
        <f>_xll.BDP(#REF!,X$2)</f>
        <v>#REF!</v>
      </c>
      <c r="Y532" t="e">
        <f>_xll.BDP(#REF!,Y$2)</f>
        <v>#REF!</v>
      </c>
      <c r="Z532" t="e">
        <f>_xll.BDP(#REF!,Z$2)</f>
        <v>#REF!</v>
      </c>
      <c r="AA532" t="e">
        <f>_xll.BDP(#REF!,AA$2)</f>
        <v>#REF!</v>
      </c>
      <c r="AD532">
        <f>IF(LEFT(_xll.BDP($T532,AD$2),4)="#N/A",-1,_xll.BDP($T532,AD$2))</f>
        <v>-1</v>
      </c>
    </row>
    <row r="533" spans="10:30">
      <c r="J533" s="37"/>
      <c r="U533">
        <f>IF(LEFT(_xll.BDP($T533,U$2),4)="#N/A",0,_xll.BDP($T533,U$2))</f>
        <v>0</v>
      </c>
      <c r="V533" t="e">
        <f>_xll.BDP(#REF!,V$2)</f>
        <v>#REF!</v>
      </c>
      <c r="W533" t="e">
        <f>_xll.BDP(#REF!,W$2)</f>
        <v>#REF!</v>
      </c>
      <c r="X533" t="e">
        <f>_xll.BDP(#REF!,X$2)</f>
        <v>#REF!</v>
      </c>
      <c r="Y533" t="e">
        <f>_xll.BDP(#REF!,Y$2)</f>
        <v>#REF!</v>
      </c>
      <c r="Z533" t="e">
        <f>_xll.BDP(#REF!,Z$2)</f>
        <v>#REF!</v>
      </c>
      <c r="AA533" t="e">
        <f>_xll.BDP(#REF!,AA$2)</f>
        <v>#REF!</v>
      </c>
      <c r="AD533">
        <f>IF(LEFT(_xll.BDP($T533,AD$2),4)="#N/A",-1,_xll.BDP($T533,AD$2))</f>
        <v>-1</v>
      </c>
    </row>
    <row r="534" spans="10:30">
      <c r="J534" s="37"/>
      <c r="U534">
        <f>IF(LEFT(_xll.BDP($T534,U$2),4)="#N/A",0,_xll.BDP($T534,U$2))</f>
        <v>0</v>
      </c>
      <c r="V534" t="e">
        <f>_xll.BDP(#REF!,V$2)</f>
        <v>#REF!</v>
      </c>
      <c r="W534" t="e">
        <f>_xll.BDP(#REF!,W$2)</f>
        <v>#REF!</v>
      </c>
      <c r="X534" t="e">
        <f>_xll.BDP(#REF!,X$2)</f>
        <v>#REF!</v>
      </c>
      <c r="Y534" t="e">
        <f>_xll.BDP(#REF!,Y$2)</f>
        <v>#REF!</v>
      </c>
      <c r="Z534" t="e">
        <f>_xll.BDP(#REF!,Z$2)</f>
        <v>#REF!</v>
      </c>
      <c r="AA534" t="e">
        <f>_xll.BDP(#REF!,AA$2)</f>
        <v>#REF!</v>
      </c>
      <c r="AD534">
        <f>IF(LEFT(_xll.BDP($T534,AD$2),4)="#N/A",-1,_xll.BDP($T534,AD$2))</f>
        <v>-1</v>
      </c>
    </row>
    <row r="535" spans="10:30">
      <c r="J535" s="37"/>
      <c r="U535">
        <f>IF(LEFT(_xll.BDP($T535,U$2),4)="#N/A",0,_xll.BDP($T535,U$2))</f>
        <v>0</v>
      </c>
      <c r="V535" t="e">
        <f>_xll.BDP(#REF!,V$2)</f>
        <v>#REF!</v>
      </c>
      <c r="W535" t="e">
        <f>_xll.BDP(#REF!,W$2)</f>
        <v>#REF!</v>
      </c>
      <c r="X535" t="e">
        <f>_xll.BDP(#REF!,X$2)</f>
        <v>#REF!</v>
      </c>
      <c r="Y535" t="e">
        <f>_xll.BDP(#REF!,Y$2)</f>
        <v>#REF!</v>
      </c>
      <c r="Z535" t="e">
        <f>_xll.BDP(#REF!,Z$2)</f>
        <v>#REF!</v>
      </c>
      <c r="AA535" t="e">
        <f>_xll.BDP(#REF!,AA$2)</f>
        <v>#REF!</v>
      </c>
      <c r="AD535">
        <f>IF(LEFT(_xll.BDP($T535,AD$2),4)="#N/A",-1,_xll.BDP($T535,AD$2))</f>
        <v>-1</v>
      </c>
    </row>
    <row r="536" spans="10:30">
      <c r="J536" s="37"/>
      <c r="U536">
        <f>IF(LEFT(_xll.BDP($T536,U$2),4)="#N/A",0,_xll.BDP($T536,U$2))</f>
        <v>0</v>
      </c>
      <c r="V536" t="e">
        <f>_xll.BDP(#REF!,V$2)</f>
        <v>#REF!</v>
      </c>
      <c r="W536" t="e">
        <f>_xll.BDP(#REF!,W$2)</f>
        <v>#REF!</v>
      </c>
      <c r="X536" t="e">
        <f>_xll.BDP(#REF!,X$2)</f>
        <v>#REF!</v>
      </c>
      <c r="Y536" t="e">
        <f>_xll.BDP(#REF!,Y$2)</f>
        <v>#REF!</v>
      </c>
      <c r="Z536" t="e">
        <f>_xll.BDP(#REF!,Z$2)</f>
        <v>#REF!</v>
      </c>
      <c r="AA536" t="e">
        <f>_xll.BDP(#REF!,AA$2)</f>
        <v>#REF!</v>
      </c>
      <c r="AD536">
        <f>IF(LEFT(_xll.BDP($T536,AD$2),4)="#N/A",-1,_xll.BDP($T536,AD$2))</f>
        <v>-1</v>
      </c>
    </row>
    <row r="537" spans="10:30">
      <c r="J537" s="37"/>
      <c r="U537">
        <f>IF(LEFT(_xll.BDP($T537,U$2),4)="#N/A",0,_xll.BDP($T537,U$2))</f>
        <v>0</v>
      </c>
      <c r="V537" t="e">
        <f>_xll.BDP(#REF!,V$2)</f>
        <v>#REF!</v>
      </c>
      <c r="W537" t="e">
        <f>_xll.BDP(#REF!,W$2)</f>
        <v>#REF!</v>
      </c>
      <c r="X537" t="e">
        <f>_xll.BDP(#REF!,X$2)</f>
        <v>#REF!</v>
      </c>
      <c r="Y537" t="e">
        <f>_xll.BDP(#REF!,Y$2)</f>
        <v>#REF!</v>
      </c>
      <c r="Z537" t="e">
        <f>_xll.BDP(#REF!,Z$2)</f>
        <v>#REF!</v>
      </c>
      <c r="AA537" t="e">
        <f>_xll.BDP(#REF!,AA$2)</f>
        <v>#REF!</v>
      </c>
      <c r="AD537">
        <f>IF(LEFT(_xll.BDP($T537,AD$2),4)="#N/A",-1,_xll.BDP($T537,AD$2))</f>
        <v>-1</v>
      </c>
    </row>
    <row r="538" spans="10:30">
      <c r="J538" s="37"/>
      <c r="U538">
        <f>IF(LEFT(_xll.BDP($T538,U$2),4)="#N/A",0,_xll.BDP($T538,U$2))</f>
        <v>0</v>
      </c>
      <c r="V538" t="e">
        <f>_xll.BDP(#REF!,V$2)</f>
        <v>#REF!</v>
      </c>
      <c r="W538" t="e">
        <f>_xll.BDP(#REF!,W$2)</f>
        <v>#REF!</v>
      </c>
      <c r="X538" t="e">
        <f>_xll.BDP(#REF!,X$2)</f>
        <v>#REF!</v>
      </c>
      <c r="Y538" t="e">
        <f>_xll.BDP(#REF!,Y$2)</f>
        <v>#REF!</v>
      </c>
      <c r="Z538" t="e">
        <f>_xll.BDP(#REF!,Z$2)</f>
        <v>#REF!</v>
      </c>
      <c r="AA538" t="e">
        <f>_xll.BDP(#REF!,AA$2)</f>
        <v>#REF!</v>
      </c>
      <c r="AD538">
        <f>IF(LEFT(_xll.BDP($T538,AD$2),4)="#N/A",-1,_xll.BDP($T538,AD$2))</f>
        <v>-1</v>
      </c>
    </row>
    <row r="539" spans="10:30">
      <c r="J539" s="37"/>
      <c r="U539">
        <f>IF(LEFT(_xll.BDP($T539,U$2),4)="#N/A",0,_xll.BDP($T539,U$2))</f>
        <v>0</v>
      </c>
      <c r="V539" t="e">
        <f>_xll.BDP(#REF!,V$2)</f>
        <v>#REF!</v>
      </c>
      <c r="W539" t="e">
        <f>_xll.BDP(#REF!,W$2)</f>
        <v>#REF!</v>
      </c>
      <c r="X539" t="e">
        <f>_xll.BDP(#REF!,X$2)</f>
        <v>#REF!</v>
      </c>
      <c r="Y539" t="e">
        <f>_xll.BDP(#REF!,Y$2)</f>
        <v>#REF!</v>
      </c>
      <c r="Z539" t="e">
        <f>_xll.BDP(#REF!,Z$2)</f>
        <v>#REF!</v>
      </c>
      <c r="AA539" t="e">
        <f>_xll.BDP(#REF!,AA$2)</f>
        <v>#REF!</v>
      </c>
      <c r="AD539">
        <f>IF(LEFT(_xll.BDP($T539,AD$2),4)="#N/A",-1,_xll.BDP($T539,AD$2))</f>
        <v>-1</v>
      </c>
    </row>
    <row r="540" spans="10:30">
      <c r="J540" s="37"/>
      <c r="U540">
        <f>IF(LEFT(_xll.BDP($T540,U$2),4)="#N/A",0,_xll.BDP($T540,U$2))</f>
        <v>0</v>
      </c>
      <c r="V540" t="e">
        <f>_xll.BDP(#REF!,V$2)</f>
        <v>#REF!</v>
      </c>
      <c r="W540" t="e">
        <f>_xll.BDP(#REF!,W$2)</f>
        <v>#REF!</v>
      </c>
      <c r="X540" t="e">
        <f>_xll.BDP(#REF!,X$2)</f>
        <v>#REF!</v>
      </c>
      <c r="Y540" t="e">
        <f>_xll.BDP(#REF!,Y$2)</f>
        <v>#REF!</v>
      </c>
      <c r="Z540" t="e">
        <f>_xll.BDP(#REF!,Z$2)</f>
        <v>#REF!</v>
      </c>
      <c r="AA540" t="e">
        <f>_xll.BDP(#REF!,AA$2)</f>
        <v>#REF!</v>
      </c>
      <c r="AD540">
        <f>IF(LEFT(_xll.BDP($T540,AD$2),4)="#N/A",-1,_xll.BDP($T540,AD$2))</f>
        <v>-1</v>
      </c>
    </row>
    <row r="541" spans="10:30">
      <c r="J541" s="37"/>
      <c r="U541">
        <f>IF(LEFT(_xll.BDP($T541,U$2),4)="#N/A",0,_xll.BDP($T541,U$2))</f>
        <v>0</v>
      </c>
      <c r="V541" t="e">
        <f>_xll.BDP(#REF!,V$2)</f>
        <v>#REF!</v>
      </c>
      <c r="W541" t="e">
        <f>_xll.BDP(#REF!,W$2)</f>
        <v>#REF!</v>
      </c>
      <c r="X541" t="e">
        <f>_xll.BDP(#REF!,X$2)</f>
        <v>#REF!</v>
      </c>
      <c r="Y541" t="e">
        <f>_xll.BDP(#REF!,Y$2)</f>
        <v>#REF!</v>
      </c>
      <c r="Z541" t="e">
        <f>_xll.BDP(#REF!,Z$2)</f>
        <v>#REF!</v>
      </c>
      <c r="AA541" t="e">
        <f>_xll.BDP(#REF!,AA$2)</f>
        <v>#REF!</v>
      </c>
      <c r="AD541">
        <f>IF(LEFT(_xll.BDP($T541,AD$2),4)="#N/A",-1,_xll.BDP($T541,AD$2))</f>
        <v>-1</v>
      </c>
    </row>
    <row r="542" spans="10:30">
      <c r="J542" s="37"/>
      <c r="U542">
        <f>IF(LEFT(_xll.BDP($T542,U$2),4)="#N/A",0,_xll.BDP($T542,U$2))</f>
        <v>0</v>
      </c>
      <c r="V542" t="e">
        <f>_xll.BDP(#REF!,V$2)</f>
        <v>#REF!</v>
      </c>
      <c r="W542" t="e">
        <f>_xll.BDP(#REF!,W$2)</f>
        <v>#REF!</v>
      </c>
      <c r="X542" t="e">
        <f>_xll.BDP(#REF!,X$2)</f>
        <v>#REF!</v>
      </c>
      <c r="Y542" t="e">
        <f>_xll.BDP(#REF!,Y$2)</f>
        <v>#REF!</v>
      </c>
      <c r="Z542" t="e">
        <f>_xll.BDP(#REF!,Z$2)</f>
        <v>#REF!</v>
      </c>
      <c r="AA542" t="e">
        <f>_xll.BDP(#REF!,AA$2)</f>
        <v>#REF!</v>
      </c>
      <c r="AD542">
        <f>IF(LEFT(_xll.BDP($T542,AD$2),4)="#N/A",-1,_xll.BDP($T542,AD$2))</f>
        <v>-1</v>
      </c>
    </row>
    <row r="543" spans="10:30">
      <c r="J543" s="37"/>
      <c r="U543">
        <f>IF(LEFT(_xll.BDP($T543,U$2),4)="#N/A",0,_xll.BDP($T543,U$2))</f>
        <v>0</v>
      </c>
      <c r="V543" t="e">
        <f>_xll.BDP(#REF!,V$2)</f>
        <v>#REF!</v>
      </c>
      <c r="W543" t="e">
        <f>_xll.BDP(#REF!,W$2)</f>
        <v>#REF!</v>
      </c>
      <c r="X543" t="e">
        <f>_xll.BDP(#REF!,X$2)</f>
        <v>#REF!</v>
      </c>
      <c r="Y543" t="e">
        <f>_xll.BDP(#REF!,Y$2)</f>
        <v>#REF!</v>
      </c>
      <c r="Z543" t="e">
        <f>_xll.BDP(#REF!,Z$2)</f>
        <v>#REF!</v>
      </c>
      <c r="AA543" t="e">
        <f>_xll.BDP(#REF!,AA$2)</f>
        <v>#REF!</v>
      </c>
      <c r="AD543">
        <f>IF(LEFT(_xll.BDP($T543,AD$2),4)="#N/A",-1,_xll.BDP($T543,AD$2))</f>
        <v>-1</v>
      </c>
    </row>
    <row r="544" spans="10:30">
      <c r="J544" s="37"/>
      <c r="U544">
        <f>IF(LEFT(_xll.BDP($T544,U$2),4)="#N/A",0,_xll.BDP($T544,U$2))</f>
        <v>0</v>
      </c>
      <c r="V544" t="e">
        <f>_xll.BDP(#REF!,V$2)</f>
        <v>#REF!</v>
      </c>
      <c r="W544" t="e">
        <f>_xll.BDP(#REF!,W$2)</f>
        <v>#REF!</v>
      </c>
      <c r="X544" t="e">
        <f>_xll.BDP(#REF!,X$2)</f>
        <v>#REF!</v>
      </c>
      <c r="Y544" t="e">
        <f>_xll.BDP(#REF!,Y$2)</f>
        <v>#REF!</v>
      </c>
      <c r="Z544" t="e">
        <f>_xll.BDP(#REF!,Z$2)</f>
        <v>#REF!</v>
      </c>
      <c r="AA544" t="e">
        <f>_xll.BDP(#REF!,AA$2)</f>
        <v>#REF!</v>
      </c>
      <c r="AD544">
        <f>IF(LEFT(_xll.BDP($T544,AD$2),4)="#N/A",-1,_xll.BDP($T544,AD$2))</f>
        <v>-1</v>
      </c>
    </row>
    <row r="545" spans="10:30">
      <c r="J545" s="37"/>
      <c r="U545">
        <f>IF(LEFT(_xll.BDP($T545,U$2),4)="#N/A",0,_xll.BDP($T545,U$2))</f>
        <v>0</v>
      </c>
      <c r="V545" t="e">
        <f>_xll.BDP(#REF!,V$2)</f>
        <v>#REF!</v>
      </c>
      <c r="W545" t="e">
        <f>_xll.BDP(#REF!,W$2)</f>
        <v>#REF!</v>
      </c>
      <c r="X545" t="e">
        <f>_xll.BDP(#REF!,X$2)</f>
        <v>#REF!</v>
      </c>
      <c r="Y545" t="e">
        <f>_xll.BDP(#REF!,Y$2)</f>
        <v>#REF!</v>
      </c>
      <c r="Z545" t="e">
        <f>_xll.BDP(#REF!,Z$2)</f>
        <v>#REF!</v>
      </c>
      <c r="AA545" t="e">
        <f>_xll.BDP(#REF!,AA$2)</f>
        <v>#REF!</v>
      </c>
      <c r="AD545">
        <f>IF(LEFT(_xll.BDP($T545,AD$2),4)="#N/A",-1,_xll.BDP($T545,AD$2))</f>
        <v>-1</v>
      </c>
    </row>
    <row r="546" spans="10:30">
      <c r="J546" s="37"/>
      <c r="U546">
        <f>IF(LEFT(_xll.BDP($T546,U$2),4)="#N/A",0,_xll.BDP($T546,U$2))</f>
        <v>0</v>
      </c>
      <c r="V546" t="e">
        <f>_xll.BDP(#REF!,V$2)</f>
        <v>#REF!</v>
      </c>
      <c r="W546" t="e">
        <f>_xll.BDP(#REF!,W$2)</f>
        <v>#REF!</v>
      </c>
      <c r="X546" t="e">
        <f>_xll.BDP(#REF!,X$2)</f>
        <v>#REF!</v>
      </c>
      <c r="Y546" t="e">
        <f>_xll.BDP(#REF!,Y$2)</f>
        <v>#REF!</v>
      </c>
      <c r="Z546" t="e">
        <f>_xll.BDP(#REF!,Z$2)</f>
        <v>#REF!</v>
      </c>
      <c r="AA546" t="e">
        <f>_xll.BDP(#REF!,AA$2)</f>
        <v>#REF!</v>
      </c>
      <c r="AD546">
        <f>IF(LEFT(_xll.BDP($T546,AD$2),4)="#N/A",-1,_xll.BDP($T546,AD$2))</f>
        <v>-1</v>
      </c>
    </row>
    <row r="547" spans="10:30">
      <c r="J547" s="37"/>
      <c r="U547">
        <f>IF(LEFT(_xll.BDP($T547,U$2),4)="#N/A",0,_xll.BDP($T547,U$2))</f>
        <v>0</v>
      </c>
      <c r="V547" t="e">
        <f>_xll.BDP(#REF!,V$2)</f>
        <v>#REF!</v>
      </c>
      <c r="W547" t="e">
        <f>_xll.BDP(#REF!,W$2)</f>
        <v>#REF!</v>
      </c>
      <c r="X547" t="e">
        <f>_xll.BDP(#REF!,X$2)</f>
        <v>#REF!</v>
      </c>
      <c r="Y547" t="e">
        <f>_xll.BDP(#REF!,Y$2)</f>
        <v>#REF!</v>
      </c>
      <c r="Z547" t="e">
        <f>_xll.BDP(#REF!,Z$2)</f>
        <v>#REF!</v>
      </c>
      <c r="AA547" t="e">
        <f>_xll.BDP(#REF!,AA$2)</f>
        <v>#REF!</v>
      </c>
      <c r="AD547">
        <f>IF(LEFT(_xll.BDP($T547,AD$2),4)="#N/A",-1,_xll.BDP($T547,AD$2))</f>
        <v>-1</v>
      </c>
    </row>
    <row r="548" spans="10:30">
      <c r="J548" s="37"/>
      <c r="U548">
        <f>IF(LEFT(_xll.BDP($T548,U$2),4)="#N/A",0,_xll.BDP($T548,U$2))</f>
        <v>0</v>
      </c>
      <c r="V548" t="e">
        <f>_xll.BDP(#REF!,V$2)</f>
        <v>#REF!</v>
      </c>
      <c r="W548" t="e">
        <f>_xll.BDP(#REF!,W$2)</f>
        <v>#REF!</v>
      </c>
      <c r="X548" t="e">
        <f>_xll.BDP(#REF!,X$2)</f>
        <v>#REF!</v>
      </c>
      <c r="Y548" t="e">
        <f>_xll.BDP(#REF!,Y$2)</f>
        <v>#REF!</v>
      </c>
      <c r="Z548" t="e">
        <f>_xll.BDP(#REF!,Z$2)</f>
        <v>#REF!</v>
      </c>
      <c r="AA548" t="e">
        <f>_xll.BDP(#REF!,AA$2)</f>
        <v>#REF!</v>
      </c>
      <c r="AD548">
        <f>IF(LEFT(_xll.BDP($T548,AD$2),4)="#N/A",-1,_xll.BDP($T548,AD$2))</f>
        <v>-1</v>
      </c>
    </row>
    <row r="549" spans="10:30">
      <c r="J549" s="37"/>
      <c r="U549">
        <f>IF(LEFT(_xll.BDP($T549,U$2),4)="#N/A",0,_xll.BDP($T549,U$2))</f>
        <v>0</v>
      </c>
      <c r="V549" t="e">
        <f>_xll.BDP(#REF!,V$2)</f>
        <v>#REF!</v>
      </c>
      <c r="W549" t="e">
        <f>_xll.BDP(#REF!,W$2)</f>
        <v>#REF!</v>
      </c>
      <c r="X549" t="e">
        <f>_xll.BDP(#REF!,X$2)</f>
        <v>#REF!</v>
      </c>
      <c r="Y549" t="e">
        <f>_xll.BDP(#REF!,Y$2)</f>
        <v>#REF!</v>
      </c>
      <c r="Z549" t="e">
        <f>_xll.BDP(#REF!,Z$2)</f>
        <v>#REF!</v>
      </c>
      <c r="AA549" t="e">
        <f>_xll.BDP(#REF!,AA$2)</f>
        <v>#REF!</v>
      </c>
      <c r="AD549">
        <f>IF(LEFT(_xll.BDP($T549,AD$2),4)="#N/A",-1,_xll.BDP($T549,AD$2))</f>
        <v>-1</v>
      </c>
    </row>
    <row r="550" spans="10:30">
      <c r="J550" s="37"/>
      <c r="U550">
        <f>IF(LEFT(_xll.BDP($T550,U$2),4)="#N/A",0,_xll.BDP($T550,U$2))</f>
        <v>0</v>
      </c>
      <c r="V550" t="e">
        <f>_xll.BDP(#REF!,V$2)</f>
        <v>#REF!</v>
      </c>
      <c r="W550" t="e">
        <f>_xll.BDP(#REF!,W$2)</f>
        <v>#REF!</v>
      </c>
      <c r="X550" t="e">
        <f>_xll.BDP(#REF!,X$2)</f>
        <v>#REF!</v>
      </c>
      <c r="Y550" t="e">
        <f>_xll.BDP(#REF!,Y$2)</f>
        <v>#REF!</v>
      </c>
      <c r="Z550" t="e">
        <f>_xll.BDP(#REF!,Z$2)</f>
        <v>#REF!</v>
      </c>
      <c r="AA550" t="e">
        <f>_xll.BDP(#REF!,AA$2)</f>
        <v>#REF!</v>
      </c>
      <c r="AD550">
        <f>IF(LEFT(_xll.BDP($T550,AD$2),4)="#N/A",-1,_xll.BDP($T550,AD$2))</f>
        <v>-1</v>
      </c>
    </row>
    <row r="551" spans="10:30">
      <c r="J551" s="37"/>
      <c r="U551">
        <f>IF(LEFT(_xll.BDP($T551,U$2),4)="#N/A",0,_xll.BDP($T551,U$2))</f>
        <v>0</v>
      </c>
      <c r="V551" t="e">
        <f>_xll.BDP(#REF!,V$2)</f>
        <v>#REF!</v>
      </c>
      <c r="W551" t="e">
        <f>_xll.BDP(#REF!,W$2)</f>
        <v>#REF!</v>
      </c>
      <c r="X551" t="e">
        <f>_xll.BDP(#REF!,X$2)</f>
        <v>#REF!</v>
      </c>
      <c r="Y551" t="e">
        <f>_xll.BDP(#REF!,Y$2)</f>
        <v>#REF!</v>
      </c>
      <c r="Z551" t="e">
        <f>_xll.BDP(#REF!,Z$2)</f>
        <v>#REF!</v>
      </c>
      <c r="AA551" t="e">
        <f>_xll.BDP(#REF!,AA$2)</f>
        <v>#REF!</v>
      </c>
      <c r="AD551">
        <f>IF(LEFT(_xll.BDP($T551,AD$2),4)="#N/A",-1,_xll.BDP($T551,AD$2))</f>
        <v>-1</v>
      </c>
    </row>
    <row r="552" spans="10:30">
      <c r="J552" s="37"/>
      <c r="U552">
        <f>IF(LEFT(_xll.BDP($T552,U$2),4)="#N/A",0,_xll.BDP($T552,U$2))</f>
        <v>0</v>
      </c>
      <c r="V552" t="e">
        <f>_xll.BDP(#REF!,V$2)</f>
        <v>#REF!</v>
      </c>
      <c r="W552" t="e">
        <f>_xll.BDP(#REF!,W$2)</f>
        <v>#REF!</v>
      </c>
      <c r="X552" t="e">
        <f>_xll.BDP(#REF!,X$2)</f>
        <v>#REF!</v>
      </c>
      <c r="Y552" t="e">
        <f>_xll.BDP(#REF!,Y$2)</f>
        <v>#REF!</v>
      </c>
      <c r="Z552" t="e">
        <f>_xll.BDP(#REF!,Z$2)</f>
        <v>#REF!</v>
      </c>
      <c r="AA552" t="e">
        <f>_xll.BDP(#REF!,AA$2)</f>
        <v>#REF!</v>
      </c>
      <c r="AD552">
        <f>IF(LEFT(_xll.BDP($T552,AD$2),4)="#N/A",-1,_xll.BDP($T552,AD$2))</f>
        <v>-1</v>
      </c>
    </row>
    <row r="553" spans="10:30">
      <c r="J553" s="37"/>
      <c r="U553">
        <f>IF(LEFT(_xll.BDP($T553,U$2),4)="#N/A",0,_xll.BDP($T553,U$2))</f>
        <v>0</v>
      </c>
      <c r="V553" t="e">
        <f>_xll.BDP(#REF!,V$2)</f>
        <v>#REF!</v>
      </c>
      <c r="W553" t="e">
        <f>_xll.BDP(#REF!,W$2)</f>
        <v>#REF!</v>
      </c>
      <c r="X553" t="e">
        <f>_xll.BDP(#REF!,X$2)</f>
        <v>#REF!</v>
      </c>
      <c r="Y553" t="e">
        <f>_xll.BDP(#REF!,Y$2)</f>
        <v>#REF!</v>
      </c>
      <c r="Z553" t="e">
        <f>_xll.BDP(#REF!,Z$2)</f>
        <v>#REF!</v>
      </c>
      <c r="AA553" t="e">
        <f>_xll.BDP(#REF!,AA$2)</f>
        <v>#REF!</v>
      </c>
      <c r="AD553">
        <f>IF(LEFT(_xll.BDP($T553,AD$2),4)="#N/A",-1,_xll.BDP($T553,AD$2))</f>
        <v>-1</v>
      </c>
    </row>
    <row r="554" spans="10:30">
      <c r="J554" s="37"/>
      <c r="U554">
        <f>IF(LEFT(_xll.BDP($T554,U$2),4)="#N/A",0,_xll.BDP($T554,U$2))</f>
        <v>0</v>
      </c>
      <c r="V554" t="e">
        <f>_xll.BDP(#REF!,V$2)</f>
        <v>#REF!</v>
      </c>
      <c r="W554" t="e">
        <f>_xll.BDP(#REF!,W$2)</f>
        <v>#REF!</v>
      </c>
      <c r="X554" t="e">
        <f>_xll.BDP(#REF!,X$2)</f>
        <v>#REF!</v>
      </c>
      <c r="Y554" t="e">
        <f>_xll.BDP(#REF!,Y$2)</f>
        <v>#REF!</v>
      </c>
      <c r="Z554" t="e">
        <f>_xll.BDP(#REF!,Z$2)</f>
        <v>#REF!</v>
      </c>
      <c r="AA554" t="e">
        <f>_xll.BDP(#REF!,AA$2)</f>
        <v>#REF!</v>
      </c>
      <c r="AD554">
        <f>IF(LEFT(_xll.BDP($T554,AD$2),4)="#N/A",-1,_xll.BDP($T554,AD$2))</f>
        <v>-1</v>
      </c>
    </row>
    <row r="555" spans="10:30">
      <c r="J555" s="37"/>
      <c r="U555">
        <f>IF(LEFT(_xll.BDP($T555,U$2),4)="#N/A",0,_xll.BDP($T555,U$2))</f>
        <v>0</v>
      </c>
      <c r="V555" t="e">
        <f>_xll.BDP(#REF!,V$2)</f>
        <v>#REF!</v>
      </c>
      <c r="W555" t="e">
        <f>_xll.BDP(#REF!,W$2)</f>
        <v>#REF!</v>
      </c>
      <c r="X555" t="e">
        <f>_xll.BDP(#REF!,X$2)</f>
        <v>#REF!</v>
      </c>
      <c r="Y555" t="e">
        <f>_xll.BDP(#REF!,Y$2)</f>
        <v>#REF!</v>
      </c>
      <c r="Z555" t="e">
        <f>_xll.BDP(#REF!,Z$2)</f>
        <v>#REF!</v>
      </c>
      <c r="AA555" t="e">
        <f>_xll.BDP(#REF!,AA$2)</f>
        <v>#REF!</v>
      </c>
      <c r="AD555">
        <f>IF(LEFT(_xll.BDP($T555,AD$2),4)="#N/A",-1,_xll.BDP($T555,AD$2))</f>
        <v>-1</v>
      </c>
    </row>
    <row r="556" spans="10:30">
      <c r="J556" s="37"/>
      <c r="U556">
        <f>IF(LEFT(_xll.BDP($T556,U$2),4)="#N/A",0,_xll.BDP($T556,U$2))</f>
        <v>0</v>
      </c>
      <c r="V556" t="e">
        <f>_xll.BDP(#REF!,V$2)</f>
        <v>#REF!</v>
      </c>
      <c r="W556" t="e">
        <f>_xll.BDP(#REF!,W$2)</f>
        <v>#REF!</v>
      </c>
      <c r="X556" t="e">
        <f>_xll.BDP(#REF!,X$2)</f>
        <v>#REF!</v>
      </c>
      <c r="Y556" t="e">
        <f>_xll.BDP(#REF!,Y$2)</f>
        <v>#REF!</v>
      </c>
      <c r="Z556" t="e">
        <f>_xll.BDP(#REF!,Z$2)</f>
        <v>#REF!</v>
      </c>
      <c r="AA556" t="e">
        <f>_xll.BDP(#REF!,AA$2)</f>
        <v>#REF!</v>
      </c>
      <c r="AD556">
        <f>IF(LEFT(_xll.BDP($T556,AD$2),4)="#N/A",-1,_xll.BDP($T556,AD$2))</f>
        <v>-1</v>
      </c>
    </row>
    <row r="557" spans="10:30">
      <c r="J557" s="37"/>
      <c r="U557">
        <f>IF(LEFT(_xll.BDP($T557,U$2),4)="#N/A",0,_xll.BDP($T557,U$2))</f>
        <v>0</v>
      </c>
      <c r="V557" t="e">
        <f>_xll.BDP(#REF!,V$2)</f>
        <v>#REF!</v>
      </c>
      <c r="W557" t="e">
        <f>_xll.BDP(#REF!,W$2)</f>
        <v>#REF!</v>
      </c>
      <c r="X557" t="e">
        <f>_xll.BDP(#REF!,X$2)</f>
        <v>#REF!</v>
      </c>
      <c r="Y557" t="e">
        <f>_xll.BDP(#REF!,Y$2)</f>
        <v>#REF!</v>
      </c>
      <c r="Z557" t="e">
        <f>_xll.BDP(#REF!,Z$2)</f>
        <v>#REF!</v>
      </c>
      <c r="AA557" t="e">
        <f>_xll.BDP(#REF!,AA$2)</f>
        <v>#REF!</v>
      </c>
      <c r="AD557">
        <f>IF(LEFT(_xll.BDP($T557,AD$2),4)="#N/A",-1,_xll.BDP($T557,AD$2))</f>
        <v>-1</v>
      </c>
    </row>
    <row r="558" spans="10:30">
      <c r="J558" s="37"/>
      <c r="U558">
        <f>IF(LEFT(_xll.BDP($T558,U$2),4)="#N/A",0,_xll.BDP($T558,U$2))</f>
        <v>0</v>
      </c>
      <c r="V558" t="e">
        <f>_xll.BDP(#REF!,V$2)</f>
        <v>#REF!</v>
      </c>
      <c r="W558" t="e">
        <f>_xll.BDP(#REF!,W$2)</f>
        <v>#REF!</v>
      </c>
      <c r="X558" t="e">
        <f>_xll.BDP(#REF!,X$2)</f>
        <v>#REF!</v>
      </c>
      <c r="Y558" t="e">
        <f>_xll.BDP(#REF!,Y$2)</f>
        <v>#REF!</v>
      </c>
      <c r="Z558" t="e">
        <f>_xll.BDP(#REF!,Z$2)</f>
        <v>#REF!</v>
      </c>
      <c r="AA558" t="e">
        <f>_xll.BDP(#REF!,AA$2)</f>
        <v>#REF!</v>
      </c>
      <c r="AD558">
        <f>IF(LEFT(_xll.BDP($T558,AD$2),4)="#N/A",-1,_xll.BDP($T558,AD$2))</f>
        <v>-1</v>
      </c>
    </row>
    <row r="559" spans="10:30">
      <c r="J559" s="37"/>
      <c r="U559">
        <f>IF(LEFT(_xll.BDP($T559,U$2),4)="#N/A",0,_xll.BDP($T559,U$2))</f>
        <v>0</v>
      </c>
      <c r="V559" t="e">
        <f>_xll.BDP(#REF!,V$2)</f>
        <v>#REF!</v>
      </c>
      <c r="W559" t="e">
        <f>_xll.BDP(#REF!,W$2)</f>
        <v>#REF!</v>
      </c>
      <c r="X559" t="e">
        <f>_xll.BDP(#REF!,X$2)</f>
        <v>#REF!</v>
      </c>
      <c r="Y559" t="e">
        <f>_xll.BDP(#REF!,Y$2)</f>
        <v>#REF!</v>
      </c>
      <c r="Z559" t="e">
        <f>_xll.BDP(#REF!,Z$2)</f>
        <v>#REF!</v>
      </c>
      <c r="AA559" t="e">
        <f>_xll.BDP(#REF!,AA$2)</f>
        <v>#REF!</v>
      </c>
      <c r="AD559">
        <f>IF(LEFT(_xll.BDP($T559,AD$2),4)="#N/A",-1,_xll.BDP($T559,AD$2))</f>
        <v>-1</v>
      </c>
    </row>
    <row r="560" spans="10:30">
      <c r="J560" s="37"/>
      <c r="U560">
        <f>IF(LEFT(_xll.BDP($T560,U$2),4)="#N/A",0,_xll.BDP($T560,U$2))</f>
        <v>0</v>
      </c>
      <c r="V560" t="e">
        <f>_xll.BDP(#REF!,V$2)</f>
        <v>#REF!</v>
      </c>
      <c r="W560" t="e">
        <f>_xll.BDP(#REF!,W$2)</f>
        <v>#REF!</v>
      </c>
      <c r="X560" t="e">
        <f>_xll.BDP(#REF!,X$2)</f>
        <v>#REF!</v>
      </c>
      <c r="Y560" t="e">
        <f>_xll.BDP(#REF!,Y$2)</f>
        <v>#REF!</v>
      </c>
      <c r="Z560" t="e">
        <f>_xll.BDP(#REF!,Z$2)</f>
        <v>#REF!</v>
      </c>
      <c r="AA560" t="e">
        <f>_xll.BDP(#REF!,AA$2)</f>
        <v>#REF!</v>
      </c>
      <c r="AD560">
        <f>IF(LEFT(_xll.BDP($T560,AD$2),4)="#N/A",-1,_xll.BDP($T560,AD$2))</f>
        <v>-1</v>
      </c>
    </row>
    <row r="561" spans="10:30">
      <c r="J561" s="37"/>
      <c r="U561">
        <f>IF(LEFT(_xll.BDP($T561,U$2),4)="#N/A",0,_xll.BDP($T561,U$2))</f>
        <v>0</v>
      </c>
      <c r="V561" t="e">
        <f>_xll.BDP(#REF!,V$2)</f>
        <v>#REF!</v>
      </c>
      <c r="W561" t="e">
        <f>_xll.BDP(#REF!,W$2)</f>
        <v>#REF!</v>
      </c>
      <c r="X561" t="e">
        <f>_xll.BDP(#REF!,X$2)</f>
        <v>#REF!</v>
      </c>
      <c r="Y561" t="e">
        <f>_xll.BDP(#REF!,Y$2)</f>
        <v>#REF!</v>
      </c>
      <c r="Z561" t="e">
        <f>_xll.BDP(#REF!,Z$2)</f>
        <v>#REF!</v>
      </c>
      <c r="AA561" t="e">
        <f>_xll.BDP(#REF!,AA$2)</f>
        <v>#REF!</v>
      </c>
      <c r="AD561">
        <f>IF(LEFT(_xll.BDP($T561,AD$2),4)="#N/A",-1,_xll.BDP($T561,AD$2))</f>
        <v>-1</v>
      </c>
    </row>
    <row r="562" spans="10:30">
      <c r="J562" s="37"/>
      <c r="U562">
        <f>IF(LEFT(_xll.BDP($T562,U$2),4)="#N/A",0,_xll.BDP($T562,U$2))</f>
        <v>0</v>
      </c>
      <c r="V562" t="e">
        <f>_xll.BDP(#REF!,V$2)</f>
        <v>#REF!</v>
      </c>
      <c r="W562" t="e">
        <f>_xll.BDP(#REF!,W$2)</f>
        <v>#REF!</v>
      </c>
      <c r="X562" t="e">
        <f>_xll.BDP(#REF!,X$2)</f>
        <v>#REF!</v>
      </c>
      <c r="Y562" t="e">
        <f>_xll.BDP(#REF!,Y$2)</f>
        <v>#REF!</v>
      </c>
      <c r="Z562" t="e">
        <f>_xll.BDP(#REF!,Z$2)</f>
        <v>#REF!</v>
      </c>
      <c r="AA562" t="e">
        <f>_xll.BDP(#REF!,AA$2)</f>
        <v>#REF!</v>
      </c>
      <c r="AD562">
        <f>IF(LEFT(_xll.BDP($T562,AD$2),4)="#N/A",-1,_xll.BDP($T562,AD$2))</f>
        <v>-1</v>
      </c>
    </row>
    <row r="563" spans="10:30">
      <c r="J563" s="37"/>
      <c r="U563">
        <f>IF(LEFT(_xll.BDP($T563,U$2),4)="#N/A",0,_xll.BDP($T563,U$2))</f>
        <v>0</v>
      </c>
      <c r="V563" t="e">
        <f>_xll.BDP(#REF!,V$2)</f>
        <v>#REF!</v>
      </c>
      <c r="W563" t="e">
        <f>_xll.BDP(#REF!,W$2)</f>
        <v>#REF!</v>
      </c>
      <c r="X563" t="e">
        <f>_xll.BDP(#REF!,X$2)</f>
        <v>#REF!</v>
      </c>
      <c r="Y563" t="e">
        <f>_xll.BDP(#REF!,Y$2)</f>
        <v>#REF!</v>
      </c>
      <c r="Z563" t="e">
        <f>_xll.BDP(#REF!,Z$2)</f>
        <v>#REF!</v>
      </c>
      <c r="AA563" t="e">
        <f>_xll.BDP(#REF!,AA$2)</f>
        <v>#REF!</v>
      </c>
      <c r="AD563">
        <f>IF(LEFT(_xll.BDP($T563,AD$2),4)="#N/A",-1,_xll.BDP($T563,AD$2))</f>
        <v>-1</v>
      </c>
    </row>
    <row r="564" spans="10:30">
      <c r="J564" s="37"/>
      <c r="U564">
        <f>IF(LEFT(_xll.BDP($T564,U$2),4)="#N/A",0,_xll.BDP($T564,U$2))</f>
        <v>0</v>
      </c>
      <c r="V564" t="e">
        <f>_xll.BDP(#REF!,V$2)</f>
        <v>#REF!</v>
      </c>
      <c r="W564" t="e">
        <f>_xll.BDP(#REF!,W$2)</f>
        <v>#REF!</v>
      </c>
      <c r="X564" t="e">
        <f>_xll.BDP(#REF!,X$2)</f>
        <v>#REF!</v>
      </c>
      <c r="Y564" t="e">
        <f>_xll.BDP(#REF!,Y$2)</f>
        <v>#REF!</v>
      </c>
      <c r="Z564" t="e">
        <f>_xll.BDP(#REF!,Z$2)</f>
        <v>#REF!</v>
      </c>
      <c r="AA564" t="e">
        <f>_xll.BDP(#REF!,AA$2)</f>
        <v>#REF!</v>
      </c>
      <c r="AD564">
        <f>IF(LEFT(_xll.BDP($T564,AD$2),4)="#N/A",-1,_xll.BDP($T564,AD$2))</f>
        <v>-1</v>
      </c>
    </row>
    <row r="565" spans="10:30">
      <c r="J565" s="37"/>
      <c r="U565">
        <f>IF(LEFT(_xll.BDP($T565,U$2),4)="#N/A",0,_xll.BDP($T565,U$2))</f>
        <v>0</v>
      </c>
      <c r="V565" t="e">
        <f>_xll.BDP(#REF!,V$2)</f>
        <v>#REF!</v>
      </c>
      <c r="W565" t="e">
        <f>_xll.BDP(#REF!,W$2)</f>
        <v>#REF!</v>
      </c>
      <c r="X565" t="e">
        <f>_xll.BDP(#REF!,X$2)</f>
        <v>#REF!</v>
      </c>
      <c r="Y565" t="e">
        <f>_xll.BDP(#REF!,Y$2)</f>
        <v>#REF!</v>
      </c>
      <c r="Z565" t="e">
        <f>_xll.BDP(#REF!,Z$2)</f>
        <v>#REF!</v>
      </c>
      <c r="AA565" t="e">
        <f>_xll.BDP(#REF!,AA$2)</f>
        <v>#REF!</v>
      </c>
      <c r="AD565">
        <f>IF(LEFT(_xll.BDP($T565,AD$2),4)="#N/A",-1,_xll.BDP($T565,AD$2))</f>
        <v>-1</v>
      </c>
    </row>
    <row r="566" spans="10:30">
      <c r="J566" s="37"/>
      <c r="U566">
        <f>IF(LEFT(_xll.BDP($T566,U$2),4)="#N/A",0,_xll.BDP($T566,U$2))</f>
        <v>0</v>
      </c>
      <c r="V566" t="e">
        <f>_xll.BDP(#REF!,V$2)</f>
        <v>#REF!</v>
      </c>
      <c r="W566" t="e">
        <f>_xll.BDP(#REF!,W$2)</f>
        <v>#REF!</v>
      </c>
      <c r="X566" t="e">
        <f>_xll.BDP(#REF!,X$2)</f>
        <v>#REF!</v>
      </c>
      <c r="Y566" t="e">
        <f>_xll.BDP(#REF!,Y$2)</f>
        <v>#REF!</v>
      </c>
      <c r="Z566" t="e">
        <f>_xll.BDP(#REF!,Z$2)</f>
        <v>#REF!</v>
      </c>
      <c r="AA566" t="e">
        <f>_xll.BDP(#REF!,AA$2)</f>
        <v>#REF!</v>
      </c>
      <c r="AD566">
        <f>IF(LEFT(_xll.BDP($T566,AD$2),4)="#N/A",-1,_xll.BDP($T566,AD$2))</f>
        <v>-1</v>
      </c>
    </row>
    <row r="567" spans="10:30">
      <c r="J567" s="37"/>
      <c r="U567">
        <f>IF(LEFT(_xll.BDP($T567,U$2),4)="#N/A",0,_xll.BDP($T567,U$2))</f>
        <v>0</v>
      </c>
      <c r="V567" t="e">
        <f>_xll.BDP(#REF!,V$2)</f>
        <v>#REF!</v>
      </c>
      <c r="W567" t="e">
        <f>_xll.BDP(#REF!,W$2)</f>
        <v>#REF!</v>
      </c>
      <c r="X567" t="e">
        <f>_xll.BDP(#REF!,X$2)</f>
        <v>#REF!</v>
      </c>
      <c r="Y567" t="e">
        <f>_xll.BDP(#REF!,Y$2)</f>
        <v>#REF!</v>
      </c>
      <c r="Z567" t="e">
        <f>_xll.BDP(#REF!,Z$2)</f>
        <v>#REF!</v>
      </c>
      <c r="AA567" t="e">
        <f>_xll.BDP(#REF!,AA$2)</f>
        <v>#REF!</v>
      </c>
      <c r="AD567">
        <f>IF(LEFT(_xll.BDP($T567,AD$2),4)="#N/A",-1,_xll.BDP($T567,AD$2))</f>
        <v>-1</v>
      </c>
    </row>
    <row r="568" spans="10:30">
      <c r="J568" s="37"/>
      <c r="U568">
        <f>IF(LEFT(_xll.BDP($T568,U$2),4)="#N/A",0,_xll.BDP($T568,U$2))</f>
        <v>0</v>
      </c>
      <c r="V568" t="e">
        <f>_xll.BDP(#REF!,V$2)</f>
        <v>#REF!</v>
      </c>
      <c r="W568" t="e">
        <f>_xll.BDP(#REF!,W$2)</f>
        <v>#REF!</v>
      </c>
      <c r="X568" t="e">
        <f>_xll.BDP(#REF!,X$2)</f>
        <v>#REF!</v>
      </c>
      <c r="Y568" t="e">
        <f>_xll.BDP(#REF!,Y$2)</f>
        <v>#REF!</v>
      </c>
      <c r="Z568" t="e">
        <f>_xll.BDP(#REF!,Z$2)</f>
        <v>#REF!</v>
      </c>
      <c r="AA568" t="e">
        <f>_xll.BDP(#REF!,AA$2)</f>
        <v>#REF!</v>
      </c>
      <c r="AD568">
        <f>IF(LEFT(_xll.BDP($T568,AD$2),4)="#N/A",-1,_xll.BDP($T568,AD$2))</f>
        <v>-1</v>
      </c>
    </row>
    <row r="569" spans="10:30">
      <c r="J569" s="37"/>
      <c r="U569">
        <f>IF(LEFT(_xll.BDP($T569,U$2),4)="#N/A",0,_xll.BDP($T569,U$2))</f>
        <v>0</v>
      </c>
      <c r="V569" t="e">
        <f>_xll.BDP(#REF!,V$2)</f>
        <v>#REF!</v>
      </c>
      <c r="W569" t="e">
        <f>_xll.BDP(#REF!,W$2)</f>
        <v>#REF!</v>
      </c>
      <c r="X569" t="e">
        <f>_xll.BDP(#REF!,X$2)</f>
        <v>#REF!</v>
      </c>
      <c r="Y569" t="e">
        <f>_xll.BDP(#REF!,Y$2)</f>
        <v>#REF!</v>
      </c>
      <c r="Z569" t="e">
        <f>_xll.BDP(#REF!,Z$2)</f>
        <v>#REF!</v>
      </c>
      <c r="AA569" t="e">
        <f>_xll.BDP(#REF!,AA$2)</f>
        <v>#REF!</v>
      </c>
      <c r="AD569">
        <f>IF(LEFT(_xll.BDP($T569,AD$2),4)="#N/A",-1,_xll.BDP($T569,AD$2))</f>
        <v>-1</v>
      </c>
    </row>
    <row r="570" spans="10:30">
      <c r="J570" s="37"/>
      <c r="U570">
        <f>IF(LEFT(_xll.BDP($T570,U$2),4)="#N/A",0,_xll.BDP($T570,U$2))</f>
        <v>0</v>
      </c>
      <c r="V570" t="e">
        <f>_xll.BDP(#REF!,V$2)</f>
        <v>#REF!</v>
      </c>
      <c r="W570" t="e">
        <f>_xll.BDP(#REF!,W$2)</f>
        <v>#REF!</v>
      </c>
      <c r="X570" t="e">
        <f>_xll.BDP(#REF!,X$2)</f>
        <v>#REF!</v>
      </c>
      <c r="Y570" t="e">
        <f>_xll.BDP(#REF!,Y$2)</f>
        <v>#REF!</v>
      </c>
      <c r="Z570" t="e">
        <f>_xll.BDP(#REF!,Z$2)</f>
        <v>#REF!</v>
      </c>
      <c r="AA570" t="e">
        <f>_xll.BDP(#REF!,AA$2)</f>
        <v>#REF!</v>
      </c>
      <c r="AD570">
        <f>IF(LEFT(_xll.BDP($T570,AD$2),4)="#N/A",-1,_xll.BDP($T570,AD$2))</f>
        <v>-1</v>
      </c>
    </row>
    <row r="571" spans="10:30">
      <c r="J571" s="37"/>
      <c r="U571">
        <f>IF(LEFT(_xll.BDP($T571,U$2),4)="#N/A",0,_xll.BDP($T571,U$2))</f>
        <v>0</v>
      </c>
      <c r="V571" t="e">
        <f>_xll.BDP(#REF!,V$2)</f>
        <v>#REF!</v>
      </c>
      <c r="W571" t="e">
        <f>_xll.BDP(#REF!,W$2)</f>
        <v>#REF!</v>
      </c>
      <c r="X571" t="e">
        <f>_xll.BDP(#REF!,X$2)</f>
        <v>#REF!</v>
      </c>
      <c r="Y571" t="e">
        <f>_xll.BDP(#REF!,Y$2)</f>
        <v>#REF!</v>
      </c>
      <c r="Z571" t="e">
        <f>_xll.BDP(#REF!,Z$2)</f>
        <v>#REF!</v>
      </c>
      <c r="AA571" t="e">
        <f>_xll.BDP(#REF!,AA$2)</f>
        <v>#REF!</v>
      </c>
      <c r="AD571">
        <f>IF(LEFT(_xll.BDP($T571,AD$2),4)="#N/A",-1,_xll.BDP($T571,AD$2))</f>
        <v>-1</v>
      </c>
    </row>
    <row r="572" spans="10:30">
      <c r="J572" s="37"/>
      <c r="U572">
        <f>IF(LEFT(_xll.BDP($T572,U$2),4)="#N/A",0,_xll.BDP($T572,U$2))</f>
        <v>0</v>
      </c>
      <c r="V572" t="e">
        <f>_xll.BDP(#REF!,V$2)</f>
        <v>#REF!</v>
      </c>
      <c r="W572" t="e">
        <f>_xll.BDP(#REF!,W$2)</f>
        <v>#REF!</v>
      </c>
      <c r="X572" t="e">
        <f>_xll.BDP(#REF!,X$2)</f>
        <v>#REF!</v>
      </c>
      <c r="Y572" t="e">
        <f>_xll.BDP(#REF!,Y$2)</f>
        <v>#REF!</v>
      </c>
      <c r="Z572" t="e">
        <f>_xll.BDP(#REF!,Z$2)</f>
        <v>#REF!</v>
      </c>
      <c r="AA572" t="e">
        <f>_xll.BDP(#REF!,AA$2)</f>
        <v>#REF!</v>
      </c>
      <c r="AD572">
        <f>IF(LEFT(_xll.BDP($T572,AD$2),4)="#N/A",-1,_xll.BDP($T572,AD$2))</f>
        <v>-1</v>
      </c>
    </row>
    <row r="573" spans="10:30">
      <c r="J573" s="37"/>
      <c r="U573">
        <f>IF(LEFT(_xll.BDP($T573,U$2),4)="#N/A",0,_xll.BDP($T573,U$2))</f>
        <v>0</v>
      </c>
      <c r="V573" t="e">
        <f>_xll.BDP(#REF!,V$2)</f>
        <v>#REF!</v>
      </c>
      <c r="W573" t="e">
        <f>_xll.BDP(#REF!,W$2)</f>
        <v>#REF!</v>
      </c>
      <c r="X573" t="e">
        <f>_xll.BDP(#REF!,X$2)</f>
        <v>#REF!</v>
      </c>
      <c r="Y573" t="e">
        <f>_xll.BDP(#REF!,Y$2)</f>
        <v>#REF!</v>
      </c>
      <c r="Z573" t="e">
        <f>_xll.BDP(#REF!,Z$2)</f>
        <v>#REF!</v>
      </c>
      <c r="AA573" t="e">
        <f>_xll.BDP(#REF!,AA$2)</f>
        <v>#REF!</v>
      </c>
      <c r="AD573">
        <f>IF(LEFT(_xll.BDP($T573,AD$2),4)="#N/A",-1,_xll.BDP($T573,AD$2))</f>
        <v>-1</v>
      </c>
    </row>
    <row r="574" spans="10:30">
      <c r="J574" s="37"/>
      <c r="U574">
        <f>IF(LEFT(_xll.BDP($T574,U$2),4)="#N/A",0,_xll.BDP($T574,U$2))</f>
        <v>0</v>
      </c>
      <c r="V574" t="e">
        <f>_xll.BDP(#REF!,V$2)</f>
        <v>#REF!</v>
      </c>
      <c r="W574" t="e">
        <f>_xll.BDP(#REF!,W$2)</f>
        <v>#REF!</v>
      </c>
      <c r="X574" t="e">
        <f>_xll.BDP(#REF!,X$2)</f>
        <v>#REF!</v>
      </c>
      <c r="Y574" t="e">
        <f>_xll.BDP(#REF!,Y$2)</f>
        <v>#REF!</v>
      </c>
      <c r="Z574" t="e">
        <f>_xll.BDP(#REF!,Z$2)</f>
        <v>#REF!</v>
      </c>
      <c r="AA574" t="e">
        <f>_xll.BDP(#REF!,AA$2)</f>
        <v>#REF!</v>
      </c>
      <c r="AD574">
        <f>IF(LEFT(_xll.BDP($T574,AD$2),4)="#N/A",-1,_xll.BDP($T574,AD$2))</f>
        <v>-1</v>
      </c>
    </row>
    <row r="575" spans="10:30">
      <c r="J575" s="37"/>
      <c r="U575">
        <f>IF(LEFT(_xll.BDP($T575,U$2),4)="#N/A",0,_xll.BDP($T575,U$2))</f>
        <v>0</v>
      </c>
      <c r="V575" t="e">
        <f>_xll.BDP(#REF!,V$2)</f>
        <v>#REF!</v>
      </c>
      <c r="W575" t="e">
        <f>_xll.BDP(#REF!,W$2)</f>
        <v>#REF!</v>
      </c>
      <c r="X575" t="e">
        <f>_xll.BDP(#REF!,X$2)</f>
        <v>#REF!</v>
      </c>
      <c r="Y575" t="e">
        <f>_xll.BDP(#REF!,Y$2)</f>
        <v>#REF!</v>
      </c>
      <c r="Z575" t="e">
        <f>_xll.BDP(#REF!,Z$2)</f>
        <v>#REF!</v>
      </c>
      <c r="AA575" t="e">
        <f>_xll.BDP(#REF!,AA$2)</f>
        <v>#REF!</v>
      </c>
      <c r="AD575">
        <f>IF(LEFT(_xll.BDP($T575,AD$2),4)="#N/A",-1,_xll.BDP($T575,AD$2))</f>
        <v>-1</v>
      </c>
    </row>
    <row r="576" spans="10:30">
      <c r="J576" s="37"/>
      <c r="U576">
        <f>IF(LEFT(_xll.BDP($T576,U$2),4)="#N/A",0,_xll.BDP($T576,U$2))</f>
        <v>0</v>
      </c>
      <c r="V576" t="e">
        <f>_xll.BDP(#REF!,V$2)</f>
        <v>#REF!</v>
      </c>
      <c r="W576" t="e">
        <f>_xll.BDP(#REF!,W$2)</f>
        <v>#REF!</v>
      </c>
      <c r="X576" t="e">
        <f>_xll.BDP(#REF!,X$2)</f>
        <v>#REF!</v>
      </c>
      <c r="Y576" t="e">
        <f>_xll.BDP(#REF!,Y$2)</f>
        <v>#REF!</v>
      </c>
      <c r="Z576" t="e">
        <f>_xll.BDP(#REF!,Z$2)</f>
        <v>#REF!</v>
      </c>
      <c r="AA576" t="e">
        <f>_xll.BDP(#REF!,AA$2)</f>
        <v>#REF!</v>
      </c>
      <c r="AD576">
        <f>IF(LEFT(_xll.BDP($T576,AD$2),4)="#N/A",-1,_xll.BDP($T576,AD$2))</f>
        <v>-1</v>
      </c>
    </row>
    <row r="577" spans="10:30">
      <c r="J577" s="37"/>
      <c r="U577">
        <f>IF(LEFT(_xll.BDP($T577,U$2),4)="#N/A",0,_xll.BDP($T577,U$2))</f>
        <v>0</v>
      </c>
      <c r="V577" t="e">
        <f>_xll.BDP(#REF!,V$2)</f>
        <v>#REF!</v>
      </c>
      <c r="W577" t="e">
        <f>_xll.BDP(#REF!,W$2)</f>
        <v>#REF!</v>
      </c>
      <c r="X577" t="e">
        <f>_xll.BDP(#REF!,X$2)</f>
        <v>#REF!</v>
      </c>
      <c r="Y577" t="e">
        <f>_xll.BDP(#REF!,Y$2)</f>
        <v>#REF!</v>
      </c>
      <c r="Z577" t="e">
        <f>_xll.BDP(#REF!,Z$2)</f>
        <v>#REF!</v>
      </c>
      <c r="AA577" t="e">
        <f>_xll.BDP(#REF!,AA$2)</f>
        <v>#REF!</v>
      </c>
      <c r="AD577">
        <f>IF(LEFT(_xll.BDP($T577,AD$2),4)="#N/A",-1,_xll.BDP($T577,AD$2))</f>
        <v>-1</v>
      </c>
    </row>
    <row r="578" spans="10:30">
      <c r="J578" s="37"/>
      <c r="U578">
        <f>IF(LEFT(_xll.BDP($T578,U$2),4)="#N/A",0,_xll.BDP($T578,U$2))</f>
        <v>0</v>
      </c>
      <c r="V578" t="e">
        <f>_xll.BDP(#REF!,V$2)</f>
        <v>#REF!</v>
      </c>
      <c r="W578" t="e">
        <f>_xll.BDP(#REF!,W$2)</f>
        <v>#REF!</v>
      </c>
      <c r="X578" t="e">
        <f>_xll.BDP(#REF!,X$2)</f>
        <v>#REF!</v>
      </c>
      <c r="Y578" t="e">
        <f>_xll.BDP(#REF!,Y$2)</f>
        <v>#REF!</v>
      </c>
      <c r="Z578" t="e">
        <f>_xll.BDP(#REF!,Z$2)</f>
        <v>#REF!</v>
      </c>
      <c r="AA578" t="e">
        <f>_xll.BDP(#REF!,AA$2)</f>
        <v>#REF!</v>
      </c>
      <c r="AD578">
        <f>IF(LEFT(_xll.BDP($T578,AD$2),4)="#N/A",-1,_xll.BDP($T578,AD$2))</f>
        <v>-1</v>
      </c>
    </row>
    <row r="579" spans="10:30">
      <c r="J579" s="37"/>
      <c r="U579">
        <f>IF(LEFT(_xll.BDP($T579,U$2),4)="#N/A",0,_xll.BDP($T579,U$2))</f>
        <v>0</v>
      </c>
      <c r="V579" t="e">
        <f>_xll.BDP(#REF!,V$2)</f>
        <v>#REF!</v>
      </c>
      <c r="W579" t="e">
        <f>_xll.BDP(#REF!,W$2)</f>
        <v>#REF!</v>
      </c>
      <c r="X579" t="e">
        <f>_xll.BDP(#REF!,X$2)</f>
        <v>#REF!</v>
      </c>
      <c r="Y579" t="e">
        <f>_xll.BDP(#REF!,Y$2)</f>
        <v>#REF!</v>
      </c>
      <c r="Z579" t="e">
        <f>_xll.BDP(#REF!,Z$2)</f>
        <v>#REF!</v>
      </c>
      <c r="AA579" t="e">
        <f>_xll.BDP(#REF!,AA$2)</f>
        <v>#REF!</v>
      </c>
      <c r="AD579">
        <f>IF(LEFT(_xll.BDP($T579,AD$2),4)="#N/A",-1,_xll.BDP($T579,AD$2))</f>
        <v>-1</v>
      </c>
    </row>
    <row r="580" spans="10:30">
      <c r="J580" s="37"/>
      <c r="U580">
        <f>IF(LEFT(_xll.BDP($T580,U$2),4)="#N/A",0,_xll.BDP($T580,U$2))</f>
        <v>0</v>
      </c>
      <c r="V580" t="e">
        <f>_xll.BDP(#REF!,V$2)</f>
        <v>#REF!</v>
      </c>
      <c r="W580" t="e">
        <f>_xll.BDP(#REF!,W$2)</f>
        <v>#REF!</v>
      </c>
      <c r="X580" t="e">
        <f>_xll.BDP(#REF!,X$2)</f>
        <v>#REF!</v>
      </c>
      <c r="Y580" t="e">
        <f>_xll.BDP(#REF!,Y$2)</f>
        <v>#REF!</v>
      </c>
      <c r="Z580" t="e">
        <f>_xll.BDP(#REF!,Z$2)</f>
        <v>#REF!</v>
      </c>
      <c r="AA580" t="e">
        <f>_xll.BDP(#REF!,AA$2)</f>
        <v>#REF!</v>
      </c>
      <c r="AD580">
        <f>IF(LEFT(_xll.BDP($T580,AD$2),4)="#N/A",-1,_xll.BDP($T580,AD$2))</f>
        <v>-1</v>
      </c>
    </row>
    <row r="581" spans="10:30">
      <c r="J581" s="37"/>
      <c r="U581">
        <f>IF(LEFT(_xll.BDP($T581,U$2),4)="#N/A",0,_xll.BDP($T581,U$2))</f>
        <v>0</v>
      </c>
      <c r="V581" t="e">
        <f>_xll.BDP(#REF!,V$2)</f>
        <v>#REF!</v>
      </c>
      <c r="W581" t="e">
        <f>_xll.BDP(#REF!,W$2)</f>
        <v>#REF!</v>
      </c>
      <c r="X581" t="e">
        <f>_xll.BDP(#REF!,X$2)</f>
        <v>#REF!</v>
      </c>
      <c r="Y581" t="e">
        <f>_xll.BDP(#REF!,Y$2)</f>
        <v>#REF!</v>
      </c>
      <c r="Z581" t="e">
        <f>_xll.BDP(#REF!,Z$2)</f>
        <v>#REF!</v>
      </c>
      <c r="AA581" t="e">
        <f>_xll.BDP(#REF!,AA$2)</f>
        <v>#REF!</v>
      </c>
      <c r="AD581">
        <f>IF(LEFT(_xll.BDP($T581,AD$2),4)="#N/A",-1,_xll.BDP($T581,AD$2))</f>
        <v>-1</v>
      </c>
    </row>
    <row r="582" spans="10:30">
      <c r="J582" s="37"/>
      <c r="U582">
        <f>IF(LEFT(_xll.BDP($T582,U$2),4)="#N/A",0,_xll.BDP($T582,U$2))</f>
        <v>0</v>
      </c>
      <c r="V582" t="e">
        <f>_xll.BDP(#REF!,V$2)</f>
        <v>#REF!</v>
      </c>
      <c r="W582" t="e">
        <f>_xll.BDP(#REF!,W$2)</f>
        <v>#REF!</v>
      </c>
      <c r="X582" t="e">
        <f>_xll.BDP(#REF!,X$2)</f>
        <v>#REF!</v>
      </c>
      <c r="Y582" t="e">
        <f>_xll.BDP(#REF!,Y$2)</f>
        <v>#REF!</v>
      </c>
      <c r="Z582" t="e">
        <f>_xll.BDP(#REF!,Z$2)</f>
        <v>#REF!</v>
      </c>
      <c r="AA582" t="e">
        <f>_xll.BDP(#REF!,AA$2)</f>
        <v>#REF!</v>
      </c>
      <c r="AD582">
        <f>IF(LEFT(_xll.BDP($T582,AD$2),4)="#N/A",-1,_xll.BDP($T582,AD$2))</f>
        <v>-1</v>
      </c>
    </row>
    <row r="583" spans="10:30">
      <c r="J583" s="37"/>
      <c r="U583">
        <f>IF(LEFT(_xll.BDP($T583,U$2),4)="#N/A",0,_xll.BDP($T583,U$2))</f>
        <v>0</v>
      </c>
      <c r="V583" t="e">
        <f>_xll.BDP(#REF!,V$2)</f>
        <v>#REF!</v>
      </c>
      <c r="W583" t="e">
        <f>_xll.BDP(#REF!,W$2)</f>
        <v>#REF!</v>
      </c>
      <c r="X583" t="e">
        <f>_xll.BDP(#REF!,X$2)</f>
        <v>#REF!</v>
      </c>
      <c r="Y583" t="e">
        <f>_xll.BDP(#REF!,Y$2)</f>
        <v>#REF!</v>
      </c>
      <c r="Z583" t="e">
        <f>_xll.BDP(#REF!,Z$2)</f>
        <v>#REF!</v>
      </c>
      <c r="AA583" t="e">
        <f>_xll.BDP(#REF!,AA$2)</f>
        <v>#REF!</v>
      </c>
      <c r="AD583">
        <f>IF(LEFT(_xll.BDP($T583,AD$2),4)="#N/A",-1,_xll.BDP($T583,AD$2))</f>
        <v>-1</v>
      </c>
    </row>
    <row r="584" spans="10:30">
      <c r="J584" s="37"/>
      <c r="U584">
        <f>IF(LEFT(_xll.BDP($T584,U$2),4)="#N/A",0,_xll.BDP($T584,U$2))</f>
        <v>0</v>
      </c>
      <c r="V584" t="e">
        <f>_xll.BDP(#REF!,V$2)</f>
        <v>#REF!</v>
      </c>
      <c r="W584" t="e">
        <f>_xll.BDP(#REF!,W$2)</f>
        <v>#REF!</v>
      </c>
      <c r="X584" t="e">
        <f>_xll.BDP(#REF!,X$2)</f>
        <v>#REF!</v>
      </c>
      <c r="Y584" t="e">
        <f>_xll.BDP(#REF!,Y$2)</f>
        <v>#REF!</v>
      </c>
      <c r="Z584" t="e">
        <f>_xll.BDP(#REF!,Z$2)</f>
        <v>#REF!</v>
      </c>
      <c r="AA584" t="e">
        <f>_xll.BDP(#REF!,AA$2)</f>
        <v>#REF!</v>
      </c>
      <c r="AD584">
        <f>IF(LEFT(_xll.BDP($T584,AD$2),4)="#N/A",-1,_xll.BDP($T584,AD$2))</f>
        <v>-1</v>
      </c>
    </row>
    <row r="585" spans="10:30">
      <c r="J585" s="37"/>
      <c r="U585">
        <f>IF(LEFT(_xll.BDP($T585,U$2),4)="#N/A",0,_xll.BDP($T585,U$2))</f>
        <v>0</v>
      </c>
      <c r="V585" t="e">
        <f>_xll.BDP(#REF!,V$2)</f>
        <v>#REF!</v>
      </c>
      <c r="W585" t="e">
        <f>_xll.BDP(#REF!,W$2)</f>
        <v>#REF!</v>
      </c>
      <c r="X585" t="e">
        <f>_xll.BDP(#REF!,X$2)</f>
        <v>#REF!</v>
      </c>
      <c r="Y585" t="e">
        <f>_xll.BDP(#REF!,Y$2)</f>
        <v>#REF!</v>
      </c>
      <c r="Z585" t="e">
        <f>_xll.BDP(#REF!,Z$2)</f>
        <v>#REF!</v>
      </c>
      <c r="AA585" t="e">
        <f>_xll.BDP(#REF!,AA$2)</f>
        <v>#REF!</v>
      </c>
      <c r="AD585">
        <f>IF(LEFT(_xll.BDP($T585,AD$2),4)="#N/A",-1,_xll.BDP($T585,AD$2))</f>
        <v>-1</v>
      </c>
    </row>
    <row r="586" spans="10:30">
      <c r="J586" s="37"/>
      <c r="U586">
        <f>IF(LEFT(_xll.BDP($T586,U$2),4)="#N/A",0,_xll.BDP($T586,U$2))</f>
        <v>0</v>
      </c>
      <c r="V586" t="e">
        <f>_xll.BDP(#REF!,V$2)</f>
        <v>#REF!</v>
      </c>
      <c r="W586" t="e">
        <f>_xll.BDP(#REF!,W$2)</f>
        <v>#REF!</v>
      </c>
      <c r="X586" t="e">
        <f>_xll.BDP(#REF!,X$2)</f>
        <v>#REF!</v>
      </c>
      <c r="Y586" t="e">
        <f>_xll.BDP(#REF!,Y$2)</f>
        <v>#REF!</v>
      </c>
      <c r="Z586" t="e">
        <f>_xll.BDP(#REF!,Z$2)</f>
        <v>#REF!</v>
      </c>
      <c r="AA586" t="e">
        <f>_xll.BDP(#REF!,AA$2)</f>
        <v>#REF!</v>
      </c>
      <c r="AD586">
        <f>IF(LEFT(_xll.BDP($T586,AD$2),4)="#N/A",-1,_xll.BDP($T586,AD$2))</f>
        <v>-1</v>
      </c>
    </row>
    <row r="587" spans="10:30">
      <c r="J587" s="37"/>
      <c r="U587">
        <f>IF(LEFT(_xll.BDP($T587,U$2),4)="#N/A",0,_xll.BDP($T587,U$2))</f>
        <v>0</v>
      </c>
      <c r="V587" t="e">
        <f>_xll.BDP(#REF!,V$2)</f>
        <v>#REF!</v>
      </c>
      <c r="W587" t="e">
        <f>_xll.BDP(#REF!,W$2)</f>
        <v>#REF!</v>
      </c>
      <c r="X587" t="e">
        <f>_xll.BDP(#REF!,X$2)</f>
        <v>#REF!</v>
      </c>
      <c r="Y587" t="e">
        <f>_xll.BDP(#REF!,Y$2)</f>
        <v>#REF!</v>
      </c>
      <c r="Z587" t="e">
        <f>_xll.BDP(#REF!,Z$2)</f>
        <v>#REF!</v>
      </c>
      <c r="AA587" t="e">
        <f>_xll.BDP(#REF!,AA$2)</f>
        <v>#REF!</v>
      </c>
      <c r="AD587">
        <f>IF(LEFT(_xll.BDP($T587,AD$2),4)="#N/A",-1,_xll.BDP($T587,AD$2))</f>
        <v>-1</v>
      </c>
    </row>
    <row r="588" spans="10:30">
      <c r="J588" s="37"/>
      <c r="U588">
        <f>IF(LEFT(_xll.BDP($T588,U$2),4)="#N/A",0,_xll.BDP($T588,U$2))</f>
        <v>0</v>
      </c>
      <c r="V588" t="e">
        <f>_xll.BDP(#REF!,V$2)</f>
        <v>#REF!</v>
      </c>
      <c r="W588" t="e">
        <f>_xll.BDP(#REF!,W$2)</f>
        <v>#REF!</v>
      </c>
      <c r="X588" t="e">
        <f>_xll.BDP(#REF!,X$2)</f>
        <v>#REF!</v>
      </c>
      <c r="Y588" t="e">
        <f>_xll.BDP(#REF!,Y$2)</f>
        <v>#REF!</v>
      </c>
      <c r="Z588" t="e">
        <f>_xll.BDP(#REF!,Z$2)</f>
        <v>#REF!</v>
      </c>
      <c r="AA588" t="e">
        <f>_xll.BDP(#REF!,AA$2)</f>
        <v>#REF!</v>
      </c>
      <c r="AD588">
        <f>IF(LEFT(_xll.BDP($T588,AD$2),4)="#N/A",-1,_xll.BDP($T588,AD$2))</f>
        <v>-1</v>
      </c>
    </row>
    <row r="589" spans="10:30">
      <c r="J589" s="37"/>
      <c r="U589">
        <f>IF(LEFT(_xll.BDP($T589,U$2),4)="#N/A",0,_xll.BDP($T589,U$2))</f>
        <v>0</v>
      </c>
      <c r="V589" t="e">
        <f>_xll.BDP(#REF!,V$2)</f>
        <v>#REF!</v>
      </c>
      <c r="W589" t="e">
        <f>_xll.BDP(#REF!,W$2)</f>
        <v>#REF!</v>
      </c>
      <c r="X589" t="e">
        <f>_xll.BDP(#REF!,X$2)</f>
        <v>#REF!</v>
      </c>
      <c r="Y589" t="e">
        <f>_xll.BDP(#REF!,Y$2)</f>
        <v>#REF!</v>
      </c>
      <c r="Z589" t="e">
        <f>_xll.BDP(#REF!,Z$2)</f>
        <v>#REF!</v>
      </c>
      <c r="AA589" t="e">
        <f>_xll.BDP(#REF!,AA$2)</f>
        <v>#REF!</v>
      </c>
      <c r="AD589">
        <f>IF(LEFT(_xll.BDP($T589,AD$2),4)="#N/A",-1,_xll.BDP($T589,AD$2))</f>
        <v>-1</v>
      </c>
    </row>
    <row r="590" spans="10:30">
      <c r="J590" s="37"/>
      <c r="U590">
        <f>IF(LEFT(_xll.BDP($T590,U$2),4)="#N/A",0,_xll.BDP($T590,U$2))</f>
        <v>0</v>
      </c>
      <c r="V590" t="e">
        <f>_xll.BDP(#REF!,V$2)</f>
        <v>#REF!</v>
      </c>
      <c r="W590" t="e">
        <f>_xll.BDP(#REF!,W$2)</f>
        <v>#REF!</v>
      </c>
      <c r="X590" t="e">
        <f>_xll.BDP(#REF!,X$2)</f>
        <v>#REF!</v>
      </c>
      <c r="Y590" t="e">
        <f>_xll.BDP(#REF!,Y$2)</f>
        <v>#REF!</v>
      </c>
      <c r="Z590" t="e">
        <f>_xll.BDP(#REF!,Z$2)</f>
        <v>#REF!</v>
      </c>
      <c r="AA590" t="e">
        <f>_xll.BDP(#REF!,AA$2)</f>
        <v>#REF!</v>
      </c>
      <c r="AD590">
        <f>IF(LEFT(_xll.BDP($T590,AD$2),4)="#N/A",-1,_xll.BDP($T590,AD$2))</f>
        <v>-1</v>
      </c>
    </row>
    <row r="591" spans="10:30">
      <c r="J591" s="37"/>
      <c r="U591">
        <f>IF(LEFT(_xll.BDP($T591,U$2),4)="#N/A",0,_xll.BDP($T591,U$2))</f>
        <v>0</v>
      </c>
      <c r="V591" t="e">
        <f>_xll.BDP(#REF!,V$2)</f>
        <v>#REF!</v>
      </c>
      <c r="W591" t="e">
        <f>_xll.BDP(#REF!,W$2)</f>
        <v>#REF!</v>
      </c>
      <c r="X591" t="e">
        <f>_xll.BDP(#REF!,X$2)</f>
        <v>#REF!</v>
      </c>
      <c r="Y591" t="e">
        <f>_xll.BDP(#REF!,Y$2)</f>
        <v>#REF!</v>
      </c>
      <c r="Z591" t="e">
        <f>_xll.BDP(#REF!,Z$2)</f>
        <v>#REF!</v>
      </c>
      <c r="AA591" t="e">
        <f>_xll.BDP(#REF!,AA$2)</f>
        <v>#REF!</v>
      </c>
      <c r="AD591">
        <f>IF(LEFT(_xll.BDP($T591,AD$2),4)="#N/A",-1,_xll.BDP($T591,AD$2))</f>
        <v>-1</v>
      </c>
    </row>
    <row r="592" spans="10:30">
      <c r="J592" s="37"/>
      <c r="U592">
        <f>IF(LEFT(_xll.BDP($T592,U$2),4)="#N/A",0,_xll.BDP($T592,U$2))</f>
        <v>0</v>
      </c>
      <c r="V592" t="e">
        <f>_xll.BDP(#REF!,V$2)</f>
        <v>#REF!</v>
      </c>
      <c r="W592" t="e">
        <f>_xll.BDP(#REF!,W$2)</f>
        <v>#REF!</v>
      </c>
      <c r="X592" t="e">
        <f>_xll.BDP(#REF!,X$2)</f>
        <v>#REF!</v>
      </c>
      <c r="Y592" t="e">
        <f>_xll.BDP(#REF!,Y$2)</f>
        <v>#REF!</v>
      </c>
      <c r="Z592" t="e">
        <f>_xll.BDP(#REF!,Z$2)</f>
        <v>#REF!</v>
      </c>
      <c r="AA592" t="e">
        <f>_xll.BDP(#REF!,AA$2)</f>
        <v>#REF!</v>
      </c>
      <c r="AD592">
        <f>IF(LEFT(_xll.BDP($T592,AD$2),4)="#N/A",-1,_xll.BDP($T592,AD$2))</f>
        <v>-1</v>
      </c>
    </row>
    <row r="593" spans="10:30">
      <c r="J593" s="37"/>
      <c r="U593">
        <f>IF(LEFT(_xll.BDP($T593,U$2),4)="#N/A",0,_xll.BDP($T593,U$2))</f>
        <v>0</v>
      </c>
      <c r="V593" t="e">
        <f>_xll.BDP(#REF!,V$2)</f>
        <v>#REF!</v>
      </c>
      <c r="W593" t="e">
        <f>_xll.BDP(#REF!,W$2)</f>
        <v>#REF!</v>
      </c>
      <c r="X593" t="e">
        <f>_xll.BDP(#REF!,X$2)</f>
        <v>#REF!</v>
      </c>
      <c r="Y593" t="e">
        <f>_xll.BDP(#REF!,Y$2)</f>
        <v>#REF!</v>
      </c>
      <c r="Z593" t="e">
        <f>_xll.BDP(#REF!,Z$2)</f>
        <v>#REF!</v>
      </c>
      <c r="AA593" t="e">
        <f>_xll.BDP(#REF!,AA$2)</f>
        <v>#REF!</v>
      </c>
      <c r="AD593">
        <f>IF(LEFT(_xll.BDP($T593,AD$2),4)="#N/A",-1,_xll.BDP($T593,AD$2))</f>
        <v>-1</v>
      </c>
    </row>
    <row r="594" spans="10:30">
      <c r="J594" s="37"/>
      <c r="U594">
        <f>IF(LEFT(_xll.BDP($T594,U$2),4)="#N/A",0,_xll.BDP($T594,U$2))</f>
        <v>0</v>
      </c>
      <c r="V594" t="e">
        <f>_xll.BDP(#REF!,V$2)</f>
        <v>#REF!</v>
      </c>
      <c r="W594" t="e">
        <f>_xll.BDP(#REF!,W$2)</f>
        <v>#REF!</v>
      </c>
      <c r="X594" t="e">
        <f>_xll.BDP(#REF!,X$2)</f>
        <v>#REF!</v>
      </c>
      <c r="Y594" t="e">
        <f>_xll.BDP(#REF!,Y$2)</f>
        <v>#REF!</v>
      </c>
      <c r="Z594" t="e">
        <f>_xll.BDP(#REF!,Z$2)</f>
        <v>#REF!</v>
      </c>
      <c r="AA594" t="e">
        <f>_xll.BDP(#REF!,AA$2)</f>
        <v>#REF!</v>
      </c>
      <c r="AD594">
        <f>IF(LEFT(_xll.BDP($T594,AD$2),4)="#N/A",-1,_xll.BDP($T594,AD$2))</f>
        <v>-1</v>
      </c>
    </row>
    <row r="595" spans="10:30">
      <c r="J595" s="37"/>
      <c r="U595">
        <f>IF(LEFT(_xll.BDP($T595,U$2),4)="#N/A",0,_xll.BDP($T595,U$2))</f>
        <v>0</v>
      </c>
      <c r="V595" t="e">
        <f>_xll.BDP(#REF!,V$2)</f>
        <v>#REF!</v>
      </c>
      <c r="W595" t="e">
        <f>_xll.BDP(#REF!,W$2)</f>
        <v>#REF!</v>
      </c>
      <c r="X595" t="e">
        <f>_xll.BDP(#REF!,X$2)</f>
        <v>#REF!</v>
      </c>
      <c r="Y595" t="e">
        <f>_xll.BDP(#REF!,Y$2)</f>
        <v>#REF!</v>
      </c>
      <c r="Z595" t="e">
        <f>_xll.BDP(#REF!,Z$2)</f>
        <v>#REF!</v>
      </c>
      <c r="AA595" t="e">
        <f>_xll.BDP(#REF!,AA$2)</f>
        <v>#REF!</v>
      </c>
      <c r="AD595">
        <f>IF(LEFT(_xll.BDP($T595,AD$2),4)="#N/A",-1,_xll.BDP($T595,AD$2))</f>
        <v>-1</v>
      </c>
    </row>
    <row r="596" spans="10:30">
      <c r="J596" s="37"/>
      <c r="U596">
        <f>IF(LEFT(_xll.BDP($T596,U$2),4)="#N/A",0,_xll.BDP($T596,U$2))</f>
        <v>0</v>
      </c>
      <c r="V596" t="e">
        <f>_xll.BDP(#REF!,V$2)</f>
        <v>#REF!</v>
      </c>
      <c r="W596" t="e">
        <f>_xll.BDP(#REF!,W$2)</f>
        <v>#REF!</v>
      </c>
      <c r="X596" t="e">
        <f>_xll.BDP(#REF!,X$2)</f>
        <v>#REF!</v>
      </c>
      <c r="Y596" t="e">
        <f>_xll.BDP(#REF!,Y$2)</f>
        <v>#REF!</v>
      </c>
      <c r="Z596" t="e">
        <f>_xll.BDP(#REF!,Z$2)</f>
        <v>#REF!</v>
      </c>
      <c r="AA596" t="e">
        <f>_xll.BDP(#REF!,AA$2)</f>
        <v>#REF!</v>
      </c>
      <c r="AD596">
        <f>IF(LEFT(_xll.BDP($T596,AD$2),4)="#N/A",-1,_xll.BDP($T596,AD$2))</f>
        <v>-1</v>
      </c>
    </row>
    <row r="597" spans="10:30">
      <c r="J597" s="37"/>
      <c r="U597">
        <f>IF(LEFT(_xll.BDP($T597,U$2),4)="#N/A",0,_xll.BDP($T597,U$2))</f>
        <v>0</v>
      </c>
      <c r="V597" t="e">
        <f>_xll.BDP(#REF!,V$2)</f>
        <v>#REF!</v>
      </c>
      <c r="W597" t="e">
        <f>_xll.BDP(#REF!,W$2)</f>
        <v>#REF!</v>
      </c>
      <c r="X597" t="e">
        <f>_xll.BDP(#REF!,X$2)</f>
        <v>#REF!</v>
      </c>
      <c r="Y597" t="e">
        <f>_xll.BDP(#REF!,Y$2)</f>
        <v>#REF!</v>
      </c>
      <c r="Z597" t="e">
        <f>_xll.BDP(#REF!,Z$2)</f>
        <v>#REF!</v>
      </c>
      <c r="AA597" t="e">
        <f>_xll.BDP(#REF!,AA$2)</f>
        <v>#REF!</v>
      </c>
      <c r="AD597">
        <f>IF(LEFT(_xll.BDP($T597,AD$2),4)="#N/A",-1,_xll.BDP($T597,AD$2))</f>
        <v>-1</v>
      </c>
    </row>
    <row r="598" spans="10:30">
      <c r="J598" s="37"/>
      <c r="U598">
        <f>IF(LEFT(_xll.BDP($T598,U$2),4)="#N/A",0,_xll.BDP($T598,U$2))</f>
        <v>0</v>
      </c>
      <c r="V598" t="e">
        <f>_xll.BDP(#REF!,V$2)</f>
        <v>#REF!</v>
      </c>
      <c r="W598" t="e">
        <f>_xll.BDP(#REF!,W$2)</f>
        <v>#REF!</v>
      </c>
      <c r="X598" t="e">
        <f>_xll.BDP(#REF!,X$2)</f>
        <v>#REF!</v>
      </c>
      <c r="Y598" t="e">
        <f>_xll.BDP(#REF!,Y$2)</f>
        <v>#REF!</v>
      </c>
      <c r="Z598" t="e">
        <f>_xll.BDP(#REF!,Z$2)</f>
        <v>#REF!</v>
      </c>
      <c r="AA598" t="e">
        <f>_xll.BDP(#REF!,AA$2)</f>
        <v>#REF!</v>
      </c>
      <c r="AD598">
        <f>IF(LEFT(_xll.BDP($T598,AD$2),4)="#N/A",-1,_xll.BDP($T598,AD$2))</f>
        <v>-1</v>
      </c>
    </row>
    <row r="599" spans="10:30">
      <c r="J599" s="37"/>
      <c r="U599">
        <f>IF(LEFT(_xll.BDP($T599,U$2),4)="#N/A",0,_xll.BDP($T599,U$2))</f>
        <v>0</v>
      </c>
      <c r="V599" t="e">
        <f>_xll.BDP(#REF!,V$2)</f>
        <v>#REF!</v>
      </c>
      <c r="W599" t="e">
        <f>_xll.BDP(#REF!,W$2)</f>
        <v>#REF!</v>
      </c>
      <c r="X599" t="e">
        <f>_xll.BDP(#REF!,X$2)</f>
        <v>#REF!</v>
      </c>
      <c r="Y599" t="e">
        <f>_xll.BDP(#REF!,Y$2)</f>
        <v>#REF!</v>
      </c>
      <c r="Z599" t="e">
        <f>_xll.BDP(#REF!,Z$2)</f>
        <v>#REF!</v>
      </c>
      <c r="AA599" t="e">
        <f>_xll.BDP(#REF!,AA$2)</f>
        <v>#REF!</v>
      </c>
      <c r="AD599">
        <f>IF(LEFT(_xll.BDP($T599,AD$2),4)="#N/A",-1,_xll.BDP($T599,AD$2))</f>
        <v>-1</v>
      </c>
    </row>
    <row r="600" spans="10:30">
      <c r="J600" s="37"/>
      <c r="U600">
        <f>IF(LEFT(_xll.BDP($T600,U$2),4)="#N/A",0,_xll.BDP($T600,U$2))</f>
        <v>0</v>
      </c>
      <c r="V600" t="e">
        <f>_xll.BDP(#REF!,V$2)</f>
        <v>#REF!</v>
      </c>
      <c r="W600" t="e">
        <f>_xll.BDP(#REF!,W$2)</f>
        <v>#REF!</v>
      </c>
      <c r="X600" t="e">
        <f>_xll.BDP(#REF!,X$2)</f>
        <v>#REF!</v>
      </c>
      <c r="Y600" t="e">
        <f>_xll.BDP(#REF!,Y$2)</f>
        <v>#REF!</v>
      </c>
      <c r="Z600" t="e">
        <f>_xll.BDP(#REF!,Z$2)</f>
        <v>#REF!</v>
      </c>
      <c r="AA600" t="e">
        <f>_xll.BDP(#REF!,AA$2)</f>
        <v>#REF!</v>
      </c>
      <c r="AD600">
        <f>IF(LEFT(_xll.BDP($T600,AD$2),4)="#N/A",-1,_xll.BDP($T600,AD$2))</f>
        <v>-1</v>
      </c>
    </row>
    <row r="601" spans="10:30">
      <c r="J601" s="37"/>
      <c r="U601">
        <f>IF(LEFT(_xll.BDP($T601,U$2),4)="#N/A",0,_xll.BDP($T601,U$2))</f>
        <v>0</v>
      </c>
      <c r="V601" t="e">
        <f>_xll.BDP(#REF!,V$2)</f>
        <v>#REF!</v>
      </c>
      <c r="W601" t="e">
        <f>_xll.BDP(#REF!,W$2)</f>
        <v>#REF!</v>
      </c>
      <c r="X601" t="e">
        <f>_xll.BDP(#REF!,X$2)</f>
        <v>#REF!</v>
      </c>
      <c r="Y601" t="e">
        <f>_xll.BDP(#REF!,Y$2)</f>
        <v>#REF!</v>
      </c>
      <c r="Z601" t="e">
        <f>_xll.BDP(#REF!,Z$2)</f>
        <v>#REF!</v>
      </c>
      <c r="AA601" t="e">
        <f>_xll.BDP(#REF!,AA$2)</f>
        <v>#REF!</v>
      </c>
      <c r="AD601">
        <f>IF(LEFT(_xll.BDP($T601,AD$2),4)="#N/A",-1,_xll.BDP($T601,AD$2))</f>
        <v>-1</v>
      </c>
    </row>
    <row r="602" spans="10:30">
      <c r="J602" s="37"/>
      <c r="U602">
        <f>IF(LEFT(_xll.BDP($T602,U$2),4)="#N/A",0,_xll.BDP($T602,U$2))</f>
        <v>0</v>
      </c>
      <c r="V602" t="e">
        <f>_xll.BDP(#REF!,V$2)</f>
        <v>#REF!</v>
      </c>
      <c r="W602" t="e">
        <f>_xll.BDP(#REF!,W$2)</f>
        <v>#REF!</v>
      </c>
      <c r="X602" t="e">
        <f>_xll.BDP(#REF!,X$2)</f>
        <v>#REF!</v>
      </c>
      <c r="Y602" t="e">
        <f>_xll.BDP(#REF!,Y$2)</f>
        <v>#REF!</v>
      </c>
      <c r="Z602" t="e">
        <f>_xll.BDP(#REF!,Z$2)</f>
        <v>#REF!</v>
      </c>
      <c r="AA602" t="e">
        <f>_xll.BDP(#REF!,AA$2)</f>
        <v>#REF!</v>
      </c>
      <c r="AD602">
        <f>IF(LEFT(_xll.BDP($T602,AD$2),4)="#N/A",-1,_xll.BDP($T602,AD$2))</f>
        <v>-1</v>
      </c>
    </row>
    <row r="603" spans="10:30">
      <c r="J603" s="37"/>
      <c r="U603">
        <f>IF(LEFT(_xll.BDP($T603,U$2),4)="#N/A",0,_xll.BDP($T603,U$2))</f>
        <v>0</v>
      </c>
      <c r="V603" t="e">
        <f>_xll.BDP(#REF!,V$2)</f>
        <v>#REF!</v>
      </c>
      <c r="W603" t="e">
        <f>_xll.BDP(#REF!,W$2)</f>
        <v>#REF!</v>
      </c>
      <c r="X603" t="e">
        <f>_xll.BDP(#REF!,X$2)</f>
        <v>#REF!</v>
      </c>
      <c r="Y603" t="e">
        <f>_xll.BDP(#REF!,Y$2)</f>
        <v>#REF!</v>
      </c>
      <c r="Z603" t="e">
        <f>_xll.BDP(#REF!,Z$2)</f>
        <v>#REF!</v>
      </c>
      <c r="AA603" t="e">
        <f>_xll.BDP(#REF!,AA$2)</f>
        <v>#REF!</v>
      </c>
      <c r="AD603">
        <f>IF(LEFT(_xll.BDP($T603,AD$2),4)="#N/A",-1,_xll.BDP($T603,AD$2))</f>
        <v>-1</v>
      </c>
    </row>
    <row r="604" spans="10:30">
      <c r="J604" s="37"/>
      <c r="U604">
        <f>IF(LEFT(_xll.BDP($T604,U$2),4)="#N/A",0,_xll.BDP($T604,U$2))</f>
        <v>0</v>
      </c>
      <c r="V604" t="e">
        <f>_xll.BDP(#REF!,V$2)</f>
        <v>#REF!</v>
      </c>
      <c r="W604" t="e">
        <f>_xll.BDP(#REF!,W$2)</f>
        <v>#REF!</v>
      </c>
      <c r="X604" t="e">
        <f>_xll.BDP(#REF!,X$2)</f>
        <v>#REF!</v>
      </c>
      <c r="Y604" t="e">
        <f>_xll.BDP(#REF!,Y$2)</f>
        <v>#REF!</v>
      </c>
      <c r="Z604" t="e">
        <f>_xll.BDP(#REF!,Z$2)</f>
        <v>#REF!</v>
      </c>
      <c r="AA604" t="e">
        <f>_xll.BDP(#REF!,AA$2)</f>
        <v>#REF!</v>
      </c>
      <c r="AD604">
        <f>IF(LEFT(_xll.BDP($T604,AD$2),4)="#N/A",-1,_xll.BDP($T604,AD$2))</f>
        <v>-1</v>
      </c>
    </row>
    <row r="605" spans="10:30">
      <c r="J605" s="37"/>
      <c r="U605">
        <f>IF(LEFT(_xll.BDP($T605,U$2),4)="#N/A",0,_xll.BDP($T605,U$2))</f>
        <v>0</v>
      </c>
      <c r="V605" t="e">
        <f>_xll.BDP(#REF!,V$2)</f>
        <v>#REF!</v>
      </c>
      <c r="W605" t="e">
        <f>_xll.BDP(#REF!,W$2)</f>
        <v>#REF!</v>
      </c>
      <c r="X605" t="e">
        <f>_xll.BDP(#REF!,X$2)</f>
        <v>#REF!</v>
      </c>
      <c r="Y605" t="e">
        <f>_xll.BDP(#REF!,Y$2)</f>
        <v>#REF!</v>
      </c>
      <c r="Z605" t="e">
        <f>_xll.BDP(#REF!,Z$2)</f>
        <v>#REF!</v>
      </c>
      <c r="AA605" t="e">
        <f>_xll.BDP(#REF!,AA$2)</f>
        <v>#REF!</v>
      </c>
      <c r="AD605">
        <f>IF(LEFT(_xll.BDP($T605,AD$2),4)="#N/A",-1,_xll.BDP($T605,AD$2))</f>
        <v>-1</v>
      </c>
    </row>
    <row r="606" spans="10:30">
      <c r="J606" s="37"/>
      <c r="U606">
        <f>IF(LEFT(_xll.BDP($T606,U$2),4)="#N/A",0,_xll.BDP($T606,U$2))</f>
        <v>0</v>
      </c>
      <c r="V606" t="e">
        <f>_xll.BDP(#REF!,V$2)</f>
        <v>#REF!</v>
      </c>
      <c r="W606" t="e">
        <f>_xll.BDP(#REF!,W$2)</f>
        <v>#REF!</v>
      </c>
      <c r="X606" t="e">
        <f>_xll.BDP(#REF!,X$2)</f>
        <v>#REF!</v>
      </c>
      <c r="Y606" t="e">
        <f>_xll.BDP(#REF!,Y$2)</f>
        <v>#REF!</v>
      </c>
      <c r="Z606" t="e">
        <f>_xll.BDP(#REF!,Z$2)</f>
        <v>#REF!</v>
      </c>
      <c r="AA606" t="e">
        <f>_xll.BDP(#REF!,AA$2)</f>
        <v>#REF!</v>
      </c>
      <c r="AD606">
        <f>IF(LEFT(_xll.BDP($T606,AD$2),4)="#N/A",-1,_xll.BDP($T606,AD$2))</f>
        <v>-1</v>
      </c>
    </row>
    <row r="607" spans="10:30">
      <c r="J607" s="37"/>
      <c r="U607">
        <f>IF(LEFT(_xll.BDP($T607,U$2),4)="#N/A",0,_xll.BDP($T607,U$2))</f>
        <v>0</v>
      </c>
      <c r="V607" t="e">
        <f>_xll.BDP(#REF!,V$2)</f>
        <v>#REF!</v>
      </c>
      <c r="W607" t="e">
        <f>_xll.BDP(#REF!,W$2)</f>
        <v>#REF!</v>
      </c>
      <c r="X607" t="e">
        <f>_xll.BDP(#REF!,X$2)</f>
        <v>#REF!</v>
      </c>
      <c r="Y607" t="e">
        <f>_xll.BDP(#REF!,Y$2)</f>
        <v>#REF!</v>
      </c>
      <c r="Z607" t="e">
        <f>_xll.BDP(#REF!,Z$2)</f>
        <v>#REF!</v>
      </c>
      <c r="AA607" t="e">
        <f>_xll.BDP(#REF!,AA$2)</f>
        <v>#REF!</v>
      </c>
      <c r="AD607">
        <f>IF(LEFT(_xll.BDP($T607,AD$2),4)="#N/A",-1,_xll.BDP($T607,AD$2))</f>
        <v>-1</v>
      </c>
    </row>
    <row r="608" spans="10:30">
      <c r="J608" s="37"/>
      <c r="U608">
        <f>IF(LEFT(_xll.BDP($T608,U$2),4)="#N/A",0,_xll.BDP($T608,U$2))</f>
        <v>0</v>
      </c>
      <c r="V608" t="e">
        <f>_xll.BDP(#REF!,V$2)</f>
        <v>#REF!</v>
      </c>
      <c r="W608" t="e">
        <f>_xll.BDP(#REF!,W$2)</f>
        <v>#REF!</v>
      </c>
      <c r="X608" t="e">
        <f>_xll.BDP(#REF!,X$2)</f>
        <v>#REF!</v>
      </c>
      <c r="Y608" t="e">
        <f>_xll.BDP(#REF!,Y$2)</f>
        <v>#REF!</v>
      </c>
      <c r="Z608" t="e">
        <f>_xll.BDP(#REF!,Z$2)</f>
        <v>#REF!</v>
      </c>
      <c r="AA608" t="e">
        <f>_xll.BDP(#REF!,AA$2)</f>
        <v>#REF!</v>
      </c>
      <c r="AD608">
        <f>IF(LEFT(_xll.BDP($T608,AD$2),4)="#N/A",-1,_xll.BDP($T608,AD$2))</f>
        <v>-1</v>
      </c>
    </row>
    <row r="609" spans="10:30">
      <c r="J609" s="37"/>
      <c r="U609">
        <f>IF(LEFT(_xll.BDP($T609,U$2),4)="#N/A",0,_xll.BDP($T609,U$2))</f>
        <v>0</v>
      </c>
      <c r="V609" t="e">
        <f>_xll.BDP(#REF!,V$2)</f>
        <v>#REF!</v>
      </c>
      <c r="W609" t="e">
        <f>_xll.BDP(#REF!,W$2)</f>
        <v>#REF!</v>
      </c>
      <c r="X609" t="e">
        <f>_xll.BDP(#REF!,X$2)</f>
        <v>#REF!</v>
      </c>
      <c r="Y609" t="e">
        <f>_xll.BDP(#REF!,Y$2)</f>
        <v>#REF!</v>
      </c>
      <c r="Z609" t="e">
        <f>_xll.BDP(#REF!,Z$2)</f>
        <v>#REF!</v>
      </c>
      <c r="AA609" t="e">
        <f>_xll.BDP(#REF!,AA$2)</f>
        <v>#REF!</v>
      </c>
      <c r="AD609">
        <f>IF(LEFT(_xll.BDP($T609,AD$2),4)="#N/A",-1,_xll.BDP($T609,AD$2))</f>
        <v>-1</v>
      </c>
    </row>
    <row r="610" spans="10:30">
      <c r="J610" s="37"/>
      <c r="U610">
        <f>IF(LEFT(_xll.BDP($T610,U$2),4)="#N/A",0,_xll.BDP($T610,U$2))</f>
        <v>0</v>
      </c>
      <c r="V610" t="e">
        <f>_xll.BDP(#REF!,V$2)</f>
        <v>#REF!</v>
      </c>
      <c r="W610" t="e">
        <f>_xll.BDP(#REF!,W$2)</f>
        <v>#REF!</v>
      </c>
      <c r="X610" t="e">
        <f>_xll.BDP(#REF!,X$2)</f>
        <v>#REF!</v>
      </c>
      <c r="Y610" t="e">
        <f>_xll.BDP(#REF!,Y$2)</f>
        <v>#REF!</v>
      </c>
      <c r="Z610" t="e">
        <f>_xll.BDP(#REF!,Z$2)</f>
        <v>#REF!</v>
      </c>
      <c r="AA610" t="e">
        <f>_xll.BDP(#REF!,AA$2)</f>
        <v>#REF!</v>
      </c>
      <c r="AD610">
        <f>IF(LEFT(_xll.BDP($T610,AD$2),4)="#N/A",-1,_xll.BDP($T610,AD$2))</f>
        <v>-1</v>
      </c>
    </row>
    <row r="611" spans="10:30">
      <c r="J611" s="37"/>
      <c r="U611">
        <f>IF(LEFT(_xll.BDP($T611,U$2),4)="#N/A",0,_xll.BDP($T611,U$2))</f>
        <v>0</v>
      </c>
      <c r="V611" t="e">
        <f>_xll.BDP(#REF!,V$2)</f>
        <v>#REF!</v>
      </c>
      <c r="W611" t="e">
        <f>_xll.BDP(#REF!,W$2)</f>
        <v>#REF!</v>
      </c>
      <c r="X611" t="e">
        <f>_xll.BDP(#REF!,X$2)</f>
        <v>#REF!</v>
      </c>
      <c r="Y611" t="e">
        <f>_xll.BDP(#REF!,Y$2)</f>
        <v>#REF!</v>
      </c>
      <c r="Z611" t="e">
        <f>_xll.BDP(#REF!,Z$2)</f>
        <v>#REF!</v>
      </c>
      <c r="AA611" t="e">
        <f>_xll.BDP(#REF!,AA$2)</f>
        <v>#REF!</v>
      </c>
      <c r="AD611">
        <f>IF(LEFT(_xll.BDP($T611,AD$2),4)="#N/A",-1,_xll.BDP($T611,AD$2))</f>
        <v>-1</v>
      </c>
    </row>
    <row r="612" spans="10:30">
      <c r="J612" s="37"/>
      <c r="U612">
        <f>IF(LEFT(_xll.BDP($T612,U$2),4)="#N/A",0,_xll.BDP($T612,U$2))</f>
        <v>0</v>
      </c>
      <c r="V612" t="e">
        <f>_xll.BDP(#REF!,V$2)</f>
        <v>#REF!</v>
      </c>
      <c r="W612" t="e">
        <f>_xll.BDP(#REF!,W$2)</f>
        <v>#REF!</v>
      </c>
      <c r="X612" t="e">
        <f>_xll.BDP(#REF!,X$2)</f>
        <v>#REF!</v>
      </c>
      <c r="Y612" t="e">
        <f>_xll.BDP(#REF!,Y$2)</f>
        <v>#REF!</v>
      </c>
      <c r="Z612" t="e">
        <f>_xll.BDP(#REF!,Z$2)</f>
        <v>#REF!</v>
      </c>
      <c r="AA612" t="e">
        <f>_xll.BDP(#REF!,AA$2)</f>
        <v>#REF!</v>
      </c>
      <c r="AD612">
        <f>IF(LEFT(_xll.BDP($T612,AD$2),4)="#N/A",-1,_xll.BDP($T612,AD$2))</f>
        <v>-1</v>
      </c>
    </row>
    <row r="613" spans="10:30">
      <c r="J613" s="37"/>
      <c r="U613">
        <f>IF(LEFT(_xll.BDP($T613,U$2),4)="#N/A",0,_xll.BDP($T613,U$2))</f>
        <v>0</v>
      </c>
      <c r="V613" t="e">
        <f>_xll.BDP(#REF!,V$2)</f>
        <v>#REF!</v>
      </c>
      <c r="W613" t="e">
        <f>_xll.BDP(#REF!,W$2)</f>
        <v>#REF!</v>
      </c>
      <c r="X613" t="e">
        <f>_xll.BDP(#REF!,X$2)</f>
        <v>#REF!</v>
      </c>
      <c r="Y613" t="e">
        <f>_xll.BDP(#REF!,Y$2)</f>
        <v>#REF!</v>
      </c>
      <c r="Z613" t="e">
        <f>_xll.BDP(#REF!,Z$2)</f>
        <v>#REF!</v>
      </c>
      <c r="AA613" t="e">
        <f>_xll.BDP(#REF!,AA$2)</f>
        <v>#REF!</v>
      </c>
      <c r="AD613">
        <f>IF(LEFT(_xll.BDP($T613,AD$2),4)="#N/A",-1,_xll.BDP($T613,AD$2))</f>
        <v>-1</v>
      </c>
    </row>
    <row r="614" spans="10:30">
      <c r="J614" s="37"/>
      <c r="U614">
        <f>IF(LEFT(_xll.BDP($T614,U$2),4)="#N/A",0,_xll.BDP($T614,U$2))</f>
        <v>0</v>
      </c>
      <c r="V614" t="e">
        <f>_xll.BDP(#REF!,V$2)</f>
        <v>#REF!</v>
      </c>
      <c r="W614" t="e">
        <f>_xll.BDP(#REF!,W$2)</f>
        <v>#REF!</v>
      </c>
      <c r="X614" t="e">
        <f>_xll.BDP(#REF!,X$2)</f>
        <v>#REF!</v>
      </c>
      <c r="Y614" t="e">
        <f>_xll.BDP(#REF!,Y$2)</f>
        <v>#REF!</v>
      </c>
      <c r="Z614" t="e">
        <f>_xll.BDP(#REF!,Z$2)</f>
        <v>#REF!</v>
      </c>
      <c r="AA614" t="e">
        <f>_xll.BDP(#REF!,AA$2)</f>
        <v>#REF!</v>
      </c>
      <c r="AD614">
        <f>IF(LEFT(_xll.BDP($T614,AD$2),4)="#N/A",-1,_xll.BDP($T614,AD$2))</f>
        <v>-1</v>
      </c>
    </row>
    <row r="615" spans="10:30">
      <c r="J615" s="37"/>
      <c r="U615">
        <f>IF(LEFT(_xll.BDP($T615,U$2),4)="#N/A",0,_xll.BDP($T615,U$2))</f>
        <v>0</v>
      </c>
      <c r="V615" t="e">
        <f>_xll.BDP(#REF!,V$2)</f>
        <v>#REF!</v>
      </c>
      <c r="W615" t="e">
        <f>_xll.BDP(#REF!,W$2)</f>
        <v>#REF!</v>
      </c>
      <c r="X615" t="e">
        <f>_xll.BDP(#REF!,X$2)</f>
        <v>#REF!</v>
      </c>
      <c r="Y615" t="e">
        <f>_xll.BDP(#REF!,Y$2)</f>
        <v>#REF!</v>
      </c>
      <c r="Z615" t="e">
        <f>_xll.BDP(#REF!,Z$2)</f>
        <v>#REF!</v>
      </c>
      <c r="AA615" t="e">
        <f>_xll.BDP(#REF!,AA$2)</f>
        <v>#REF!</v>
      </c>
      <c r="AD615">
        <f>IF(LEFT(_xll.BDP($T615,AD$2),4)="#N/A",-1,_xll.BDP($T615,AD$2))</f>
        <v>-1</v>
      </c>
    </row>
    <row r="616" spans="10:30">
      <c r="J616" s="37"/>
      <c r="U616">
        <f>IF(LEFT(_xll.BDP($T616,U$2),4)="#N/A",0,_xll.BDP($T616,U$2))</f>
        <v>0</v>
      </c>
      <c r="V616" t="e">
        <f>_xll.BDP(#REF!,V$2)</f>
        <v>#REF!</v>
      </c>
      <c r="W616" t="e">
        <f>_xll.BDP(#REF!,W$2)</f>
        <v>#REF!</v>
      </c>
      <c r="X616" t="e">
        <f>_xll.BDP(#REF!,X$2)</f>
        <v>#REF!</v>
      </c>
      <c r="Y616" t="e">
        <f>_xll.BDP(#REF!,Y$2)</f>
        <v>#REF!</v>
      </c>
      <c r="Z616" t="e">
        <f>_xll.BDP(#REF!,Z$2)</f>
        <v>#REF!</v>
      </c>
      <c r="AA616" t="e">
        <f>_xll.BDP(#REF!,AA$2)</f>
        <v>#REF!</v>
      </c>
      <c r="AD616">
        <f>IF(LEFT(_xll.BDP($T616,AD$2),4)="#N/A",-1,_xll.BDP($T616,AD$2))</f>
        <v>-1</v>
      </c>
    </row>
    <row r="617" spans="10:30">
      <c r="J617" s="37"/>
      <c r="U617">
        <f>IF(LEFT(_xll.BDP($T617,U$2),4)="#N/A",0,_xll.BDP($T617,U$2))</f>
        <v>0</v>
      </c>
      <c r="V617" t="e">
        <f>_xll.BDP(#REF!,V$2)</f>
        <v>#REF!</v>
      </c>
      <c r="W617" t="e">
        <f>_xll.BDP(#REF!,W$2)</f>
        <v>#REF!</v>
      </c>
      <c r="X617" t="e">
        <f>_xll.BDP(#REF!,X$2)</f>
        <v>#REF!</v>
      </c>
      <c r="Y617" t="e">
        <f>_xll.BDP(#REF!,Y$2)</f>
        <v>#REF!</v>
      </c>
      <c r="Z617" t="e">
        <f>_xll.BDP(#REF!,Z$2)</f>
        <v>#REF!</v>
      </c>
      <c r="AA617" t="e">
        <f>_xll.BDP(#REF!,AA$2)</f>
        <v>#REF!</v>
      </c>
      <c r="AD617">
        <f>IF(LEFT(_xll.BDP($T617,AD$2),4)="#N/A",-1,_xll.BDP($T617,AD$2))</f>
        <v>-1</v>
      </c>
    </row>
    <row r="618" spans="10:30">
      <c r="J618" s="37"/>
      <c r="U618">
        <f>IF(LEFT(_xll.BDP($T618,U$2),4)="#N/A",0,_xll.BDP($T618,U$2))</f>
        <v>0</v>
      </c>
      <c r="V618" t="e">
        <f>_xll.BDP(#REF!,V$2)</f>
        <v>#REF!</v>
      </c>
      <c r="W618" t="e">
        <f>_xll.BDP(#REF!,W$2)</f>
        <v>#REF!</v>
      </c>
      <c r="X618" t="e">
        <f>_xll.BDP(#REF!,X$2)</f>
        <v>#REF!</v>
      </c>
      <c r="Y618" t="e">
        <f>_xll.BDP(#REF!,Y$2)</f>
        <v>#REF!</v>
      </c>
      <c r="Z618" t="e">
        <f>_xll.BDP(#REF!,Z$2)</f>
        <v>#REF!</v>
      </c>
      <c r="AA618" t="e">
        <f>_xll.BDP(#REF!,AA$2)</f>
        <v>#REF!</v>
      </c>
      <c r="AD618">
        <f>IF(LEFT(_xll.BDP($T618,AD$2),4)="#N/A",-1,_xll.BDP($T618,AD$2))</f>
        <v>-1</v>
      </c>
    </row>
    <row r="619" spans="10:30">
      <c r="J619" s="37"/>
      <c r="U619">
        <f>IF(LEFT(_xll.BDP($T619,U$2),4)="#N/A",0,_xll.BDP($T619,U$2))</f>
        <v>0</v>
      </c>
      <c r="V619" t="e">
        <f>_xll.BDP(#REF!,V$2)</f>
        <v>#REF!</v>
      </c>
      <c r="W619" t="e">
        <f>_xll.BDP(#REF!,W$2)</f>
        <v>#REF!</v>
      </c>
      <c r="X619" t="e">
        <f>_xll.BDP(#REF!,X$2)</f>
        <v>#REF!</v>
      </c>
      <c r="Y619" t="e">
        <f>_xll.BDP(#REF!,Y$2)</f>
        <v>#REF!</v>
      </c>
      <c r="Z619" t="e">
        <f>_xll.BDP(#REF!,Z$2)</f>
        <v>#REF!</v>
      </c>
      <c r="AA619" t="e">
        <f>_xll.BDP(#REF!,AA$2)</f>
        <v>#REF!</v>
      </c>
      <c r="AD619">
        <f>IF(LEFT(_xll.BDP($T619,AD$2),4)="#N/A",-1,_xll.BDP($T619,AD$2))</f>
        <v>-1</v>
      </c>
    </row>
    <row r="620" spans="10:30">
      <c r="J620" s="37"/>
      <c r="U620">
        <f>IF(LEFT(_xll.BDP($T620,U$2),4)="#N/A",0,_xll.BDP($T620,U$2))</f>
        <v>0</v>
      </c>
      <c r="V620" t="e">
        <f>_xll.BDP(#REF!,V$2)</f>
        <v>#REF!</v>
      </c>
      <c r="W620" t="e">
        <f>_xll.BDP(#REF!,W$2)</f>
        <v>#REF!</v>
      </c>
      <c r="X620" t="e">
        <f>_xll.BDP(#REF!,X$2)</f>
        <v>#REF!</v>
      </c>
      <c r="Y620" t="e">
        <f>_xll.BDP(#REF!,Y$2)</f>
        <v>#REF!</v>
      </c>
      <c r="Z620" t="e">
        <f>_xll.BDP(#REF!,Z$2)</f>
        <v>#REF!</v>
      </c>
      <c r="AA620" t="e">
        <f>_xll.BDP(#REF!,AA$2)</f>
        <v>#REF!</v>
      </c>
      <c r="AD620">
        <f>IF(LEFT(_xll.BDP($T620,AD$2),4)="#N/A",-1,_xll.BDP($T620,AD$2))</f>
        <v>-1</v>
      </c>
    </row>
    <row r="621" spans="10:30">
      <c r="J621" s="37"/>
      <c r="U621">
        <f>IF(LEFT(_xll.BDP($T621,U$2),4)="#N/A",0,_xll.BDP($T621,U$2))</f>
        <v>0</v>
      </c>
      <c r="V621" t="e">
        <f>_xll.BDP(#REF!,V$2)</f>
        <v>#REF!</v>
      </c>
      <c r="W621" t="e">
        <f>_xll.BDP(#REF!,W$2)</f>
        <v>#REF!</v>
      </c>
      <c r="X621" t="e">
        <f>_xll.BDP(#REF!,X$2)</f>
        <v>#REF!</v>
      </c>
      <c r="Y621" t="e">
        <f>_xll.BDP(#REF!,Y$2)</f>
        <v>#REF!</v>
      </c>
      <c r="Z621" t="e">
        <f>_xll.BDP(#REF!,Z$2)</f>
        <v>#REF!</v>
      </c>
      <c r="AA621" t="e">
        <f>_xll.BDP(#REF!,AA$2)</f>
        <v>#REF!</v>
      </c>
      <c r="AD621">
        <f>IF(LEFT(_xll.BDP($T621,AD$2),4)="#N/A",-1,_xll.BDP($T621,AD$2))</f>
        <v>-1</v>
      </c>
    </row>
    <row r="622" spans="10:30">
      <c r="J622" s="37"/>
      <c r="U622">
        <f>IF(LEFT(_xll.BDP($T622,U$2),4)="#N/A",0,_xll.BDP($T622,U$2))</f>
        <v>0</v>
      </c>
      <c r="V622" t="e">
        <f>_xll.BDP(#REF!,V$2)</f>
        <v>#REF!</v>
      </c>
      <c r="W622" t="e">
        <f>_xll.BDP(#REF!,W$2)</f>
        <v>#REF!</v>
      </c>
      <c r="X622" t="e">
        <f>_xll.BDP(#REF!,X$2)</f>
        <v>#REF!</v>
      </c>
      <c r="Y622" t="e">
        <f>_xll.BDP(#REF!,Y$2)</f>
        <v>#REF!</v>
      </c>
      <c r="Z622" t="e">
        <f>_xll.BDP(#REF!,Z$2)</f>
        <v>#REF!</v>
      </c>
      <c r="AA622" t="e">
        <f>_xll.BDP(#REF!,AA$2)</f>
        <v>#REF!</v>
      </c>
      <c r="AD622">
        <f>IF(LEFT(_xll.BDP($T622,AD$2),4)="#N/A",-1,_xll.BDP($T622,AD$2))</f>
        <v>-1</v>
      </c>
    </row>
    <row r="623" spans="10:30">
      <c r="J623" s="37"/>
      <c r="U623">
        <f>IF(LEFT(_xll.BDP($T623,U$2),4)="#N/A",0,_xll.BDP($T623,U$2))</f>
        <v>0</v>
      </c>
      <c r="V623" t="e">
        <f>_xll.BDP(#REF!,V$2)</f>
        <v>#REF!</v>
      </c>
      <c r="W623" t="e">
        <f>_xll.BDP(#REF!,W$2)</f>
        <v>#REF!</v>
      </c>
      <c r="X623" t="e">
        <f>_xll.BDP(#REF!,X$2)</f>
        <v>#REF!</v>
      </c>
      <c r="Y623" t="e">
        <f>_xll.BDP(#REF!,Y$2)</f>
        <v>#REF!</v>
      </c>
      <c r="Z623" t="e">
        <f>_xll.BDP(#REF!,Z$2)</f>
        <v>#REF!</v>
      </c>
      <c r="AA623" t="e">
        <f>_xll.BDP(#REF!,AA$2)</f>
        <v>#REF!</v>
      </c>
      <c r="AD623">
        <f>IF(LEFT(_xll.BDP($T623,AD$2),4)="#N/A",-1,_xll.BDP($T623,AD$2))</f>
        <v>-1</v>
      </c>
    </row>
    <row r="624" spans="10:30">
      <c r="J624" s="37"/>
      <c r="U624">
        <f>IF(LEFT(_xll.BDP($T624,U$2),4)="#N/A",0,_xll.BDP($T624,U$2))</f>
        <v>0</v>
      </c>
      <c r="V624" t="e">
        <f>_xll.BDP(#REF!,V$2)</f>
        <v>#REF!</v>
      </c>
      <c r="W624" t="e">
        <f>_xll.BDP(#REF!,W$2)</f>
        <v>#REF!</v>
      </c>
      <c r="X624" t="e">
        <f>_xll.BDP(#REF!,X$2)</f>
        <v>#REF!</v>
      </c>
      <c r="Y624" t="e">
        <f>_xll.BDP(#REF!,Y$2)</f>
        <v>#REF!</v>
      </c>
      <c r="Z624" t="e">
        <f>_xll.BDP(#REF!,Z$2)</f>
        <v>#REF!</v>
      </c>
      <c r="AA624" t="e">
        <f>_xll.BDP(#REF!,AA$2)</f>
        <v>#REF!</v>
      </c>
      <c r="AD624">
        <f>IF(LEFT(_xll.BDP($T624,AD$2),4)="#N/A",-1,_xll.BDP($T624,AD$2))</f>
        <v>-1</v>
      </c>
    </row>
    <row r="625" spans="10:30">
      <c r="J625" s="37"/>
      <c r="U625">
        <f>IF(LEFT(_xll.BDP($T625,U$2),4)="#N/A",0,_xll.BDP($T625,U$2))</f>
        <v>0</v>
      </c>
      <c r="V625" t="e">
        <f>_xll.BDP(#REF!,V$2)</f>
        <v>#REF!</v>
      </c>
      <c r="W625" t="e">
        <f>_xll.BDP(#REF!,W$2)</f>
        <v>#REF!</v>
      </c>
      <c r="X625" t="e">
        <f>_xll.BDP(#REF!,X$2)</f>
        <v>#REF!</v>
      </c>
      <c r="Y625" t="e">
        <f>_xll.BDP(#REF!,Y$2)</f>
        <v>#REF!</v>
      </c>
      <c r="Z625" t="e">
        <f>_xll.BDP(#REF!,Z$2)</f>
        <v>#REF!</v>
      </c>
      <c r="AA625" t="e">
        <f>_xll.BDP(#REF!,AA$2)</f>
        <v>#REF!</v>
      </c>
      <c r="AD625">
        <f>IF(LEFT(_xll.BDP($T625,AD$2),4)="#N/A",-1,_xll.BDP($T625,AD$2))</f>
        <v>-1</v>
      </c>
    </row>
    <row r="626" spans="10:30">
      <c r="J626" s="37"/>
      <c r="U626">
        <f>IF(LEFT(_xll.BDP($T626,U$2),4)="#N/A",0,_xll.BDP($T626,U$2))</f>
        <v>0</v>
      </c>
      <c r="V626" t="e">
        <f>_xll.BDP(#REF!,V$2)</f>
        <v>#REF!</v>
      </c>
      <c r="W626" t="e">
        <f>_xll.BDP(#REF!,W$2)</f>
        <v>#REF!</v>
      </c>
      <c r="X626" t="e">
        <f>_xll.BDP(#REF!,X$2)</f>
        <v>#REF!</v>
      </c>
      <c r="Y626" t="e">
        <f>_xll.BDP(#REF!,Y$2)</f>
        <v>#REF!</v>
      </c>
      <c r="Z626" t="e">
        <f>_xll.BDP(#REF!,Z$2)</f>
        <v>#REF!</v>
      </c>
      <c r="AA626" t="e">
        <f>_xll.BDP(#REF!,AA$2)</f>
        <v>#REF!</v>
      </c>
      <c r="AD626">
        <f>IF(LEFT(_xll.BDP($T626,AD$2),4)="#N/A",-1,_xll.BDP($T626,AD$2))</f>
        <v>-1</v>
      </c>
    </row>
    <row r="627" spans="10:30">
      <c r="J627" s="37"/>
      <c r="U627">
        <f>IF(LEFT(_xll.BDP($T627,U$2),4)="#N/A",0,_xll.BDP($T627,U$2))</f>
        <v>0</v>
      </c>
      <c r="V627" t="e">
        <f>_xll.BDP(#REF!,V$2)</f>
        <v>#REF!</v>
      </c>
      <c r="W627" t="e">
        <f>_xll.BDP(#REF!,W$2)</f>
        <v>#REF!</v>
      </c>
      <c r="X627" t="e">
        <f>_xll.BDP(#REF!,X$2)</f>
        <v>#REF!</v>
      </c>
      <c r="Y627" t="e">
        <f>_xll.BDP(#REF!,Y$2)</f>
        <v>#REF!</v>
      </c>
      <c r="Z627" t="e">
        <f>_xll.BDP(#REF!,Z$2)</f>
        <v>#REF!</v>
      </c>
      <c r="AA627" t="e">
        <f>_xll.BDP(#REF!,AA$2)</f>
        <v>#REF!</v>
      </c>
      <c r="AD627">
        <f>IF(LEFT(_xll.BDP($T627,AD$2),4)="#N/A",-1,_xll.BDP($T627,AD$2))</f>
        <v>-1</v>
      </c>
    </row>
    <row r="628" spans="10:30">
      <c r="J628" s="37"/>
      <c r="U628">
        <f>IF(LEFT(_xll.BDP($T628,U$2),4)="#N/A",0,_xll.BDP($T628,U$2))</f>
        <v>0</v>
      </c>
      <c r="V628" t="e">
        <f>_xll.BDP(#REF!,V$2)</f>
        <v>#REF!</v>
      </c>
      <c r="W628" t="e">
        <f>_xll.BDP(#REF!,W$2)</f>
        <v>#REF!</v>
      </c>
      <c r="X628" t="e">
        <f>_xll.BDP(#REF!,X$2)</f>
        <v>#REF!</v>
      </c>
      <c r="Y628" t="e">
        <f>_xll.BDP(#REF!,Y$2)</f>
        <v>#REF!</v>
      </c>
      <c r="Z628" t="e">
        <f>_xll.BDP(#REF!,Z$2)</f>
        <v>#REF!</v>
      </c>
      <c r="AA628" t="e">
        <f>_xll.BDP(#REF!,AA$2)</f>
        <v>#REF!</v>
      </c>
      <c r="AD628">
        <f>IF(LEFT(_xll.BDP($T628,AD$2),4)="#N/A",-1,_xll.BDP($T628,AD$2))</f>
        <v>-1</v>
      </c>
    </row>
    <row r="629" spans="10:30">
      <c r="J629" s="37"/>
      <c r="U629">
        <f>IF(LEFT(_xll.BDP($T629,U$2),4)="#N/A",0,_xll.BDP($T629,U$2))</f>
        <v>0</v>
      </c>
      <c r="V629" t="e">
        <f>_xll.BDP(#REF!,V$2)</f>
        <v>#REF!</v>
      </c>
      <c r="W629" t="e">
        <f>_xll.BDP(#REF!,W$2)</f>
        <v>#REF!</v>
      </c>
      <c r="X629" t="e">
        <f>_xll.BDP(#REF!,X$2)</f>
        <v>#REF!</v>
      </c>
      <c r="Y629" t="e">
        <f>_xll.BDP(#REF!,Y$2)</f>
        <v>#REF!</v>
      </c>
      <c r="Z629" t="e">
        <f>_xll.BDP(#REF!,Z$2)</f>
        <v>#REF!</v>
      </c>
      <c r="AA629" t="e">
        <f>_xll.BDP(#REF!,AA$2)</f>
        <v>#REF!</v>
      </c>
      <c r="AD629">
        <f>IF(LEFT(_xll.BDP($T629,AD$2),4)="#N/A",-1,_xll.BDP($T629,AD$2))</f>
        <v>-1</v>
      </c>
    </row>
    <row r="630" spans="10:30">
      <c r="J630" s="37"/>
      <c r="U630">
        <f>IF(LEFT(_xll.BDP($T630,U$2),4)="#N/A",0,_xll.BDP($T630,U$2))</f>
        <v>0</v>
      </c>
      <c r="V630" t="e">
        <f>_xll.BDP(#REF!,V$2)</f>
        <v>#REF!</v>
      </c>
      <c r="W630" t="e">
        <f>_xll.BDP(#REF!,W$2)</f>
        <v>#REF!</v>
      </c>
      <c r="X630" t="e">
        <f>_xll.BDP(#REF!,X$2)</f>
        <v>#REF!</v>
      </c>
      <c r="Y630" t="e">
        <f>_xll.BDP(#REF!,Y$2)</f>
        <v>#REF!</v>
      </c>
      <c r="Z630" t="e">
        <f>_xll.BDP(#REF!,Z$2)</f>
        <v>#REF!</v>
      </c>
      <c r="AA630" t="e">
        <f>_xll.BDP(#REF!,AA$2)</f>
        <v>#REF!</v>
      </c>
      <c r="AD630">
        <f>IF(LEFT(_xll.BDP($T630,AD$2),4)="#N/A",-1,_xll.BDP($T630,AD$2))</f>
        <v>-1</v>
      </c>
    </row>
    <row r="631" spans="10:30">
      <c r="J631" s="37"/>
      <c r="U631">
        <f>IF(LEFT(_xll.BDP($T631,U$2),4)="#N/A",0,_xll.BDP($T631,U$2))</f>
        <v>0</v>
      </c>
      <c r="V631" t="e">
        <f>_xll.BDP(#REF!,V$2)</f>
        <v>#REF!</v>
      </c>
      <c r="W631" t="e">
        <f>_xll.BDP(#REF!,W$2)</f>
        <v>#REF!</v>
      </c>
      <c r="X631" t="e">
        <f>_xll.BDP(#REF!,X$2)</f>
        <v>#REF!</v>
      </c>
      <c r="Y631" t="e">
        <f>_xll.BDP(#REF!,Y$2)</f>
        <v>#REF!</v>
      </c>
      <c r="Z631" t="e">
        <f>_xll.BDP(#REF!,Z$2)</f>
        <v>#REF!</v>
      </c>
      <c r="AA631" t="e">
        <f>_xll.BDP(#REF!,AA$2)</f>
        <v>#REF!</v>
      </c>
      <c r="AD631">
        <f>IF(LEFT(_xll.BDP($T631,AD$2),4)="#N/A",-1,_xll.BDP($T631,AD$2))</f>
        <v>-1</v>
      </c>
    </row>
    <row r="632" spans="10:30">
      <c r="J632" s="37"/>
      <c r="U632">
        <f>IF(LEFT(_xll.BDP($T632,U$2),4)="#N/A",0,_xll.BDP($T632,U$2))</f>
        <v>0</v>
      </c>
      <c r="V632" t="e">
        <f>_xll.BDP(#REF!,V$2)</f>
        <v>#REF!</v>
      </c>
      <c r="W632" t="e">
        <f>_xll.BDP(#REF!,W$2)</f>
        <v>#REF!</v>
      </c>
      <c r="X632" t="e">
        <f>_xll.BDP(#REF!,X$2)</f>
        <v>#REF!</v>
      </c>
      <c r="Y632" t="e">
        <f>_xll.BDP(#REF!,Y$2)</f>
        <v>#REF!</v>
      </c>
      <c r="Z632" t="e">
        <f>_xll.BDP(#REF!,Z$2)</f>
        <v>#REF!</v>
      </c>
      <c r="AA632" t="e">
        <f>_xll.BDP(#REF!,AA$2)</f>
        <v>#REF!</v>
      </c>
      <c r="AD632">
        <f>IF(LEFT(_xll.BDP($T632,AD$2),4)="#N/A",-1,_xll.BDP($T632,AD$2))</f>
        <v>-1</v>
      </c>
    </row>
    <row r="633" spans="10:30">
      <c r="J633" s="37"/>
      <c r="U633">
        <f>IF(LEFT(_xll.BDP($T633,U$2),4)="#N/A",0,_xll.BDP($T633,U$2))</f>
        <v>0</v>
      </c>
      <c r="V633" t="e">
        <f>_xll.BDP(#REF!,V$2)</f>
        <v>#REF!</v>
      </c>
      <c r="W633" t="e">
        <f>_xll.BDP(#REF!,W$2)</f>
        <v>#REF!</v>
      </c>
      <c r="X633" t="e">
        <f>_xll.BDP(#REF!,X$2)</f>
        <v>#REF!</v>
      </c>
      <c r="Y633" t="e">
        <f>_xll.BDP(#REF!,Y$2)</f>
        <v>#REF!</v>
      </c>
      <c r="Z633" t="e">
        <f>_xll.BDP(#REF!,Z$2)</f>
        <v>#REF!</v>
      </c>
      <c r="AA633" t="e">
        <f>_xll.BDP(#REF!,AA$2)</f>
        <v>#REF!</v>
      </c>
      <c r="AD633">
        <f>IF(LEFT(_xll.BDP($T633,AD$2),4)="#N/A",-1,_xll.BDP($T633,AD$2))</f>
        <v>-1</v>
      </c>
    </row>
    <row r="634" spans="10:30">
      <c r="J634" s="37"/>
      <c r="U634">
        <f>IF(LEFT(_xll.BDP($T634,U$2),4)="#N/A",0,_xll.BDP($T634,U$2))</f>
        <v>0</v>
      </c>
      <c r="V634" t="e">
        <f>_xll.BDP(#REF!,V$2)</f>
        <v>#REF!</v>
      </c>
      <c r="W634" t="e">
        <f>_xll.BDP(#REF!,W$2)</f>
        <v>#REF!</v>
      </c>
      <c r="X634" t="e">
        <f>_xll.BDP(#REF!,X$2)</f>
        <v>#REF!</v>
      </c>
      <c r="Y634" t="e">
        <f>_xll.BDP(#REF!,Y$2)</f>
        <v>#REF!</v>
      </c>
      <c r="Z634" t="e">
        <f>_xll.BDP(#REF!,Z$2)</f>
        <v>#REF!</v>
      </c>
      <c r="AA634" t="e">
        <f>_xll.BDP(#REF!,AA$2)</f>
        <v>#REF!</v>
      </c>
      <c r="AD634">
        <f>IF(LEFT(_xll.BDP($T634,AD$2),4)="#N/A",-1,_xll.BDP($T634,AD$2))</f>
        <v>-1</v>
      </c>
    </row>
    <row r="635" spans="10:30">
      <c r="J635" s="37"/>
      <c r="U635">
        <f>IF(LEFT(_xll.BDP($T635,U$2),4)="#N/A",0,_xll.BDP($T635,U$2))</f>
        <v>0</v>
      </c>
      <c r="V635" t="e">
        <f>_xll.BDP(#REF!,V$2)</f>
        <v>#REF!</v>
      </c>
      <c r="W635" t="e">
        <f>_xll.BDP(#REF!,W$2)</f>
        <v>#REF!</v>
      </c>
      <c r="X635" t="e">
        <f>_xll.BDP(#REF!,X$2)</f>
        <v>#REF!</v>
      </c>
      <c r="Y635" t="e">
        <f>_xll.BDP(#REF!,Y$2)</f>
        <v>#REF!</v>
      </c>
      <c r="Z635" t="e">
        <f>_xll.BDP(#REF!,Z$2)</f>
        <v>#REF!</v>
      </c>
      <c r="AA635" t="e">
        <f>_xll.BDP(#REF!,AA$2)</f>
        <v>#REF!</v>
      </c>
      <c r="AD635">
        <f>IF(LEFT(_xll.BDP($T635,AD$2),4)="#N/A",-1,_xll.BDP($T635,AD$2))</f>
        <v>-1</v>
      </c>
    </row>
    <row r="636" spans="10:30">
      <c r="J636" s="37"/>
      <c r="U636">
        <f>IF(LEFT(_xll.BDP($T636,U$2),4)="#N/A",0,_xll.BDP($T636,U$2))</f>
        <v>0</v>
      </c>
      <c r="V636" t="e">
        <f>_xll.BDP(#REF!,V$2)</f>
        <v>#REF!</v>
      </c>
      <c r="W636" t="e">
        <f>_xll.BDP(#REF!,W$2)</f>
        <v>#REF!</v>
      </c>
      <c r="X636" t="e">
        <f>_xll.BDP(#REF!,X$2)</f>
        <v>#REF!</v>
      </c>
      <c r="Y636" t="e">
        <f>_xll.BDP(#REF!,Y$2)</f>
        <v>#REF!</v>
      </c>
      <c r="Z636" t="e">
        <f>_xll.BDP(#REF!,Z$2)</f>
        <v>#REF!</v>
      </c>
      <c r="AA636" t="e">
        <f>_xll.BDP(#REF!,AA$2)</f>
        <v>#REF!</v>
      </c>
      <c r="AD636">
        <f>IF(LEFT(_xll.BDP($T636,AD$2),4)="#N/A",-1,_xll.BDP($T636,AD$2))</f>
        <v>-1</v>
      </c>
    </row>
    <row r="637" spans="10:30">
      <c r="J637" s="37"/>
      <c r="U637">
        <f>IF(LEFT(_xll.BDP($T637,U$2),4)="#N/A",0,_xll.BDP($T637,U$2))</f>
        <v>0</v>
      </c>
      <c r="V637" t="e">
        <f>_xll.BDP(#REF!,V$2)</f>
        <v>#REF!</v>
      </c>
      <c r="W637" t="e">
        <f>_xll.BDP(#REF!,W$2)</f>
        <v>#REF!</v>
      </c>
      <c r="X637" t="e">
        <f>_xll.BDP(#REF!,X$2)</f>
        <v>#REF!</v>
      </c>
      <c r="Y637" t="e">
        <f>_xll.BDP(#REF!,Y$2)</f>
        <v>#REF!</v>
      </c>
      <c r="Z637" t="e">
        <f>_xll.BDP(#REF!,Z$2)</f>
        <v>#REF!</v>
      </c>
      <c r="AA637" t="e">
        <f>_xll.BDP(#REF!,AA$2)</f>
        <v>#REF!</v>
      </c>
      <c r="AD637">
        <f>IF(LEFT(_xll.BDP($T637,AD$2),4)="#N/A",-1,_xll.BDP($T637,AD$2))</f>
        <v>-1</v>
      </c>
    </row>
    <row r="638" spans="10:30">
      <c r="J638" s="37"/>
      <c r="U638">
        <f>IF(LEFT(_xll.BDP($T638,U$2),4)="#N/A",0,_xll.BDP($T638,U$2))</f>
        <v>0</v>
      </c>
      <c r="V638" t="e">
        <f>_xll.BDP(#REF!,V$2)</f>
        <v>#REF!</v>
      </c>
      <c r="W638" t="e">
        <f>_xll.BDP(#REF!,W$2)</f>
        <v>#REF!</v>
      </c>
      <c r="X638" t="e">
        <f>_xll.BDP(#REF!,X$2)</f>
        <v>#REF!</v>
      </c>
      <c r="Y638" t="e">
        <f>_xll.BDP(#REF!,Y$2)</f>
        <v>#REF!</v>
      </c>
      <c r="Z638" t="e">
        <f>_xll.BDP(#REF!,Z$2)</f>
        <v>#REF!</v>
      </c>
      <c r="AA638" t="e">
        <f>_xll.BDP(#REF!,AA$2)</f>
        <v>#REF!</v>
      </c>
      <c r="AD638">
        <f>IF(LEFT(_xll.BDP($T638,AD$2),4)="#N/A",-1,_xll.BDP($T638,AD$2))</f>
        <v>-1</v>
      </c>
    </row>
    <row r="639" spans="10:30">
      <c r="J639" s="37"/>
      <c r="U639">
        <f>IF(LEFT(_xll.BDP($T639,U$2),4)="#N/A",0,_xll.BDP($T639,U$2))</f>
        <v>0</v>
      </c>
      <c r="V639" t="e">
        <f>_xll.BDP(#REF!,V$2)</f>
        <v>#REF!</v>
      </c>
      <c r="W639" t="e">
        <f>_xll.BDP(#REF!,W$2)</f>
        <v>#REF!</v>
      </c>
      <c r="X639" t="e">
        <f>_xll.BDP(#REF!,X$2)</f>
        <v>#REF!</v>
      </c>
      <c r="Y639" t="e">
        <f>_xll.BDP(#REF!,Y$2)</f>
        <v>#REF!</v>
      </c>
      <c r="Z639" t="e">
        <f>_xll.BDP(#REF!,Z$2)</f>
        <v>#REF!</v>
      </c>
      <c r="AA639" t="e">
        <f>_xll.BDP(#REF!,AA$2)</f>
        <v>#REF!</v>
      </c>
      <c r="AD639">
        <f>IF(LEFT(_xll.BDP($T639,AD$2),4)="#N/A",-1,_xll.BDP($T639,AD$2))</f>
        <v>-1</v>
      </c>
    </row>
    <row r="640" spans="10:30">
      <c r="J640" s="37"/>
      <c r="U640">
        <f>IF(LEFT(_xll.BDP($T640,U$2),4)="#N/A",0,_xll.BDP($T640,U$2))</f>
        <v>0</v>
      </c>
      <c r="V640" t="e">
        <f>_xll.BDP(#REF!,V$2)</f>
        <v>#REF!</v>
      </c>
      <c r="W640" t="e">
        <f>_xll.BDP(#REF!,W$2)</f>
        <v>#REF!</v>
      </c>
      <c r="X640" t="e">
        <f>_xll.BDP(#REF!,X$2)</f>
        <v>#REF!</v>
      </c>
      <c r="Y640" t="e">
        <f>_xll.BDP(#REF!,Y$2)</f>
        <v>#REF!</v>
      </c>
      <c r="Z640" t="e">
        <f>_xll.BDP(#REF!,Z$2)</f>
        <v>#REF!</v>
      </c>
      <c r="AA640" t="e">
        <f>_xll.BDP(#REF!,AA$2)</f>
        <v>#REF!</v>
      </c>
      <c r="AD640">
        <f>IF(LEFT(_xll.BDP($T640,AD$2),4)="#N/A",-1,_xll.BDP($T640,AD$2))</f>
        <v>-1</v>
      </c>
    </row>
    <row r="641" spans="10:30">
      <c r="J641" s="37"/>
      <c r="U641">
        <f>IF(LEFT(_xll.BDP($T641,U$2),4)="#N/A",0,_xll.BDP($T641,U$2))</f>
        <v>0</v>
      </c>
      <c r="V641" t="e">
        <f>_xll.BDP(#REF!,V$2)</f>
        <v>#REF!</v>
      </c>
      <c r="W641" t="e">
        <f>_xll.BDP(#REF!,W$2)</f>
        <v>#REF!</v>
      </c>
      <c r="X641" t="e">
        <f>_xll.BDP(#REF!,X$2)</f>
        <v>#REF!</v>
      </c>
      <c r="Y641" t="e">
        <f>_xll.BDP(#REF!,Y$2)</f>
        <v>#REF!</v>
      </c>
      <c r="Z641" t="e">
        <f>_xll.BDP(#REF!,Z$2)</f>
        <v>#REF!</v>
      </c>
      <c r="AA641" t="e">
        <f>_xll.BDP(#REF!,AA$2)</f>
        <v>#REF!</v>
      </c>
      <c r="AD641">
        <f>IF(LEFT(_xll.BDP($T641,AD$2),4)="#N/A",-1,_xll.BDP($T641,AD$2))</f>
        <v>-1</v>
      </c>
    </row>
    <row r="642" spans="10:30">
      <c r="J642" s="37"/>
      <c r="U642">
        <f>IF(LEFT(_xll.BDP($T642,U$2),4)="#N/A",0,_xll.BDP($T642,U$2))</f>
        <v>0</v>
      </c>
      <c r="V642" t="e">
        <f>_xll.BDP(#REF!,V$2)</f>
        <v>#REF!</v>
      </c>
      <c r="W642" t="e">
        <f>_xll.BDP(#REF!,W$2)</f>
        <v>#REF!</v>
      </c>
      <c r="X642" t="e">
        <f>_xll.BDP(#REF!,X$2)</f>
        <v>#REF!</v>
      </c>
      <c r="Y642" t="e">
        <f>_xll.BDP(#REF!,Y$2)</f>
        <v>#REF!</v>
      </c>
      <c r="Z642" t="e">
        <f>_xll.BDP(#REF!,Z$2)</f>
        <v>#REF!</v>
      </c>
      <c r="AA642" t="e">
        <f>_xll.BDP(#REF!,AA$2)</f>
        <v>#REF!</v>
      </c>
      <c r="AD642">
        <f>IF(LEFT(_xll.BDP($T642,AD$2),4)="#N/A",-1,_xll.BDP($T642,AD$2))</f>
        <v>-1</v>
      </c>
    </row>
    <row r="643" spans="10:30">
      <c r="J643" s="37"/>
      <c r="U643">
        <f>IF(LEFT(_xll.BDP($T643,U$2),4)="#N/A",0,_xll.BDP($T643,U$2))</f>
        <v>0</v>
      </c>
      <c r="V643" t="e">
        <f>_xll.BDP(#REF!,V$2)</f>
        <v>#REF!</v>
      </c>
      <c r="W643" t="e">
        <f>_xll.BDP(#REF!,W$2)</f>
        <v>#REF!</v>
      </c>
      <c r="X643" t="e">
        <f>_xll.BDP(#REF!,X$2)</f>
        <v>#REF!</v>
      </c>
      <c r="Y643" t="e">
        <f>_xll.BDP(#REF!,Y$2)</f>
        <v>#REF!</v>
      </c>
      <c r="Z643" t="e">
        <f>_xll.BDP(#REF!,Z$2)</f>
        <v>#REF!</v>
      </c>
      <c r="AA643" t="e">
        <f>_xll.BDP(#REF!,AA$2)</f>
        <v>#REF!</v>
      </c>
      <c r="AD643">
        <f>IF(LEFT(_xll.BDP($T643,AD$2),4)="#N/A",-1,_xll.BDP($T643,AD$2))</f>
        <v>-1</v>
      </c>
    </row>
    <row r="644" spans="10:30">
      <c r="J644" s="37"/>
      <c r="U644">
        <f>IF(LEFT(_xll.BDP($T644,U$2),4)="#N/A",0,_xll.BDP($T644,U$2))</f>
        <v>0</v>
      </c>
      <c r="V644" t="e">
        <f>_xll.BDP(#REF!,V$2)</f>
        <v>#REF!</v>
      </c>
      <c r="W644" t="e">
        <f>_xll.BDP(#REF!,W$2)</f>
        <v>#REF!</v>
      </c>
      <c r="X644" t="e">
        <f>_xll.BDP(#REF!,X$2)</f>
        <v>#REF!</v>
      </c>
      <c r="Y644" t="e">
        <f>_xll.BDP(#REF!,Y$2)</f>
        <v>#REF!</v>
      </c>
      <c r="Z644" t="e">
        <f>_xll.BDP(#REF!,Z$2)</f>
        <v>#REF!</v>
      </c>
      <c r="AA644" t="e">
        <f>_xll.BDP(#REF!,AA$2)</f>
        <v>#REF!</v>
      </c>
      <c r="AD644">
        <f>IF(LEFT(_xll.BDP($T644,AD$2),4)="#N/A",-1,_xll.BDP($T644,AD$2))</f>
        <v>-1</v>
      </c>
    </row>
    <row r="645" spans="10:30">
      <c r="J645" s="37"/>
      <c r="U645">
        <f>IF(LEFT(_xll.BDP($T645,U$2),4)="#N/A",0,_xll.BDP($T645,U$2))</f>
        <v>0</v>
      </c>
      <c r="V645" t="e">
        <f>_xll.BDP(#REF!,V$2)</f>
        <v>#REF!</v>
      </c>
      <c r="W645" t="e">
        <f>_xll.BDP(#REF!,W$2)</f>
        <v>#REF!</v>
      </c>
      <c r="X645" t="e">
        <f>_xll.BDP(#REF!,X$2)</f>
        <v>#REF!</v>
      </c>
      <c r="Y645" t="e">
        <f>_xll.BDP(#REF!,Y$2)</f>
        <v>#REF!</v>
      </c>
      <c r="Z645" t="e">
        <f>_xll.BDP(#REF!,Z$2)</f>
        <v>#REF!</v>
      </c>
      <c r="AA645" t="e">
        <f>_xll.BDP(#REF!,AA$2)</f>
        <v>#REF!</v>
      </c>
      <c r="AD645">
        <f>IF(LEFT(_xll.BDP($T645,AD$2),4)="#N/A",-1,_xll.BDP($T645,AD$2))</f>
        <v>-1</v>
      </c>
    </row>
    <row r="646" spans="10:30">
      <c r="J646" s="37"/>
      <c r="U646">
        <f>IF(LEFT(_xll.BDP($T646,U$2),4)="#N/A",0,_xll.BDP($T646,U$2))</f>
        <v>0</v>
      </c>
      <c r="V646" t="e">
        <f>_xll.BDP(#REF!,V$2)</f>
        <v>#REF!</v>
      </c>
      <c r="W646" t="e">
        <f>_xll.BDP(#REF!,W$2)</f>
        <v>#REF!</v>
      </c>
      <c r="X646" t="e">
        <f>_xll.BDP(#REF!,X$2)</f>
        <v>#REF!</v>
      </c>
      <c r="Y646" t="e">
        <f>_xll.BDP(#REF!,Y$2)</f>
        <v>#REF!</v>
      </c>
      <c r="Z646" t="e">
        <f>_xll.BDP(#REF!,Z$2)</f>
        <v>#REF!</v>
      </c>
      <c r="AA646" t="e">
        <f>_xll.BDP(#REF!,AA$2)</f>
        <v>#REF!</v>
      </c>
      <c r="AD646">
        <f>IF(LEFT(_xll.BDP($T646,AD$2),4)="#N/A",-1,_xll.BDP($T646,AD$2))</f>
        <v>-1</v>
      </c>
    </row>
    <row r="647" spans="10:30">
      <c r="J647" s="37"/>
      <c r="U647">
        <f>IF(LEFT(_xll.BDP($T647,U$2),4)="#N/A",0,_xll.BDP($T647,U$2))</f>
        <v>0</v>
      </c>
      <c r="V647" t="e">
        <f>_xll.BDP(#REF!,V$2)</f>
        <v>#REF!</v>
      </c>
      <c r="W647" t="e">
        <f>_xll.BDP(#REF!,W$2)</f>
        <v>#REF!</v>
      </c>
      <c r="X647" t="e">
        <f>_xll.BDP(#REF!,X$2)</f>
        <v>#REF!</v>
      </c>
      <c r="Y647" t="e">
        <f>_xll.BDP(#REF!,Y$2)</f>
        <v>#REF!</v>
      </c>
      <c r="Z647" t="e">
        <f>_xll.BDP(#REF!,Z$2)</f>
        <v>#REF!</v>
      </c>
      <c r="AA647" t="e">
        <f>_xll.BDP(#REF!,AA$2)</f>
        <v>#REF!</v>
      </c>
      <c r="AD647">
        <f>IF(LEFT(_xll.BDP($T647,AD$2),4)="#N/A",-1,_xll.BDP($T647,AD$2))</f>
        <v>-1</v>
      </c>
    </row>
    <row r="648" spans="10:30">
      <c r="J648" s="37"/>
      <c r="U648">
        <f>IF(LEFT(_xll.BDP($T648,U$2),4)="#N/A",0,_xll.BDP($T648,U$2))</f>
        <v>0</v>
      </c>
      <c r="V648" t="e">
        <f>_xll.BDP(#REF!,V$2)</f>
        <v>#REF!</v>
      </c>
      <c r="W648" t="e">
        <f>_xll.BDP(#REF!,W$2)</f>
        <v>#REF!</v>
      </c>
      <c r="X648" t="e">
        <f>_xll.BDP(#REF!,X$2)</f>
        <v>#REF!</v>
      </c>
      <c r="Y648" t="e">
        <f>_xll.BDP(#REF!,Y$2)</f>
        <v>#REF!</v>
      </c>
      <c r="Z648" t="e">
        <f>_xll.BDP(#REF!,Z$2)</f>
        <v>#REF!</v>
      </c>
      <c r="AA648" t="e">
        <f>_xll.BDP(#REF!,AA$2)</f>
        <v>#REF!</v>
      </c>
      <c r="AD648">
        <f>IF(LEFT(_xll.BDP($T648,AD$2),4)="#N/A",-1,_xll.BDP($T648,AD$2))</f>
        <v>-1</v>
      </c>
    </row>
    <row r="649" spans="10:30">
      <c r="J649" s="37"/>
      <c r="U649">
        <f>IF(LEFT(_xll.BDP($T649,U$2),4)="#N/A",0,_xll.BDP($T649,U$2))</f>
        <v>0</v>
      </c>
      <c r="V649" t="e">
        <f>_xll.BDP(#REF!,V$2)</f>
        <v>#REF!</v>
      </c>
      <c r="W649" t="e">
        <f>_xll.BDP(#REF!,W$2)</f>
        <v>#REF!</v>
      </c>
      <c r="X649" t="e">
        <f>_xll.BDP(#REF!,X$2)</f>
        <v>#REF!</v>
      </c>
      <c r="Y649" t="e">
        <f>_xll.BDP(#REF!,Y$2)</f>
        <v>#REF!</v>
      </c>
      <c r="Z649" t="e">
        <f>_xll.BDP(#REF!,Z$2)</f>
        <v>#REF!</v>
      </c>
      <c r="AA649" t="e">
        <f>_xll.BDP(#REF!,AA$2)</f>
        <v>#REF!</v>
      </c>
      <c r="AD649">
        <f>IF(LEFT(_xll.BDP($T649,AD$2),4)="#N/A",-1,_xll.BDP($T649,AD$2))</f>
        <v>-1</v>
      </c>
    </row>
    <row r="650" spans="10:30">
      <c r="J650" s="37"/>
      <c r="U650">
        <f>IF(LEFT(_xll.BDP($T650,U$2),4)="#N/A",0,_xll.BDP($T650,U$2))</f>
        <v>0</v>
      </c>
      <c r="V650" t="e">
        <f>_xll.BDP(#REF!,V$2)</f>
        <v>#REF!</v>
      </c>
      <c r="W650" t="e">
        <f>_xll.BDP(#REF!,W$2)</f>
        <v>#REF!</v>
      </c>
      <c r="X650" t="e">
        <f>_xll.BDP(#REF!,X$2)</f>
        <v>#REF!</v>
      </c>
      <c r="Y650" t="e">
        <f>_xll.BDP(#REF!,Y$2)</f>
        <v>#REF!</v>
      </c>
      <c r="Z650" t="e">
        <f>_xll.BDP(#REF!,Z$2)</f>
        <v>#REF!</v>
      </c>
      <c r="AA650" t="e">
        <f>_xll.BDP(#REF!,AA$2)</f>
        <v>#REF!</v>
      </c>
      <c r="AD650">
        <f>IF(LEFT(_xll.BDP($T650,AD$2),4)="#N/A",-1,_xll.BDP($T650,AD$2))</f>
        <v>-1</v>
      </c>
    </row>
    <row r="651" spans="10:30">
      <c r="J651" s="37"/>
      <c r="U651">
        <f>IF(LEFT(_xll.BDP($T651,U$2),4)="#N/A",0,_xll.BDP($T651,U$2))</f>
        <v>0</v>
      </c>
      <c r="V651" t="e">
        <f>_xll.BDP(#REF!,V$2)</f>
        <v>#REF!</v>
      </c>
      <c r="W651" t="e">
        <f>_xll.BDP(#REF!,W$2)</f>
        <v>#REF!</v>
      </c>
      <c r="X651" t="e">
        <f>_xll.BDP(#REF!,X$2)</f>
        <v>#REF!</v>
      </c>
      <c r="Y651" t="e">
        <f>_xll.BDP(#REF!,Y$2)</f>
        <v>#REF!</v>
      </c>
      <c r="Z651" t="e">
        <f>_xll.BDP(#REF!,Z$2)</f>
        <v>#REF!</v>
      </c>
      <c r="AA651" t="e">
        <f>_xll.BDP(#REF!,AA$2)</f>
        <v>#REF!</v>
      </c>
      <c r="AD651">
        <f>IF(LEFT(_xll.BDP($T651,AD$2),4)="#N/A",-1,_xll.BDP($T651,AD$2))</f>
        <v>-1</v>
      </c>
    </row>
    <row r="652" spans="10:30">
      <c r="J652" s="37"/>
      <c r="U652">
        <f>IF(LEFT(_xll.BDP($T652,U$2),4)="#N/A",0,_xll.BDP($T652,U$2))</f>
        <v>0</v>
      </c>
      <c r="V652" t="e">
        <f>_xll.BDP(#REF!,V$2)</f>
        <v>#REF!</v>
      </c>
      <c r="W652" t="e">
        <f>_xll.BDP(#REF!,W$2)</f>
        <v>#REF!</v>
      </c>
      <c r="X652" t="e">
        <f>_xll.BDP(#REF!,X$2)</f>
        <v>#REF!</v>
      </c>
      <c r="Y652" t="e">
        <f>_xll.BDP(#REF!,Y$2)</f>
        <v>#REF!</v>
      </c>
      <c r="Z652" t="e">
        <f>_xll.BDP(#REF!,Z$2)</f>
        <v>#REF!</v>
      </c>
      <c r="AA652" t="e">
        <f>_xll.BDP(#REF!,AA$2)</f>
        <v>#REF!</v>
      </c>
      <c r="AD652">
        <f>IF(LEFT(_xll.BDP($T652,AD$2),4)="#N/A",-1,_xll.BDP($T652,AD$2))</f>
        <v>-1</v>
      </c>
    </row>
    <row r="653" spans="10:30">
      <c r="J653" s="37"/>
      <c r="U653">
        <f>IF(LEFT(_xll.BDP($T653,U$2),4)="#N/A",0,_xll.BDP($T653,U$2))</f>
        <v>0</v>
      </c>
      <c r="V653" t="e">
        <f>_xll.BDP(#REF!,V$2)</f>
        <v>#REF!</v>
      </c>
      <c r="W653" t="e">
        <f>_xll.BDP(#REF!,W$2)</f>
        <v>#REF!</v>
      </c>
      <c r="X653" t="e">
        <f>_xll.BDP(#REF!,X$2)</f>
        <v>#REF!</v>
      </c>
      <c r="Y653" t="e">
        <f>_xll.BDP(#REF!,Y$2)</f>
        <v>#REF!</v>
      </c>
      <c r="Z653" t="e">
        <f>_xll.BDP(#REF!,Z$2)</f>
        <v>#REF!</v>
      </c>
      <c r="AA653" t="e">
        <f>_xll.BDP(#REF!,AA$2)</f>
        <v>#REF!</v>
      </c>
      <c r="AD653">
        <f>IF(LEFT(_xll.BDP($T653,AD$2),4)="#N/A",-1,_xll.BDP($T653,AD$2))</f>
        <v>-1</v>
      </c>
    </row>
    <row r="654" spans="10:30">
      <c r="J654" s="37"/>
      <c r="U654">
        <f>IF(LEFT(_xll.BDP($T654,U$2),4)="#N/A",0,_xll.BDP($T654,U$2))</f>
        <v>0</v>
      </c>
      <c r="V654" t="e">
        <f>_xll.BDP(#REF!,V$2)</f>
        <v>#REF!</v>
      </c>
      <c r="W654" t="e">
        <f>_xll.BDP(#REF!,W$2)</f>
        <v>#REF!</v>
      </c>
      <c r="X654" t="e">
        <f>_xll.BDP(#REF!,X$2)</f>
        <v>#REF!</v>
      </c>
      <c r="Y654" t="e">
        <f>_xll.BDP(#REF!,Y$2)</f>
        <v>#REF!</v>
      </c>
      <c r="Z654" t="e">
        <f>_xll.BDP(#REF!,Z$2)</f>
        <v>#REF!</v>
      </c>
      <c r="AA654" t="e">
        <f>_xll.BDP(#REF!,AA$2)</f>
        <v>#REF!</v>
      </c>
      <c r="AD654">
        <f>IF(LEFT(_xll.BDP($T654,AD$2),4)="#N/A",-1,_xll.BDP($T654,AD$2))</f>
        <v>-1</v>
      </c>
    </row>
    <row r="655" spans="10:30">
      <c r="J655" s="37"/>
      <c r="U655">
        <f>IF(LEFT(_xll.BDP($T655,U$2),4)="#N/A",0,_xll.BDP($T655,U$2))</f>
        <v>0</v>
      </c>
      <c r="V655" t="e">
        <f>_xll.BDP(#REF!,V$2)</f>
        <v>#REF!</v>
      </c>
      <c r="W655" t="e">
        <f>_xll.BDP(#REF!,W$2)</f>
        <v>#REF!</v>
      </c>
      <c r="X655" t="e">
        <f>_xll.BDP(#REF!,X$2)</f>
        <v>#REF!</v>
      </c>
      <c r="Y655" t="e">
        <f>_xll.BDP(#REF!,Y$2)</f>
        <v>#REF!</v>
      </c>
      <c r="Z655" t="e">
        <f>_xll.BDP(#REF!,Z$2)</f>
        <v>#REF!</v>
      </c>
      <c r="AA655" t="e">
        <f>_xll.BDP(#REF!,AA$2)</f>
        <v>#REF!</v>
      </c>
      <c r="AD655">
        <f>IF(LEFT(_xll.BDP($T655,AD$2),4)="#N/A",-1,_xll.BDP($T655,AD$2))</f>
        <v>-1</v>
      </c>
    </row>
    <row r="656" spans="10:30">
      <c r="J656" s="37"/>
      <c r="U656">
        <f>IF(LEFT(_xll.BDP($T656,U$2),4)="#N/A",0,_xll.BDP($T656,U$2))</f>
        <v>0</v>
      </c>
      <c r="V656" t="e">
        <f>_xll.BDP(#REF!,V$2)</f>
        <v>#REF!</v>
      </c>
      <c r="W656" t="e">
        <f>_xll.BDP(#REF!,W$2)</f>
        <v>#REF!</v>
      </c>
      <c r="X656" t="e">
        <f>_xll.BDP(#REF!,X$2)</f>
        <v>#REF!</v>
      </c>
      <c r="Y656" t="e">
        <f>_xll.BDP(#REF!,Y$2)</f>
        <v>#REF!</v>
      </c>
      <c r="Z656" t="e">
        <f>_xll.BDP(#REF!,Z$2)</f>
        <v>#REF!</v>
      </c>
      <c r="AA656" t="e">
        <f>_xll.BDP(#REF!,AA$2)</f>
        <v>#REF!</v>
      </c>
      <c r="AD656">
        <f>IF(LEFT(_xll.BDP($T656,AD$2),4)="#N/A",-1,_xll.BDP($T656,AD$2))</f>
        <v>-1</v>
      </c>
    </row>
    <row r="657" spans="10:30">
      <c r="J657" s="37"/>
      <c r="U657">
        <f>IF(LEFT(_xll.BDP($T657,U$2),4)="#N/A",0,_xll.BDP($T657,U$2))</f>
        <v>0</v>
      </c>
      <c r="V657" t="e">
        <f>_xll.BDP(#REF!,V$2)</f>
        <v>#REF!</v>
      </c>
      <c r="W657" t="e">
        <f>_xll.BDP(#REF!,W$2)</f>
        <v>#REF!</v>
      </c>
      <c r="X657" t="e">
        <f>_xll.BDP(#REF!,X$2)</f>
        <v>#REF!</v>
      </c>
      <c r="Y657" t="e">
        <f>_xll.BDP(#REF!,Y$2)</f>
        <v>#REF!</v>
      </c>
      <c r="Z657" t="e">
        <f>_xll.BDP(#REF!,Z$2)</f>
        <v>#REF!</v>
      </c>
      <c r="AA657" t="e">
        <f>_xll.BDP(#REF!,AA$2)</f>
        <v>#REF!</v>
      </c>
      <c r="AD657">
        <f>IF(LEFT(_xll.BDP($T657,AD$2),4)="#N/A",-1,_xll.BDP($T657,AD$2))</f>
        <v>-1</v>
      </c>
    </row>
    <row r="658" spans="10:30">
      <c r="J658" s="37"/>
      <c r="U658">
        <f>IF(LEFT(_xll.BDP($T658,U$2),4)="#N/A",0,_xll.BDP($T658,U$2))</f>
        <v>0</v>
      </c>
      <c r="V658" t="e">
        <f>_xll.BDP(#REF!,V$2)</f>
        <v>#REF!</v>
      </c>
      <c r="W658" t="e">
        <f>_xll.BDP(#REF!,W$2)</f>
        <v>#REF!</v>
      </c>
      <c r="X658" t="e">
        <f>_xll.BDP(#REF!,X$2)</f>
        <v>#REF!</v>
      </c>
      <c r="Y658" t="e">
        <f>_xll.BDP(#REF!,Y$2)</f>
        <v>#REF!</v>
      </c>
      <c r="Z658" t="e">
        <f>_xll.BDP(#REF!,Z$2)</f>
        <v>#REF!</v>
      </c>
      <c r="AA658" t="e">
        <f>_xll.BDP(#REF!,AA$2)</f>
        <v>#REF!</v>
      </c>
      <c r="AD658">
        <f>IF(LEFT(_xll.BDP($T658,AD$2),4)="#N/A",-1,_xll.BDP($T658,AD$2))</f>
        <v>-1</v>
      </c>
    </row>
    <row r="659" spans="10:30">
      <c r="J659" s="37"/>
      <c r="U659">
        <f>IF(LEFT(_xll.BDP($T659,U$2),4)="#N/A",0,_xll.BDP($T659,U$2))</f>
        <v>0</v>
      </c>
      <c r="V659" t="e">
        <f>_xll.BDP(#REF!,V$2)</f>
        <v>#REF!</v>
      </c>
      <c r="W659" t="e">
        <f>_xll.BDP(#REF!,W$2)</f>
        <v>#REF!</v>
      </c>
      <c r="X659" t="e">
        <f>_xll.BDP(#REF!,X$2)</f>
        <v>#REF!</v>
      </c>
      <c r="Y659" t="e">
        <f>_xll.BDP(#REF!,Y$2)</f>
        <v>#REF!</v>
      </c>
      <c r="Z659" t="e">
        <f>_xll.BDP(#REF!,Z$2)</f>
        <v>#REF!</v>
      </c>
      <c r="AA659" t="e">
        <f>_xll.BDP(#REF!,AA$2)</f>
        <v>#REF!</v>
      </c>
      <c r="AD659">
        <f>IF(LEFT(_xll.BDP($T659,AD$2),4)="#N/A",-1,_xll.BDP($T659,AD$2))</f>
        <v>-1</v>
      </c>
    </row>
    <row r="660" spans="10:30">
      <c r="J660" s="37"/>
      <c r="U660">
        <f>IF(LEFT(_xll.BDP($T660,U$2),4)="#N/A",0,_xll.BDP($T660,U$2))</f>
        <v>0</v>
      </c>
      <c r="V660" t="e">
        <f>_xll.BDP(#REF!,V$2)</f>
        <v>#REF!</v>
      </c>
      <c r="W660" t="e">
        <f>_xll.BDP(#REF!,W$2)</f>
        <v>#REF!</v>
      </c>
      <c r="X660" t="e">
        <f>_xll.BDP(#REF!,X$2)</f>
        <v>#REF!</v>
      </c>
      <c r="Y660" t="e">
        <f>_xll.BDP(#REF!,Y$2)</f>
        <v>#REF!</v>
      </c>
      <c r="Z660" t="e">
        <f>_xll.BDP(#REF!,Z$2)</f>
        <v>#REF!</v>
      </c>
      <c r="AA660" t="e">
        <f>_xll.BDP(#REF!,AA$2)</f>
        <v>#REF!</v>
      </c>
      <c r="AD660">
        <f>IF(LEFT(_xll.BDP($T660,AD$2),4)="#N/A",-1,_xll.BDP($T660,AD$2))</f>
        <v>-1</v>
      </c>
    </row>
    <row r="661" spans="10:30">
      <c r="J661" s="37"/>
      <c r="U661">
        <f>IF(LEFT(_xll.BDP($T661,U$2),4)="#N/A",0,_xll.BDP($T661,U$2))</f>
        <v>0</v>
      </c>
      <c r="V661" t="e">
        <f>_xll.BDP(#REF!,V$2)</f>
        <v>#REF!</v>
      </c>
      <c r="W661" t="e">
        <f>_xll.BDP(#REF!,W$2)</f>
        <v>#REF!</v>
      </c>
      <c r="X661" t="e">
        <f>_xll.BDP(#REF!,X$2)</f>
        <v>#REF!</v>
      </c>
      <c r="Y661" t="e">
        <f>_xll.BDP(#REF!,Y$2)</f>
        <v>#REF!</v>
      </c>
      <c r="Z661" t="e">
        <f>_xll.BDP(#REF!,Z$2)</f>
        <v>#REF!</v>
      </c>
      <c r="AA661" t="e">
        <f>_xll.BDP(#REF!,AA$2)</f>
        <v>#REF!</v>
      </c>
      <c r="AD661">
        <f>IF(LEFT(_xll.BDP($T661,AD$2),4)="#N/A",-1,_xll.BDP($T661,AD$2))</f>
        <v>-1</v>
      </c>
    </row>
    <row r="662" spans="10:30">
      <c r="J662" s="37"/>
      <c r="U662">
        <f>IF(LEFT(_xll.BDP($T662,U$2),4)="#N/A",0,_xll.BDP($T662,U$2))</f>
        <v>0</v>
      </c>
      <c r="V662" t="e">
        <f>_xll.BDP(#REF!,V$2)</f>
        <v>#REF!</v>
      </c>
      <c r="W662" t="e">
        <f>_xll.BDP(#REF!,W$2)</f>
        <v>#REF!</v>
      </c>
      <c r="X662" t="e">
        <f>_xll.BDP(#REF!,X$2)</f>
        <v>#REF!</v>
      </c>
      <c r="Y662" t="e">
        <f>_xll.BDP(#REF!,Y$2)</f>
        <v>#REF!</v>
      </c>
      <c r="Z662" t="e">
        <f>_xll.BDP(#REF!,Z$2)</f>
        <v>#REF!</v>
      </c>
      <c r="AA662" t="e">
        <f>_xll.BDP(#REF!,AA$2)</f>
        <v>#REF!</v>
      </c>
      <c r="AD662">
        <f>IF(LEFT(_xll.BDP($T662,AD$2),4)="#N/A",-1,_xll.BDP($T662,AD$2))</f>
        <v>-1</v>
      </c>
    </row>
    <row r="663" spans="10:30">
      <c r="J663" s="37"/>
      <c r="U663">
        <f>IF(LEFT(_xll.BDP($T663,U$2),4)="#N/A",0,_xll.BDP($T663,U$2))</f>
        <v>0</v>
      </c>
      <c r="V663" t="e">
        <f>_xll.BDP(#REF!,V$2)</f>
        <v>#REF!</v>
      </c>
      <c r="W663" t="e">
        <f>_xll.BDP(#REF!,W$2)</f>
        <v>#REF!</v>
      </c>
      <c r="X663" t="e">
        <f>_xll.BDP(#REF!,X$2)</f>
        <v>#REF!</v>
      </c>
      <c r="Y663" t="e">
        <f>_xll.BDP(#REF!,Y$2)</f>
        <v>#REF!</v>
      </c>
      <c r="Z663" t="e">
        <f>_xll.BDP(#REF!,Z$2)</f>
        <v>#REF!</v>
      </c>
      <c r="AA663" t="e">
        <f>_xll.BDP(#REF!,AA$2)</f>
        <v>#REF!</v>
      </c>
      <c r="AD663">
        <f>IF(LEFT(_xll.BDP($T663,AD$2),4)="#N/A",-1,_xll.BDP($T663,AD$2))</f>
        <v>-1</v>
      </c>
    </row>
    <row r="664" spans="10:30">
      <c r="J664" s="37"/>
      <c r="U664">
        <f>IF(LEFT(_xll.BDP($T664,U$2),4)="#N/A",0,_xll.BDP($T664,U$2))</f>
        <v>0</v>
      </c>
      <c r="V664" t="e">
        <f>_xll.BDP(#REF!,V$2)</f>
        <v>#REF!</v>
      </c>
      <c r="W664" t="e">
        <f>_xll.BDP(#REF!,W$2)</f>
        <v>#REF!</v>
      </c>
      <c r="X664" t="e">
        <f>_xll.BDP(#REF!,X$2)</f>
        <v>#REF!</v>
      </c>
      <c r="Y664" t="e">
        <f>_xll.BDP(#REF!,Y$2)</f>
        <v>#REF!</v>
      </c>
      <c r="Z664" t="e">
        <f>_xll.BDP(#REF!,Z$2)</f>
        <v>#REF!</v>
      </c>
      <c r="AA664" t="e">
        <f>_xll.BDP(#REF!,AA$2)</f>
        <v>#REF!</v>
      </c>
      <c r="AD664">
        <f>IF(LEFT(_xll.BDP($T664,AD$2),4)="#N/A",-1,_xll.BDP($T664,AD$2))</f>
        <v>-1</v>
      </c>
    </row>
    <row r="665" spans="10:30">
      <c r="J665" s="37"/>
      <c r="U665">
        <f>IF(LEFT(_xll.BDP($T665,U$2),4)="#N/A",0,_xll.BDP($T665,U$2))</f>
        <v>0</v>
      </c>
      <c r="V665" t="e">
        <f>_xll.BDP(#REF!,V$2)</f>
        <v>#REF!</v>
      </c>
      <c r="W665" t="e">
        <f>_xll.BDP(#REF!,W$2)</f>
        <v>#REF!</v>
      </c>
      <c r="X665" t="e">
        <f>_xll.BDP(#REF!,X$2)</f>
        <v>#REF!</v>
      </c>
      <c r="Y665" t="e">
        <f>_xll.BDP(#REF!,Y$2)</f>
        <v>#REF!</v>
      </c>
      <c r="Z665" t="e">
        <f>_xll.BDP(#REF!,Z$2)</f>
        <v>#REF!</v>
      </c>
      <c r="AA665" t="e">
        <f>_xll.BDP(#REF!,AA$2)</f>
        <v>#REF!</v>
      </c>
      <c r="AD665">
        <f>IF(LEFT(_xll.BDP($T665,AD$2),4)="#N/A",-1,_xll.BDP($T665,AD$2))</f>
        <v>-1</v>
      </c>
    </row>
    <row r="666" spans="10:30">
      <c r="J666" s="37"/>
      <c r="U666">
        <f>IF(LEFT(_xll.BDP($T666,U$2),4)="#N/A",0,_xll.BDP($T666,U$2))</f>
        <v>0</v>
      </c>
      <c r="V666" t="e">
        <f>_xll.BDP(#REF!,V$2)</f>
        <v>#REF!</v>
      </c>
      <c r="W666" t="e">
        <f>_xll.BDP(#REF!,W$2)</f>
        <v>#REF!</v>
      </c>
      <c r="X666" t="e">
        <f>_xll.BDP(#REF!,X$2)</f>
        <v>#REF!</v>
      </c>
      <c r="Y666" t="e">
        <f>_xll.BDP(#REF!,Y$2)</f>
        <v>#REF!</v>
      </c>
      <c r="Z666" t="e">
        <f>_xll.BDP(#REF!,Z$2)</f>
        <v>#REF!</v>
      </c>
      <c r="AA666" t="e">
        <f>_xll.BDP(#REF!,AA$2)</f>
        <v>#REF!</v>
      </c>
      <c r="AD666">
        <f>IF(LEFT(_xll.BDP($T666,AD$2),4)="#N/A",-1,_xll.BDP($T666,AD$2))</f>
        <v>-1</v>
      </c>
    </row>
    <row r="667" spans="10:30">
      <c r="J667" s="37"/>
      <c r="U667">
        <f>IF(LEFT(_xll.BDP($T667,U$2),4)="#N/A",0,_xll.BDP($T667,U$2))</f>
        <v>0</v>
      </c>
      <c r="V667" t="e">
        <f>_xll.BDP(#REF!,V$2)</f>
        <v>#REF!</v>
      </c>
      <c r="W667" t="e">
        <f>_xll.BDP(#REF!,W$2)</f>
        <v>#REF!</v>
      </c>
      <c r="X667" t="e">
        <f>_xll.BDP(#REF!,X$2)</f>
        <v>#REF!</v>
      </c>
      <c r="Y667" t="e">
        <f>_xll.BDP(#REF!,Y$2)</f>
        <v>#REF!</v>
      </c>
      <c r="Z667" t="e">
        <f>_xll.BDP(#REF!,Z$2)</f>
        <v>#REF!</v>
      </c>
      <c r="AA667" t="e">
        <f>_xll.BDP(#REF!,AA$2)</f>
        <v>#REF!</v>
      </c>
      <c r="AD667">
        <f>IF(LEFT(_xll.BDP($T667,AD$2),4)="#N/A",-1,_xll.BDP($T667,AD$2))</f>
        <v>-1</v>
      </c>
    </row>
    <row r="668" spans="10:30">
      <c r="J668" s="37"/>
      <c r="U668">
        <f>IF(LEFT(_xll.BDP($T668,U$2),4)="#N/A",0,_xll.BDP($T668,U$2))</f>
        <v>0</v>
      </c>
      <c r="V668" t="e">
        <f>_xll.BDP(#REF!,V$2)</f>
        <v>#REF!</v>
      </c>
      <c r="W668" t="e">
        <f>_xll.BDP(#REF!,W$2)</f>
        <v>#REF!</v>
      </c>
      <c r="X668" t="e">
        <f>_xll.BDP(#REF!,X$2)</f>
        <v>#REF!</v>
      </c>
      <c r="Y668" t="e">
        <f>_xll.BDP(#REF!,Y$2)</f>
        <v>#REF!</v>
      </c>
      <c r="Z668" t="e">
        <f>_xll.BDP(#REF!,Z$2)</f>
        <v>#REF!</v>
      </c>
      <c r="AA668" t="e">
        <f>_xll.BDP(#REF!,AA$2)</f>
        <v>#REF!</v>
      </c>
      <c r="AD668">
        <f>IF(LEFT(_xll.BDP($T668,AD$2),4)="#N/A",-1,_xll.BDP($T668,AD$2))</f>
        <v>-1</v>
      </c>
    </row>
    <row r="669" spans="10:30">
      <c r="J669" s="37"/>
      <c r="U669">
        <f>IF(LEFT(_xll.BDP($T669,U$2),4)="#N/A",0,_xll.BDP($T669,U$2))</f>
        <v>0</v>
      </c>
      <c r="V669" t="e">
        <f>_xll.BDP(#REF!,V$2)</f>
        <v>#REF!</v>
      </c>
      <c r="W669" t="e">
        <f>_xll.BDP(#REF!,W$2)</f>
        <v>#REF!</v>
      </c>
      <c r="X669" t="e">
        <f>_xll.BDP(#REF!,X$2)</f>
        <v>#REF!</v>
      </c>
      <c r="Y669" t="e">
        <f>_xll.BDP(#REF!,Y$2)</f>
        <v>#REF!</v>
      </c>
      <c r="Z669" t="e">
        <f>_xll.BDP(#REF!,Z$2)</f>
        <v>#REF!</v>
      </c>
      <c r="AA669" t="e">
        <f>_xll.BDP(#REF!,AA$2)</f>
        <v>#REF!</v>
      </c>
      <c r="AD669">
        <f>IF(LEFT(_xll.BDP($T669,AD$2),4)="#N/A",-1,_xll.BDP($T669,AD$2))</f>
        <v>-1</v>
      </c>
    </row>
    <row r="670" spans="10:30">
      <c r="J670" s="37"/>
      <c r="U670">
        <f>IF(LEFT(_xll.BDP($T670,U$2),4)="#N/A",0,_xll.BDP($T670,U$2))</f>
        <v>0</v>
      </c>
      <c r="V670" t="e">
        <f>_xll.BDP(#REF!,V$2)</f>
        <v>#REF!</v>
      </c>
      <c r="W670" t="e">
        <f>_xll.BDP(#REF!,W$2)</f>
        <v>#REF!</v>
      </c>
      <c r="X670" t="e">
        <f>_xll.BDP(#REF!,X$2)</f>
        <v>#REF!</v>
      </c>
      <c r="Y670" t="e">
        <f>_xll.BDP(#REF!,Y$2)</f>
        <v>#REF!</v>
      </c>
      <c r="Z670" t="e">
        <f>_xll.BDP(#REF!,Z$2)</f>
        <v>#REF!</v>
      </c>
      <c r="AA670" t="e">
        <f>_xll.BDP(#REF!,AA$2)</f>
        <v>#REF!</v>
      </c>
      <c r="AD670">
        <f>IF(LEFT(_xll.BDP($T670,AD$2),4)="#N/A",-1,_xll.BDP($T670,AD$2))</f>
        <v>-1</v>
      </c>
    </row>
    <row r="671" spans="10:30">
      <c r="J671" s="37"/>
      <c r="U671">
        <f>IF(LEFT(_xll.BDP($T671,U$2),4)="#N/A",0,_xll.BDP($T671,U$2))</f>
        <v>0</v>
      </c>
      <c r="V671" t="e">
        <f>_xll.BDP(#REF!,V$2)</f>
        <v>#REF!</v>
      </c>
      <c r="W671" t="e">
        <f>_xll.BDP(#REF!,W$2)</f>
        <v>#REF!</v>
      </c>
      <c r="X671" t="e">
        <f>_xll.BDP(#REF!,X$2)</f>
        <v>#REF!</v>
      </c>
      <c r="Y671" t="e">
        <f>_xll.BDP(#REF!,Y$2)</f>
        <v>#REF!</v>
      </c>
      <c r="Z671" t="e">
        <f>_xll.BDP(#REF!,Z$2)</f>
        <v>#REF!</v>
      </c>
      <c r="AA671" t="e">
        <f>_xll.BDP(#REF!,AA$2)</f>
        <v>#REF!</v>
      </c>
      <c r="AD671">
        <f>IF(LEFT(_xll.BDP($T671,AD$2),4)="#N/A",-1,_xll.BDP($T671,AD$2))</f>
        <v>-1</v>
      </c>
    </row>
    <row r="672" spans="10:30">
      <c r="J672" s="37"/>
      <c r="U672">
        <f>IF(LEFT(_xll.BDP($T672,U$2),4)="#N/A",0,_xll.BDP($T672,U$2))</f>
        <v>0</v>
      </c>
      <c r="V672" t="e">
        <f>_xll.BDP(#REF!,V$2)</f>
        <v>#REF!</v>
      </c>
      <c r="W672" t="e">
        <f>_xll.BDP(#REF!,W$2)</f>
        <v>#REF!</v>
      </c>
      <c r="X672" t="e">
        <f>_xll.BDP(#REF!,X$2)</f>
        <v>#REF!</v>
      </c>
      <c r="Y672" t="e">
        <f>_xll.BDP(#REF!,Y$2)</f>
        <v>#REF!</v>
      </c>
      <c r="Z672" t="e">
        <f>_xll.BDP(#REF!,Z$2)</f>
        <v>#REF!</v>
      </c>
      <c r="AA672" t="e">
        <f>_xll.BDP(#REF!,AA$2)</f>
        <v>#REF!</v>
      </c>
      <c r="AD672">
        <f>IF(LEFT(_xll.BDP($T672,AD$2),4)="#N/A",-1,_xll.BDP($T672,AD$2))</f>
        <v>-1</v>
      </c>
    </row>
    <row r="673" spans="10:30">
      <c r="J673" s="37"/>
      <c r="U673">
        <f>IF(LEFT(_xll.BDP($T673,U$2),4)="#N/A",0,_xll.BDP($T673,U$2))</f>
        <v>0</v>
      </c>
      <c r="V673" t="e">
        <f>_xll.BDP(#REF!,V$2)</f>
        <v>#REF!</v>
      </c>
      <c r="W673" t="e">
        <f>_xll.BDP(#REF!,W$2)</f>
        <v>#REF!</v>
      </c>
      <c r="X673" t="e">
        <f>_xll.BDP(#REF!,X$2)</f>
        <v>#REF!</v>
      </c>
      <c r="Y673" t="e">
        <f>_xll.BDP(#REF!,Y$2)</f>
        <v>#REF!</v>
      </c>
      <c r="Z673" t="e">
        <f>_xll.BDP(#REF!,Z$2)</f>
        <v>#REF!</v>
      </c>
      <c r="AA673" t="e">
        <f>_xll.BDP(#REF!,AA$2)</f>
        <v>#REF!</v>
      </c>
      <c r="AD673">
        <f>IF(LEFT(_xll.BDP($T673,AD$2),4)="#N/A",-1,_xll.BDP($T673,AD$2))</f>
        <v>-1</v>
      </c>
    </row>
    <row r="674" spans="10:30">
      <c r="J674" s="37"/>
      <c r="U674">
        <f>IF(LEFT(_xll.BDP($T674,U$2),4)="#N/A",0,_xll.BDP($T674,U$2))</f>
        <v>0</v>
      </c>
      <c r="V674" t="e">
        <f>_xll.BDP(#REF!,V$2)</f>
        <v>#REF!</v>
      </c>
      <c r="W674" t="e">
        <f>_xll.BDP(#REF!,W$2)</f>
        <v>#REF!</v>
      </c>
      <c r="X674" t="e">
        <f>_xll.BDP(#REF!,X$2)</f>
        <v>#REF!</v>
      </c>
      <c r="Y674" t="e">
        <f>_xll.BDP(#REF!,Y$2)</f>
        <v>#REF!</v>
      </c>
      <c r="Z674" t="e">
        <f>_xll.BDP(#REF!,Z$2)</f>
        <v>#REF!</v>
      </c>
      <c r="AA674" t="e">
        <f>_xll.BDP(#REF!,AA$2)</f>
        <v>#REF!</v>
      </c>
      <c r="AD674">
        <f>IF(LEFT(_xll.BDP($T674,AD$2),4)="#N/A",-1,_xll.BDP($T674,AD$2))</f>
        <v>-1</v>
      </c>
    </row>
    <row r="675" spans="10:30">
      <c r="J675" s="37"/>
      <c r="U675">
        <f>IF(LEFT(_xll.BDP($T675,U$2),4)="#N/A",0,_xll.BDP($T675,U$2))</f>
        <v>0</v>
      </c>
      <c r="V675" t="e">
        <f>_xll.BDP(#REF!,V$2)</f>
        <v>#REF!</v>
      </c>
      <c r="W675" t="e">
        <f>_xll.BDP(#REF!,W$2)</f>
        <v>#REF!</v>
      </c>
      <c r="X675" t="e">
        <f>_xll.BDP(#REF!,X$2)</f>
        <v>#REF!</v>
      </c>
      <c r="Y675" t="e">
        <f>_xll.BDP(#REF!,Y$2)</f>
        <v>#REF!</v>
      </c>
      <c r="Z675" t="e">
        <f>_xll.BDP(#REF!,Z$2)</f>
        <v>#REF!</v>
      </c>
      <c r="AA675" t="e">
        <f>_xll.BDP(#REF!,AA$2)</f>
        <v>#REF!</v>
      </c>
      <c r="AD675">
        <f>IF(LEFT(_xll.BDP($T675,AD$2),4)="#N/A",-1,_xll.BDP($T675,AD$2))</f>
        <v>-1</v>
      </c>
    </row>
    <row r="676" spans="10:30">
      <c r="J676" s="37"/>
      <c r="U676">
        <f>IF(LEFT(_xll.BDP($T676,U$2),4)="#N/A",0,_xll.BDP($T676,U$2))</f>
        <v>0</v>
      </c>
      <c r="V676" t="e">
        <f>_xll.BDP(#REF!,V$2)</f>
        <v>#REF!</v>
      </c>
      <c r="W676" t="e">
        <f>_xll.BDP(#REF!,W$2)</f>
        <v>#REF!</v>
      </c>
      <c r="X676" t="e">
        <f>_xll.BDP(#REF!,X$2)</f>
        <v>#REF!</v>
      </c>
      <c r="Y676" t="e">
        <f>_xll.BDP(#REF!,Y$2)</f>
        <v>#REF!</v>
      </c>
      <c r="Z676" t="e">
        <f>_xll.BDP(#REF!,Z$2)</f>
        <v>#REF!</v>
      </c>
      <c r="AA676" t="e">
        <f>_xll.BDP(#REF!,AA$2)</f>
        <v>#REF!</v>
      </c>
      <c r="AD676">
        <f>IF(LEFT(_xll.BDP($T676,AD$2),4)="#N/A",-1,_xll.BDP($T676,AD$2))</f>
        <v>-1</v>
      </c>
    </row>
    <row r="677" spans="10:30">
      <c r="J677" s="37"/>
      <c r="U677">
        <f>IF(LEFT(_xll.BDP($T677,U$2),4)="#N/A",0,_xll.BDP($T677,U$2))</f>
        <v>0</v>
      </c>
      <c r="V677" t="e">
        <f>_xll.BDP(#REF!,V$2)</f>
        <v>#REF!</v>
      </c>
      <c r="W677" t="e">
        <f>_xll.BDP(#REF!,W$2)</f>
        <v>#REF!</v>
      </c>
      <c r="X677" t="e">
        <f>_xll.BDP(#REF!,X$2)</f>
        <v>#REF!</v>
      </c>
      <c r="Y677" t="e">
        <f>_xll.BDP(#REF!,Y$2)</f>
        <v>#REF!</v>
      </c>
      <c r="Z677" t="e">
        <f>_xll.BDP(#REF!,Z$2)</f>
        <v>#REF!</v>
      </c>
      <c r="AA677" t="e">
        <f>_xll.BDP(#REF!,AA$2)</f>
        <v>#REF!</v>
      </c>
      <c r="AD677">
        <f>IF(LEFT(_xll.BDP($T677,AD$2),4)="#N/A",-1,_xll.BDP($T677,AD$2))</f>
        <v>-1</v>
      </c>
    </row>
    <row r="678" spans="10:30">
      <c r="J678" s="37"/>
      <c r="U678">
        <f>IF(LEFT(_xll.BDP($T678,U$2),4)="#N/A",0,_xll.BDP($T678,U$2))</f>
        <v>0</v>
      </c>
      <c r="V678" t="e">
        <f>_xll.BDP(#REF!,V$2)</f>
        <v>#REF!</v>
      </c>
      <c r="W678" t="e">
        <f>_xll.BDP(#REF!,W$2)</f>
        <v>#REF!</v>
      </c>
      <c r="X678" t="e">
        <f>_xll.BDP(#REF!,X$2)</f>
        <v>#REF!</v>
      </c>
      <c r="Y678" t="e">
        <f>_xll.BDP(#REF!,Y$2)</f>
        <v>#REF!</v>
      </c>
      <c r="Z678" t="e">
        <f>_xll.BDP(#REF!,Z$2)</f>
        <v>#REF!</v>
      </c>
      <c r="AA678" t="e">
        <f>_xll.BDP(#REF!,AA$2)</f>
        <v>#REF!</v>
      </c>
      <c r="AD678">
        <f>IF(LEFT(_xll.BDP($T678,AD$2),4)="#N/A",-1,_xll.BDP($T678,AD$2))</f>
        <v>-1</v>
      </c>
    </row>
    <row r="679" spans="10:30">
      <c r="J679" s="37"/>
      <c r="U679">
        <f>IF(LEFT(_xll.BDP($T679,U$2),4)="#N/A",0,_xll.BDP($T679,U$2))</f>
        <v>0</v>
      </c>
      <c r="V679" t="e">
        <f>_xll.BDP(#REF!,V$2)</f>
        <v>#REF!</v>
      </c>
      <c r="W679" t="e">
        <f>_xll.BDP(#REF!,W$2)</f>
        <v>#REF!</v>
      </c>
      <c r="X679" t="e">
        <f>_xll.BDP(#REF!,X$2)</f>
        <v>#REF!</v>
      </c>
      <c r="Y679" t="e">
        <f>_xll.BDP(#REF!,Y$2)</f>
        <v>#REF!</v>
      </c>
      <c r="Z679" t="e">
        <f>_xll.BDP(#REF!,Z$2)</f>
        <v>#REF!</v>
      </c>
      <c r="AA679" t="e">
        <f>_xll.BDP(#REF!,AA$2)</f>
        <v>#REF!</v>
      </c>
      <c r="AD679">
        <f>IF(LEFT(_xll.BDP($T679,AD$2),4)="#N/A",-1,_xll.BDP($T679,AD$2))</f>
        <v>-1</v>
      </c>
    </row>
    <row r="680" spans="10:30">
      <c r="J680" s="37"/>
      <c r="U680">
        <f>IF(LEFT(_xll.BDP($T680,U$2),4)="#N/A",0,_xll.BDP($T680,U$2))</f>
        <v>0</v>
      </c>
      <c r="V680" t="e">
        <f>_xll.BDP(#REF!,V$2)</f>
        <v>#REF!</v>
      </c>
      <c r="W680" t="e">
        <f>_xll.BDP(#REF!,W$2)</f>
        <v>#REF!</v>
      </c>
      <c r="X680" t="e">
        <f>_xll.BDP(#REF!,X$2)</f>
        <v>#REF!</v>
      </c>
      <c r="Y680" t="e">
        <f>_xll.BDP(#REF!,Y$2)</f>
        <v>#REF!</v>
      </c>
      <c r="Z680" t="e">
        <f>_xll.BDP(#REF!,Z$2)</f>
        <v>#REF!</v>
      </c>
      <c r="AA680" t="e">
        <f>_xll.BDP(#REF!,AA$2)</f>
        <v>#REF!</v>
      </c>
      <c r="AD680">
        <f>IF(LEFT(_xll.BDP($T680,AD$2),4)="#N/A",-1,_xll.BDP($T680,AD$2))</f>
        <v>-1</v>
      </c>
    </row>
    <row r="681" spans="10:30">
      <c r="J681" s="37"/>
      <c r="U681">
        <f>IF(LEFT(_xll.BDP($T681,U$2),4)="#N/A",0,_xll.BDP($T681,U$2))</f>
        <v>0</v>
      </c>
      <c r="V681" t="e">
        <f>_xll.BDP(#REF!,V$2)</f>
        <v>#REF!</v>
      </c>
      <c r="W681" t="e">
        <f>_xll.BDP(#REF!,W$2)</f>
        <v>#REF!</v>
      </c>
      <c r="X681" t="e">
        <f>_xll.BDP(#REF!,X$2)</f>
        <v>#REF!</v>
      </c>
      <c r="Y681" t="e">
        <f>_xll.BDP(#REF!,Y$2)</f>
        <v>#REF!</v>
      </c>
      <c r="Z681" t="e">
        <f>_xll.BDP(#REF!,Z$2)</f>
        <v>#REF!</v>
      </c>
      <c r="AA681" t="e">
        <f>_xll.BDP(#REF!,AA$2)</f>
        <v>#REF!</v>
      </c>
      <c r="AD681">
        <f>IF(LEFT(_xll.BDP($T681,AD$2),4)="#N/A",-1,_xll.BDP($T681,AD$2))</f>
        <v>-1</v>
      </c>
    </row>
    <row r="682" spans="10:30">
      <c r="J682" s="37"/>
      <c r="U682">
        <f>IF(LEFT(_xll.BDP($T682,U$2),4)="#N/A",0,_xll.BDP($T682,U$2))</f>
        <v>0</v>
      </c>
      <c r="V682" t="e">
        <f>_xll.BDP(#REF!,V$2)</f>
        <v>#REF!</v>
      </c>
      <c r="W682" t="e">
        <f>_xll.BDP(#REF!,W$2)</f>
        <v>#REF!</v>
      </c>
      <c r="X682" t="e">
        <f>_xll.BDP(#REF!,X$2)</f>
        <v>#REF!</v>
      </c>
      <c r="Y682" t="e">
        <f>_xll.BDP(#REF!,Y$2)</f>
        <v>#REF!</v>
      </c>
      <c r="Z682" t="e">
        <f>_xll.BDP(#REF!,Z$2)</f>
        <v>#REF!</v>
      </c>
      <c r="AA682" t="e">
        <f>_xll.BDP(#REF!,AA$2)</f>
        <v>#REF!</v>
      </c>
      <c r="AD682">
        <f>IF(LEFT(_xll.BDP($T682,AD$2),4)="#N/A",-1,_xll.BDP($T682,AD$2))</f>
        <v>-1</v>
      </c>
    </row>
    <row r="683" spans="10:30">
      <c r="J683" s="37"/>
      <c r="U683">
        <f>IF(LEFT(_xll.BDP($T683,U$2),4)="#N/A",0,_xll.BDP($T683,U$2))</f>
        <v>0</v>
      </c>
      <c r="V683" t="e">
        <f>_xll.BDP(#REF!,V$2)</f>
        <v>#REF!</v>
      </c>
      <c r="W683" t="e">
        <f>_xll.BDP(#REF!,W$2)</f>
        <v>#REF!</v>
      </c>
      <c r="X683" t="e">
        <f>_xll.BDP(#REF!,X$2)</f>
        <v>#REF!</v>
      </c>
      <c r="Y683" t="e">
        <f>_xll.BDP(#REF!,Y$2)</f>
        <v>#REF!</v>
      </c>
      <c r="Z683" t="e">
        <f>_xll.BDP(#REF!,Z$2)</f>
        <v>#REF!</v>
      </c>
      <c r="AA683" t="e">
        <f>_xll.BDP(#REF!,AA$2)</f>
        <v>#REF!</v>
      </c>
      <c r="AD683">
        <f>IF(LEFT(_xll.BDP($T683,AD$2),4)="#N/A",-1,_xll.BDP($T683,AD$2))</f>
        <v>-1</v>
      </c>
    </row>
    <row r="684" spans="10:30">
      <c r="J684" s="37"/>
      <c r="U684">
        <f>IF(LEFT(_xll.BDP($T684,U$2),4)="#N/A",0,_xll.BDP($T684,U$2))</f>
        <v>0</v>
      </c>
      <c r="V684" t="e">
        <f>_xll.BDP(#REF!,V$2)</f>
        <v>#REF!</v>
      </c>
      <c r="W684" t="e">
        <f>_xll.BDP(#REF!,W$2)</f>
        <v>#REF!</v>
      </c>
      <c r="X684" t="e">
        <f>_xll.BDP(#REF!,X$2)</f>
        <v>#REF!</v>
      </c>
      <c r="Y684" t="e">
        <f>_xll.BDP(#REF!,Y$2)</f>
        <v>#REF!</v>
      </c>
      <c r="Z684" t="e">
        <f>_xll.BDP(#REF!,Z$2)</f>
        <v>#REF!</v>
      </c>
      <c r="AA684" t="e">
        <f>_xll.BDP(#REF!,AA$2)</f>
        <v>#REF!</v>
      </c>
      <c r="AD684">
        <f>IF(LEFT(_xll.BDP($T684,AD$2),4)="#N/A",-1,_xll.BDP($T684,AD$2))</f>
        <v>-1</v>
      </c>
    </row>
    <row r="685" spans="10:30">
      <c r="J685" s="37"/>
      <c r="U685">
        <f>IF(LEFT(_xll.BDP($T685,U$2),4)="#N/A",0,_xll.BDP($T685,U$2))</f>
        <v>0</v>
      </c>
      <c r="V685" t="e">
        <f>_xll.BDP(#REF!,V$2)</f>
        <v>#REF!</v>
      </c>
      <c r="W685" t="e">
        <f>_xll.BDP(#REF!,W$2)</f>
        <v>#REF!</v>
      </c>
      <c r="X685" t="e">
        <f>_xll.BDP(#REF!,X$2)</f>
        <v>#REF!</v>
      </c>
      <c r="Y685" t="e">
        <f>_xll.BDP(#REF!,Y$2)</f>
        <v>#REF!</v>
      </c>
      <c r="Z685" t="e">
        <f>_xll.BDP(#REF!,Z$2)</f>
        <v>#REF!</v>
      </c>
      <c r="AA685" t="e">
        <f>_xll.BDP(#REF!,AA$2)</f>
        <v>#REF!</v>
      </c>
      <c r="AD685">
        <f>IF(LEFT(_xll.BDP($T685,AD$2),4)="#N/A",-1,_xll.BDP($T685,AD$2))</f>
        <v>-1</v>
      </c>
    </row>
    <row r="686" spans="10:30">
      <c r="J686" s="37"/>
      <c r="U686">
        <f>IF(LEFT(_xll.BDP($T686,U$2),4)="#N/A",0,_xll.BDP($T686,U$2))</f>
        <v>0</v>
      </c>
      <c r="V686" t="e">
        <f>_xll.BDP(#REF!,V$2)</f>
        <v>#REF!</v>
      </c>
      <c r="W686" t="e">
        <f>_xll.BDP(#REF!,W$2)</f>
        <v>#REF!</v>
      </c>
      <c r="X686" t="e">
        <f>_xll.BDP(#REF!,X$2)</f>
        <v>#REF!</v>
      </c>
      <c r="Y686" t="e">
        <f>_xll.BDP(#REF!,Y$2)</f>
        <v>#REF!</v>
      </c>
      <c r="Z686" t="e">
        <f>_xll.BDP(#REF!,Z$2)</f>
        <v>#REF!</v>
      </c>
      <c r="AA686" t="e">
        <f>_xll.BDP(#REF!,AA$2)</f>
        <v>#REF!</v>
      </c>
      <c r="AD686">
        <f>IF(LEFT(_xll.BDP($T686,AD$2),4)="#N/A",-1,_xll.BDP($T686,AD$2))</f>
        <v>-1</v>
      </c>
    </row>
    <row r="687" spans="10:30">
      <c r="J687" s="37"/>
      <c r="U687">
        <f>IF(LEFT(_xll.BDP($T687,U$2),4)="#N/A",0,_xll.BDP($T687,U$2))</f>
        <v>0</v>
      </c>
      <c r="V687" t="e">
        <f>_xll.BDP(#REF!,V$2)</f>
        <v>#REF!</v>
      </c>
      <c r="W687" t="e">
        <f>_xll.BDP(#REF!,W$2)</f>
        <v>#REF!</v>
      </c>
      <c r="X687" t="e">
        <f>_xll.BDP(#REF!,X$2)</f>
        <v>#REF!</v>
      </c>
      <c r="Y687" t="e">
        <f>_xll.BDP(#REF!,Y$2)</f>
        <v>#REF!</v>
      </c>
      <c r="Z687" t="e">
        <f>_xll.BDP(#REF!,Z$2)</f>
        <v>#REF!</v>
      </c>
      <c r="AA687" t="e">
        <f>_xll.BDP(#REF!,AA$2)</f>
        <v>#REF!</v>
      </c>
      <c r="AD687">
        <f>IF(LEFT(_xll.BDP($T687,AD$2),4)="#N/A",-1,_xll.BDP($T687,AD$2))</f>
        <v>-1</v>
      </c>
    </row>
    <row r="688" spans="10:30">
      <c r="J688" s="37"/>
      <c r="U688">
        <f>IF(LEFT(_xll.BDP($T688,U$2),4)="#N/A",0,_xll.BDP($T688,U$2))</f>
        <v>0</v>
      </c>
      <c r="V688" t="e">
        <f>_xll.BDP(#REF!,V$2)</f>
        <v>#REF!</v>
      </c>
      <c r="W688" t="e">
        <f>_xll.BDP(#REF!,W$2)</f>
        <v>#REF!</v>
      </c>
      <c r="X688" t="e">
        <f>_xll.BDP(#REF!,X$2)</f>
        <v>#REF!</v>
      </c>
      <c r="Y688" t="e">
        <f>_xll.BDP(#REF!,Y$2)</f>
        <v>#REF!</v>
      </c>
      <c r="Z688" t="e">
        <f>_xll.BDP(#REF!,Z$2)</f>
        <v>#REF!</v>
      </c>
      <c r="AA688" t="e">
        <f>_xll.BDP(#REF!,AA$2)</f>
        <v>#REF!</v>
      </c>
      <c r="AD688">
        <f>IF(LEFT(_xll.BDP($T688,AD$2),4)="#N/A",-1,_xll.BDP($T688,AD$2))</f>
        <v>-1</v>
      </c>
    </row>
    <row r="689" spans="10:30">
      <c r="J689" s="37"/>
      <c r="U689">
        <f>IF(LEFT(_xll.BDP($T689,U$2),4)="#N/A",0,_xll.BDP($T689,U$2))</f>
        <v>0</v>
      </c>
      <c r="V689" t="e">
        <f>_xll.BDP(#REF!,V$2)</f>
        <v>#REF!</v>
      </c>
      <c r="W689" t="e">
        <f>_xll.BDP(#REF!,W$2)</f>
        <v>#REF!</v>
      </c>
      <c r="X689" t="e">
        <f>_xll.BDP(#REF!,X$2)</f>
        <v>#REF!</v>
      </c>
      <c r="Y689" t="e">
        <f>_xll.BDP(#REF!,Y$2)</f>
        <v>#REF!</v>
      </c>
      <c r="Z689" t="e">
        <f>_xll.BDP(#REF!,Z$2)</f>
        <v>#REF!</v>
      </c>
      <c r="AA689" t="e">
        <f>_xll.BDP(#REF!,AA$2)</f>
        <v>#REF!</v>
      </c>
      <c r="AD689">
        <f>IF(LEFT(_xll.BDP($T689,AD$2),4)="#N/A",-1,_xll.BDP($T689,AD$2))</f>
        <v>-1</v>
      </c>
    </row>
    <row r="690" spans="10:30">
      <c r="J690" s="37"/>
      <c r="U690">
        <f>IF(LEFT(_xll.BDP($T690,U$2),4)="#N/A",0,_xll.BDP($T690,U$2))</f>
        <v>0</v>
      </c>
      <c r="V690" t="e">
        <f>_xll.BDP(#REF!,V$2)</f>
        <v>#REF!</v>
      </c>
      <c r="W690" t="e">
        <f>_xll.BDP(#REF!,W$2)</f>
        <v>#REF!</v>
      </c>
      <c r="X690" t="e">
        <f>_xll.BDP(#REF!,X$2)</f>
        <v>#REF!</v>
      </c>
      <c r="Y690" t="e">
        <f>_xll.BDP(#REF!,Y$2)</f>
        <v>#REF!</v>
      </c>
      <c r="Z690" t="e">
        <f>_xll.BDP(#REF!,Z$2)</f>
        <v>#REF!</v>
      </c>
      <c r="AA690" t="e">
        <f>_xll.BDP(#REF!,AA$2)</f>
        <v>#REF!</v>
      </c>
      <c r="AD690">
        <f>IF(LEFT(_xll.BDP($T690,AD$2),4)="#N/A",-1,_xll.BDP($T690,AD$2))</f>
        <v>-1</v>
      </c>
    </row>
    <row r="691" spans="10:30">
      <c r="J691" s="37"/>
      <c r="U691">
        <f>IF(LEFT(_xll.BDP($T691,U$2),4)="#N/A",0,_xll.BDP($T691,U$2))</f>
        <v>0</v>
      </c>
      <c r="V691" t="e">
        <f>_xll.BDP(#REF!,V$2)</f>
        <v>#REF!</v>
      </c>
      <c r="W691" t="e">
        <f>_xll.BDP(#REF!,W$2)</f>
        <v>#REF!</v>
      </c>
      <c r="X691" t="e">
        <f>_xll.BDP(#REF!,X$2)</f>
        <v>#REF!</v>
      </c>
      <c r="Y691" t="e">
        <f>_xll.BDP(#REF!,Y$2)</f>
        <v>#REF!</v>
      </c>
      <c r="Z691" t="e">
        <f>_xll.BDP(#REF!,Z$2)</f>
        <v>#REF!</v>
      </c>
      <c r="AA691" t="e">
        <f>_xll.BDP(#REF!,AA$2)</f>
        <v>#REF!</v>
      </c>
      <c r="AD691">
        <f>IF(LEFT(_xll.BDP($T691,AD$2),4)="#N/A",-1,_xll.BDP($T691,AD$2))</f>
        <v>-1</v>
      </c>
    </row>
    <row r="692" spans="10:30">
      <c r="J692" s="37"/>
      <c r="U692">
        <f>IF(LEFT(_xll.BDP($T692,U$2),4)="#N/A",0,_xll.BDP($T692,U$2))</f>
        <v>0</v>
      </c>
      <c r="V692" t="e">
        <f>_xll.BDP(#REF!,V$2)</f>
        <v>#REF!</v>
      </c>
      <c r="W692" t="e">
        <f>_xll.BDP(#REF!,W$2)</f>
        <v>#REF!</v>
      </c>
      <c r="X692" t="e">
        <f>_xll.BDP(#REF!,X$2)</f>
        <v>#REF!</v>
      </c>
      <c r="Y692" t="e">
        <f>_xll.BDP(#REF!,Y$2)</f>
        <v>#REF!</v>
      </c>
      <c r="Z692" t="e">
        <f>_xll.BDP(#REF!,Z$2)</f>
        <v>#REF!</v>
      </c>
      <c r="AA692" t="e">
        <f>_xll.BDP(#REF!,AA$2)</f>
        <v>#REF!</v>
      </c>
      <c r="AD692">
        <f>IF(LEFT(_xll.BDP($T692,AD$2),4)="#N/A",-1,_xll.BDP($T692,AD$2))</f>
        <v>-1</v>
      </c>
    </row>
    <row r="693" spans="10:30">
      <c r="J693" s="37"/>
      <c r="U693">
        <f>IF(LEFT(_xll.BDP($T693,U$2),4)="#N/A",0,_xll.BDP($T693,U$2))</f>
        <v>0</v>
      </c>
      <c r="V693" t="e">
        <f>_xll.BDP(#REF!,V$2)</f>
        <v>#REF!</v>
      </c>
      <c r="W693" t="e">
        <f>_xll.BDP(#REF!,W$2)</f>
        <v>#REF!</v>
      </c>
      <c r="X693" t="e">
        <f>_xll.BDP(#REF!,X$2)</f>
        <v>#REF!</v>
      </c>
      <c r="Y693" t="e">
        <f>_xll.BDP(#REF!,Y$2)</f>
        <v>#REF!</v>
      </c>
      <c r="Z693" t="e">
        <f>_xll.BDP(#REF!,Z$2)</f>
        <v>#REF!</v>
      </c>
      <c r="AA693" t="e">
        <f>_xll.BDP(#REF!,AA$2)</f>
        <v>#REF!</v>
      </c>
      <c r="AD693">
        <f>IF(LEFT(_xll.BDP($T693,AD$2),4)="#N/A",-1,_xll.BDP($T693,AD$2))</f>
        <v>-1</v>
      </c>
    </row>
    <row r="694" spans="10:30">
      <c r="J694" s="37"/>
      <c r="U694">
        <f>IF(LEFT(_xll.BDP($T694,U$2),4)="#N/A",0,_xll.BDP($T694,U$2))</f>
        <v>0</v>
      </c>
      <c r="V694" t="e">
        <f>_xll.BDP(#REF!,V$2)</f>
        <v>#REF!</v>
      </c>
      <c r="W694" t="e">
        <f>_xll.BDP(#REF!,W$2)</f>
        <v>#REF!</v>
      </c>
      <c r="X694" t="e">
        <f>_xll.BDP(#REF!,X$2)</f>
        <v>#REF!</v>
      </c>
      <c r="Y694" t="e">
        <f>_xll.BDP(#REF!,Y$2)</f>
        <v>#REF!</v>
      </c>
      <c r="Z694" t="e">
        <f>_xll.BDP(#REF!,Z$2)</f>
        <v>#REF!</v>
      </c>
      <c r="AA694" t="e">
        <f>_xll.BDP(#REF!,AA$2)</f>
        <v>#REF!</v>
      </c>
      <c r="AD694">
        <f>IF(LEFT(_xll.BDP($T694,AD$2),4)="#N/A",-1,_xll.BDP($T694,AD$2))</f>
        <v>-1</v>
      </c>
    </row>
    <row r="695" spans="10:30">
      <c r="J695" s="37"/>
      <c r="U695">
        <f>IF(LEFT(_xll.BDP($T695,U$2),4)="#N/A",0,_xll.BDP($T695,U$2))</f>
        <v>0</v>
      </c>
      <c r="V695" t="e">
        <f>_xll.BDP(#REF!,V$2)</f>
        <v>#REF!</v>
      </c>
      <c r="W695" t="e">
        <f>_xll.BDP(#REF!,W$2)</f>
        <v>#REF!</v>
      </c>
      <c r="X695" t="e">
        <f>_xll.BDP(#REF!,X$2)</f>
        <v>#REF!</v>
      </c>
      <c r="Y695" t="e">
        <f>_xll.BDP(#REF!,Y$2)</f>
        <v>#REF!</v>
      </c>
      <c r="Z695" t="e">
        <f>_xll.BDP(#REF!,Z$2)</f>
        <v>#REF!</v>
      </c>
      <c r="AA695" t="e">
        <f>_xll.BDP(#REF!,AA$2)</f>
        <v>#REF!</v>
      </c>
      <c r="AD695">
        <f>IF(LEFT(_xll.BDP($T695,AD$2),4)="#N/A",-1,_xll.BDP($T695,AD$2))</f>
        <v>-1</v>
      </c>
    </row>
    <row r="696" spans="10:30">
      <c r="J696" s="37"/>
      <c r="U696">
        <f>IF(LEFT(_xll.BDP($T696,U$2),4)="#N/A",0,_xll.BDP($T696,U$2))</f>
        <v>0</v>
      </c>
      <c r="V696" t="e">
        <f>_xll.BDP(#REF!,V$2)</f>
        <v>#REF!</v>
      </c>
      <c r="W696" t="e">
        <f>_xll.BDP(#REF!,W$2)</f>
        <v>#REF!</v>
      </c>
      <c r="X696" t="e">
        <f>_xll.BDP(#REF!,X$2)</f>
        <v>#REF!</v>
      </c>
      <c r="Y696" t="e">
        <f>_xll.BDP(#REF!,Y$2)</f>
        <v>#REF!</v>
      </c>
      <c r="Z696" t="e">
        <f>_xll.BDP(#REF!,Z$2)</f>
        <v>#REF!</v>
      </c>
      <c r="AA696" t="e">
        <f>_xll.BDP(#REF!,AA$2)</f>
        <v>#REF!</v>
      </c>
      <c r="AD696">
        <f>IF(LEFT(_xll.BDP($T696,AD$2),4)="#N/A",-1,_xll.BDP($T696,AD$2))</f>
        <v>-1</v>
      </c>
    </row>
    <row r="697" spans="10:30">
      <c r="J697" s="37"/>
      <c r="U697">
        <f>IF(LEFT(_xll.BDP($T697,U$2),4)="#N/A",0,_xll.BDP($T697,U$2))</f>
        <v>0</v>
      </c>
      <c r="V697" t="e">
        <f>_xll.BDP(#REF!,V$2)</f>
        <v>#REF!</v>
      </c>
      <c r="W697" t="e">
        <f>_xll.BDP(#REF!,W$2)</f>
        <v>#REF!</v>
      </c>
      <c r="X697" t="e">
        <f>_xll.BDP(#REF!,X$2)</f>
        <v>#REF!</v>
      </c>
      <c r="Y697" t="e">
        <f>_xll.BDP(#REF!,Y$2)</f>
        <v>#REF!</v>
      </c>
      <c r="Z697" t="e">
        <f>_xll.BDP(#REF!,Z$2)</f>
        <v>#REF!</v>
      </c>
      <c r="AA697" t="e">
        <f>_xll.BDP(#REF!,AA$2)</f>
        <v>#REF!</v>
      </c>
      <c r="AD697">
        <f>IF(LEFT(_xll.BDP($T697,AD$2),4)="#N/A",-1,_xll.BDP($T697,AD$2))</f>
        <v>-1</v>
      </c>
    </row>
    <row r="698" spans="10:30">
      <c r="J698" s="37"/>
      <c r="U698">
        <f>IF(LEFT(_xll.BDP($T698,U$2),4)="#N/A",0,_xll.BDP($T698,U$2))</f>
        <v>0</v>
      </c>
      <c r="V698" t="e">
        <f>_xll.BDP(#REF!,V$2)</f>
        <v>#REF!</v>
      </c>
      <c r="W698" t="e">
        <f>_xll.BDP(#REF!,W$2)</f>
        <v>#REF!</v>
      </c>
      <c r="X698" t="e">
        <f>_xll.BDP(#REF!,X$2)</f>
        <v>#REF!</v>
      </c>
      <c r="Y698" t="e">
        <f>_xll.BDP(#REF!,Y$2)</f>
        <v>#REF!</v>
      </c>
      <c r="Z698" t="e">
        <f>_xll.BDP(#REF!,Z$2)</f>
        <v>#REF!</v>
      </c>
      <c r="AA698" t="e">
        <f>_xll.BDP(#REF!,AA$2)</f>
        <v>#REF!</v>
      </c>
      <c r="AD698">
        <f>IF(LEFT(_xll.BDP($T698,AD$2),4)="#N/A",-1,_xll.BDP($T698,AD$2))</f>
        <v>-1</v>
      </c>
    </row>
    <row r="699" spans="10:30">
      <c r="J699" s="37"/>
      <c r="U699">
        <f>IF(LEFT(_xll.BDP($T699,U$2),4)="#N/A",0,_xll.BDP($T699,U$2))</f>
        <v>0</v>
      </c>
      <c r="V699" t="e">
        <f>_xll.BDP(#REF!,V$2)</f>
        <v>#REF!</v>
      </c>
      <c r="W699" t="e">
        <f>_xll.BDP(#REF!,W$2)</f>
        <v>#REF!</v>
      </c>
      <c r="X699" t="e">
        <f>_xll.BDP(#REF!,X$2)</f>
        <v>#REF!</v>
      </c>
      <c r="Y699" t="e">
        <f>_xll.BDP(#REF!,Y$2)</f>
        <v>#REF!</v>
      </c>
      <c r="Z699" t="e">
        <f>_xll.BDP(#REF!,Z$2)</f>
        <v>#REF!</v>
      </c>
      <c r="AA699" t="e">
        <f>_xll.BDP(#REF!,AA$2)</f>
        <v>#REF!</v>
      </c>
      <c r="AD699">
        <f>IF(LEFT(_xll.BDP($T699,AD$2),4)="#N/A",-1,_xll.BDP($T699,AD$2))</f>
        <v>-1</v>
      </c>
    </row>
    <row r="700" spans="10:30">
      <c r="J700" s="37"/>
      <c r="U700">
        <f>IF(LEFT(_xll.BDP($T700,U$2),4)="#N/A",0,_xll.BDP($T700,U$2))</f>
        <v>0</v>
      </c>
      <c r="V700" t="e">
        <f>_xll.BDP(#REF!,V$2)</f>
        <v>#REF!</v>
      </c>
      <c r="W700" t="e">
        <f>_xll.BDP(#REF!,W$2)</f>
        <v>#REF!</v>
      </c>
      <c r="X700" t="e">
        <f>_xll.BDP(#REF!,X$2)</f>
        <v>#REF!</v>
      </c>
      <c r="Y700" t="e">
        <f>_xll.BDP(#REF!,Y$2)</f>
        <v>#REF!</v>
      </c>
      <c r="Z700" t="e">
        <f>_xll.BDP(#REF!,Z$2)</f>
        <v>#REF!</v>
      </c>
      <c r="AA700" t="e">
        <f>_xll.BDP(#REF!,AA$2)</f>
        <v>#REF!</v>
      </c>
      <c r="AD700">
        <f>IF(LEFT(_xll.BDP($T700,AD$2),4)="#N/A",-1,_xll.BDP($T700,AD$2))</f>
        <v>-1</v>
      </c>
    </row>
    <row r="701" spans="10:30">
      <c r="J701" s="37"/>
      <c r="U701">
        <f>IF(LEFT(_xll.BDP($T701,U$2),4)="#N/A",0,_xll.BDP($T701,U$2))</f>
        <v>0</v>
      </c>
      <c r="V701" t="e">
        <f>_xll.BDP(#REF!,V$2)</f>
        <v>#REF!</v>
      </c>
      <c r="W701" t="e">
        <f>_xll.BDP(#REF!,W$2)</f>
        <v>#REF!</v>
      </c>
      <c r="X701" t="e">
        <f>_xll.BDP(#REF!,X$2)</f>
        <v>#REF!</v>
      </c>
      <c r="Y701" t="e">
        <f>_xll.BDP(#REF!,Y$2)</f>
        <v>#REF!</v>
      </c>
      <c r="Z701" t="e">
        <f>_xll.BDP(#REF!,Z$2)</f>
        <v>#REF!</v>
      </c>
      <c r="AA701" t="e">
        <f>_xll.BDP(#REF!,AA$2)</f>
        <v>#REF!</v>
      </c>
      <c r="AD701">
        <f>IF(LEFT(_xll.BDP($T701,AD$2),4)="#N/A",-1,_xll.BDP($T701,AD$2))</f>
        <v>-1</v>
      </c>
    </row>
    <row r="702" spans="10:30">
      <c r="J702" s="37"/>
      <c r="U702">
        <f>IF(LEFT(_xll.BDP($T702,U$2),4)="#N/A",0,_xll.BDP($T702,U$2))</f>
        <v>0</v>
      </c>
      <c r="V702" t="e">
        <f>_xll.BDP(#REF!,V$2)</f>
        <v>#REF!</v>
      </c>
      <c r="W702" t="e">
        <f>_xll.BDP(#REF!,W$2)</f>
        <v>#REF!</v>
      </c>
      <c r="X702" t="e">
        <f>_xll.BDP(#REF!,X$2)</f>
        <v>#REF!</v>
      </c>
      <c r="Y702" t="e">
        <f>_xll.BDP(#REF!,Y$2)</f>
        <v>#REF!</v>
      </c>
      <c r="Z702" t="e">
        <f>_xll.BDP(#REF!,Z$2)</f>
        <v>#REF!</v>
      </c>
      <c r="AA702" t="e">
        <f>_xll.BDP(#REF!,AA$2)</f>
        <v>#REF!</v>
      </c>
      <c r="AD702">
        <f>IF(LEFT(_xll.BDP($T702,AD$2),4)="#N/A",-1,_xll.BDP($T702,AD$2))</f>
        <v>-1</v>
      </c>
    </row>
    <row r="703" spans="10:30">
      <c r="J703" s="37"/>
      <c r="U703">
        <f>IF(LEFT(_xll.BDP($T703,U$2),4)="#N/A",0,_xll.BDP($T703,U$2))</f>
        <v>0</v>
      </c>
      <c r="V703" t="e">
        <f>_xll.BDP(#REF!,V$2)</f>
        <v>#REF!</v>
      </c>
      <c r="W703" t="e">
        <f>_xll.BDP(#REF!,W$2)</f>
        <v>#REF!</v>
      </c>
      <c r="X703" t="e">
        <f>_xll.BDP(#REF!,X$2)</f>
        <v>#REF!</v>
      </c>
      <c r="Y703" t="e">
        <f>_xll.BDP(#REF!,Y$2)</f>
        <v>#REF!</v>
      </c>
      <c r="Z703" t="e">
        <f>_xll.BDP(#REF!,Z$2)</f>
        <v>#REF!</v>
      </c>
      <c r="AA703" t="e">
        <f>_xll.BDP(#REF!,AA$2)</f>
        <v>#REF!</v>
      </c>
      <c r="AD703">
        <f>IF(LEFT(_xll.BDP($T703,AD$2),4)="#N/A",-1,_xll.BDP($T703,AD$2))</f>
        <v>-1</v>
      </c>
    </row>
    <row r="704" spans="10:30">
      <c r="J704" s="37"/>
      <c r="U704">
        <f>IF(LEFT(_xll.BDP($T704,U$2),4)="#N/A",0,_xll.BDP($T704,U$2))</f>
        <v>0</v>
      </c>
      <c r="V704" t="e">
        <f>_xll.BDP(#REF!,V$2)</f>
        <v>#REF!</v>
      </c>
      <c r="W704" t="e">
        <f>_xll.BDP(#REF!,W$2)</f>
        <v>#REF!</v>
      </c>
      <c r="X704" t="e">
        <f>_xll.BDP(#REF!,X$2)</f>
        <v>#REF!</v>
      </c>
      <c r="Y704" t="e">
        <f>_xll.BDP(#REF!,Y$2)</f>
        <v>#REF!</v>
      </c>
      <c r="Z704" t="e">
        <f>_xll.BDP(#REF!,Z$2)</f>
        <v>#REF!</v>
      </c>
      <c r="AA704" t="e">
        <f>_xll.BDP(#REF!,AA$2)</f>
        <v>#REF!</v>
      </c>
      <c r="AD704">
        <f>IF(LEFT(_xll.BDP($T704,AD$2),4)="#N/A",-1,_xll.BDP($T704,AD$2))</f>
        <v>-1</v>
      </c>
    </row>
    <row r="705" spans="10:30">
      <c r="J705" s="37"/>
      <c r="U705">
        <f>IF(LEFT(_xll.BDP($T705,U$2),4)="#N/A",0,_xll.BDP($T705,U$2))</f>
        <v>0</v>
      </c>
      <c r="V705" t="e">
        <f>_xll.BDP(#REF!,V$2)</f>
        <v>#REF!</v>
      </c>
      <c r="W705" t="e">
        <f>_xll.BDP(#REF!,W$2)</f>
        <v>#REF!</v>
      </c>
      <c r="X705" t="e">
        <f>_xll.BDP(#REF!,X$2)</f>
        <v>#REF!</v>
      </c>
      <c r="Y705" t="e">
        <f>_xll.BDP(#REF!,Y$2)</f>
        <v>#REF!</v>
      </c>
      <c r="Z705" t="e">
        <f>_xll.BDP(#REF!,Z$2)</f>
        <v>#REF!</v>
      </c>
      <c r="AA705" t="e">
        <f>_xll.BDP(#REF!,AA$2)</f>
        <v>#REF!</v>
      </c>
      <c r="AD705">
        <f>IF(LEFT(_xll.BDP($T705,AD$2),4)="#N/A",-1,_xll.BDP($T705,AD$2))</f>
        <v>-1</v>
      </c>
    </row>
    <row r="706" spans="10:30">
      <c r="J706" s="37"/>
      <c r="U706">
        <f>IF(LEFT(_xll.BDP($T706,U$2),4)="#N/A",0,_xll.BDP($T706,U$2))</f>
        <v>0</v>
      </c>
      <c r="V706" t="e">
        <f>_xll.BDP(#REF!,V$2)</f>
        <v>#REF!</v>
      </c>
      <c r="W706" t="e">
        <f>_xll.BDP(#REF!,W$2)</f>
        <v>#REF!</v>
      </c>
      <c r="X706" t="e">
        <f>_xll.BDP(#REF!,X$2)</f>
        <v>#REF!</v>
      </c>
      <c r="Y706" t="e">
        <f>_xll.BDP(#REF!,Y$2)</f>
        <v>#REF!</v>
      </c>
      <c r="Z706" t="e">
        <f>_xll.BDP(#REF!,Z$2)</f>
        <v>#REF!</v>
      </c>
      <c r="AA706" t="e">
        <f>_xll.BDP(#REF!,AA$2)</f>
        <v>#REF!</v>
      </c>
      <c r="AD706">
        <f>IF(LEFT(_xll.BDP($T706,AD$2),4)="#N/A",-1,_xll.BDP($T706,AD$2))</f>
        <v>-1</v>
      </c>
    </row>
    <row r="707" spans="10:30">
      <c r="J707" s="37"/>
      <c r="U707">
        <f>IF(LEFT(_xll.BDP($T707,U$2),4)="#N/A",0,_xll.BDP($T707,U$2))</f>
        <v>0</v>
      </c>
      <c r="V707" t="e">
        <f>_xll.BDP(#REF!,V$2)</f>
        <v>#REF!</v>
      </c>
      <c r="W707" t="e">
        <f>_xll.BDP(#REF!,W$2)</f>
        <v>#REF!</v>
      </c>
      <c r="X707" t="e">
        <f>_xll.BDP(#REF!,X$2)</f>
        <v>#REF!</v>
      </c>
      <c r="Y707" t="e">
        <f>_xll.BDP(#REF!,Y$2)</f>
        <v>#REF!</v>
      </c>
      <c r="Z707" t="e">
        <f>_xll.BDP(#REF!,Z$2)</f>
        <v>#REF!</v>
      </c>
      <c r="AA707" t="e">
        <f>_xll.BDP(#REF!,AA$2)</f>
        <v>#REF!</v>
      </c>
      <c r="AD707">
        <f>IF(LEFT(_xll.BDP($T707,AD$2),4)="#N/A",-1,_xll.BDP($T707,AD$2))</f>
        <v>-1</v>
      </c>
    </row>
    <row r="708" spans="10:30">
      <c r="J708" s="37"/>
      <c r="U708">
        <f>IF(LEFT(_xll.BDP($T708,U$2),4)="#N/A",0,_xll.BDP($T708,U$2))</f>
        <v>0</v>
      </c>
      <c r="V708" t="e">
        <f>_xll.BDP(#REF!,V$2)</f>
        <v>#REF!</v>
      </c>
      <c r="W708" t="e">
        <f>_xll.BDP(#REF!,W$2)</f>
        <v>#REF!</v>
      </c>
      <c r="X708" t="e">
        <f>_xll.BDP(#REF!,X$2)</f>
        <v>#REF!</v>
      </c>
      <c r="Y708" t="e">
        <f>_xll.BDP(#REF!,Y$2)</f>
        <v>#REF!</v>
      </c>
      <c r="Z708" t="e">
        <f>_xll.BDP(#REF!,Z$2)</f>
        <v>#REF!</v>
      </c>
      <c r="AA708" t="e">
        <f>_xll.BDP(#REF!,AA$2)</f>
        <v>#REF!</v>
      </c>
      <c r="AD708">
        <f>IF(LEFT(_xll.BDP($T708,AD$2),4)="#N/A",-1,_xll.BDP($T708,AD$2))</f>
        <v>-1</v>
      </c>
    </row>
    <row r="709" spans="10:30">
      <c r="J709" s="37"/>
      <c r="U709">
        <f>IF(LEFT(_xll.BDP($T709,U$2),4)="#N/A",0,_xll.BDP($T709,U$2))</f>
        <v>0</v>
      </c>
      <c r="V709" t="e">
        <f>_xll.BDP(#REF!,V$2)</f>
        <v>#REF!</v>
      </c>
      <c r="W709" t="e">
        <f>_xll.BDP(#REF!,W$2)</f>
        <v>#REF!</v>
      </c>
      <c r="X709" t="e">
        <f>_xll.BDP(#REF!,X$2)</f>
        <v>#REF!</v>
      </c>
      <c r="Y709" t="e">
        <f>_xll.BDP(#REF!,Y$2)</f>
        <v>#REF!</v>
      </c>
      <c r="Z709" t="e">
        <f>_xll.BDP(#REF!,Z$2)</f>
        <v>#REF!</v>
      </c>
      <c r="AA709" t="e">
        <f>_xll.BDP(#REF!,AA$2)</f>
        <v>#REF!</v>
      </c>
      <c r="AD709">
        <f>IF(LEFT(_xll.BDP($T709,AD$2),4)="#N/A",-1,_xll.BDP($T709,AD$2))</f>
        <v>-1</v>
      </c>
    </row>
    <row r="710" spans="10:30">
      <c r="J710" s="37"/>
      <c r="U710">
        <f>IF(LEFT(_xll.BDP($T710,U$2),4)="#N/A",0,_xll.BDP($T710,U$2))</f>
        <v>0</v>
      </c>
      <c r="V710" t="e">
        <f>_xll.BDP(#REF!,V$2)</f>
        <v>#REF!</v>
      </c>
      <c r="W710" t="e">
        <f>_xll.BDP(#REF!,W$2)</f>
        <v>#REF!</v>
      </c>
      <c r="X710" t="e">
        <f>_xll.BDP(#REF!,X$2)</f>
        <v>#REF!</v>
      </c>
      <c r="Y710" t="e">
        <f>_xll.BDP(#REF!,Y$2)</f>
        <v>#REF!</v>
      </c>
      <c r="Z710" t="e">
        <f>_xll.BDP(#REF!,Z$2)</f>
        <v>#REF!</v>
      </c>
      <c r="AA710" t="e">
        <f>_xll.BDP(#REF!,AA$2)</f>
        <v>#REF!</v>
      </c>
      <c r="AD710">
        <f>IF(LEFT(_xll.BDP($T710,AD$2),4)="#N/A",-1,_xll.BDP($T710,AD$2))</f>
        <v>-1</v>
      </c>
    </row>
    <row r="711" spans="10:30">
      <c r="J711" s="37"/>
      <c r="U711">
        <f>IF(LEFT(_xll.BDP($T711,U$2),4)="#N/A",0,_xll.BDP($T711,U$2))</f>
        <v>0</v>
      </c>
      <c r="V711" t="e">
        <f>_xll.BDP(#REF!,V$2)</f>
        <v>#REF!</v>
      </c>
      <c r="W711" t="e">
        <f>_xll.BDP(#REF!,W$2)</f>
        <v>#REF!</v>
      </c>
      <c r="X711" t="e">
        <f>_xll.BDP(#REF!,X$2)</f>
        <v>#REF!</v>
      </c>
      <c r="Y711" t="e">
        <f>_xll.BDP(#REF!,Y$2)</f>
        <v>#REF!</v>
      </c>
      <c r="Z711" t="e">
        <f>_xll.BDP(#REF!,Z$2)</f>
        <v>#REF!</v>
      </c>
      <c r="AA711" t="e">
        <f>_xll.BDP(#REF!,AA$2)</f>
        <v>#REF!</v>
      </c>
      <c r="AD711">
        <f>IF(LEFT(_xll.BDP($T711,AD$2),4)="#N/A",-1,_xll.BDP($T711,AD$2))</f>
        <v>-1</v>
      </c>
    </row>
    <row r="712" spans="10:30">
      <c r="J712" s="37"/>
      <c r="U712">
        <f>IF(LEFT(_xll.BDP($T712,U$2),4)="#N/A",0,_xll.BDP($T712,U$2))</f>
        <v>0</v>
      </c>
      <c r="V712" t="e">
        <f>_xll.BDP(#REF!,V$2)</f>
        <v>#REF!</v>
      </c>
      <c r="W712" t="e">
        <f>_xll.BDP(#REF!,W$2)</f>
        <v>#REF!</v>
      </c>
      <c r="X712" t="e">
        <f>_xll.BDP(#REF!,X$2)</f>
        <v>#REF!</v>
      </c>
      <c r="Y712" t="e">
        <f>_xll.BDP(#REF!,Y$2)</f>
        <v>#REF!</v>
      </c>
      <c r="Z712" t="e">
        <f>_xll.BDP(#REF!,Z$2)</f>
        <v>#REF!</v>
      </c>
      <c r="AA712" t="e">
        <f>_xll.BDP(#REF!,AA$2)</f>
        <v>#REF!</v>
      </c>
      <c r="AD712">
        <f>IF(LEFT(_xll.BDP($T712,AD$2),4)="#N/A",-1,_xll.BDP($T712,AD$2))</f>
        <v>-1</v>
      </c>
    </row>
    <row r="713" spans="10:30">
      <c r="J713" s="37"/>
      <c r="U713">
        <f>IF(LEFT(_xll.BDP($T713,U$2),4)="#N/A",0,_xll.BDP($T713,U$2))</f>
        <v>0</v>
      </c>
      <c r="V713" t="e">
        <f>_xll.BDP(#REF!,V$2)</f>
        <v>#REF!</v>
      </c>
      <c r="W713" t="e">
        <f>_xll.BDP(#REF!,W$2)</f>
        <v>#REF!</v>
      </c>
      <c r="X713" t="e">
        <f>_xll.BDP(#REF!,X$2)</f>
        <v>#REF!</v>
      </c>
      <c r="Y713" t="e">
        <f>_xll.BDP(#REF!,Y$2)</f>
        <v>#REF!</v>
      </c>
      <c r="Z713" t="e">
        <f>_xll.BDP(#REF!,Z$2)</f>
        <v>#REF!</v>
      </c>
      <c r="AA713" t="e">
        <f>_xll.BDP(#REF!,AA$2)</f>
        <v>#REF!</v>
      </c>
      <c r="AD713">
        <f>IF(LEFT(_xll.BDP($T713,AD$2),4)="#N/A",-1,_xll.BDP($T713,AD$2))</f>
        <v>-1</v>
      </c>
    </row>
    <row r="714" spans="10:30">
      <c r="J714" s="37"/>
      <c r="U714">
        <f>IF(LEFT(_xll.BDP($T714,U$2),4)="#N/A",0,_xll.BDP($T714,U$2))</f>
        <v>0</v>
      </c>
      <c r="V714" t="e">
        <f>_xll.BDP(#REF!,V$2)</f>
        <v>#REF!</v>
      </c>
      <c r="W714" t="e">
        <f>_xll.BDP(#REF!,W$2)</f>
        <v>#REF!</v>
      </c>
      <c r="X714" t="e">
        <f>_xll.BDP(#REF!,X$2)</f>
        <v>#REF!</v>
      </c>
      <c r="Y714" t="e">
        <f>_xll.BDP(#REF!,Y$2)</f>
        <v>#REF!</v>
      </c>
      <c r="Z714" t="e">
        <f>_xll.BDP(#REF!,Z$2)</f>
        <v>#REF!</v>
      </c>
      <c r="AA714" t="e">
        <f>_xll.BDP(#REF!,AA$2)</f>
        <v>#REF!</v>
      </c>
      <c r="AD714">
        <f>IF(LEFT(_xll.BDP($T714,AD$2),4)="#N/A",-1,_xll.BDP($T714,AD$2))</f>
        <v>-1</v>
      </c>
    </row>
    <row r="715" spans="10:30">
      <c r="J715" s="37"/>
      <c r="U715">
        <f>IF(LEFT(_xll.BDP($T715,U$2),4)="#N/A",0,_xll.BDP($T715,U$2))</f>
        <v>0</v>
      </c>
      <c r="V715" t="e">
        <f>_xll.BDP(#REF!,V$2)</f>
        <v>#REF!</v>
      </c>
      <c r="W715" t="e">
        <f>_xll.BDP(#REF!,W$2)</f>
        <v>#REF!</v>
      </c>
      <c r="X715" t="e">
        <f>_xll.BDP(#REF!,X$2)</f>
        <v>#REF!</v>
      </c>
      <c r="Y715" t="e">
        <f>_xll.BDP(#REF!,Y$2)</f>
        <v>#REF!</v>
      </c>
      <c r="Z715" t="e">
        <f>_xll.BDP(#REF!,Z$2)</f>
        <v>#REF!</v>
      </c>
      <c r="AA715" t="e">
        <f>_xll.BDP(#REF!,AA$2)</f>
        <v>#REF!</v>
      </c>
      <c r="AD715">
        <f>IF(LEFT(_xll.BDP($T715,AD$2),4)="#N/A",-1,_xll.BDP($T715,AD$2))</f>
        <v>-1</v>
      </c>
    </row>
    <row r="716" spans="10:30">
      <c r="J716" s="37"/>
      <c r="U716">
        <f>IF(LEFT(_xll.BDP($T716,U$2),4)="#N/A",0,_xll.BDP($T716,U$2))</f>
        <v>0</v>
      </c>
      <c r="V716" t="e">
        <f>_xll.BDP(#REF!,V$2)</f>
        <v>#REF!</v>
      </c>
      <c r="W716" t="e">
        <f>_xll.BDP(#REF!,W$2)</f>
        <v>#REF!</v>
      </c>
      <c r="X716" t="e">
        <f>_xll.BDP(#REF!,X$2)</f>
        <v>#REF!</v>
      </c>
      <c r="Y716" t="e">
        <f>_xll.BDP(#REF!,Y$2)</f>
        <v>#REF!</v>
      </c>
      <c r="Z716" t="e">
        <f>_xll.BDP(#REF!,Z$2)</f>
        <v>#REF!</v>
      </c>
      <c r="AA716" t="e">
        <f>_xll.BDP(#REF!,AA$2)</f>
        <v>#REF!</v>
      </c>
      <c r="AD716">
        <f>IF(LEFT(_xll.BDP($T716,AD$2),4)="#N/A",-1,_xll.BDP($T716,AD$2))</f>
        <v>-1</v>
      </c>
    </row>
    <row r="717" spans="10:30">
      <c r="J717" s="37"/>
      <c r="U717">
        <f>IF(LEFT(_xll.BDP($T717,U$2),4)="#N/A",0,_xll.BDP($T717,U$2))</f>
        <v>0</v>
      </c>
      <c r="V717" t="e">
        <f>_xll.BDP(#REF!,V$2)</f>
        <v>#REF!</v>
      </c>
      <c r="W717" t="e">
        <f>_xll.BDP(#REF!,W$2)</f>
        <v>#REF!</v>
      </c>
      <c r="X717" t="e">
        <f>_xll.BDP(#REF!,X$2)</f>
        <v>#REF!</v>
      </c>
      <c r="Y717" t="e">
        <f>_xll.BDP(#REF!,Y$2)</f>
        <v>#REF!</v>
      </c>
      <c r="Z717" t="e">
        <f>_xll.BDP(#REF!,Z$2)</f>
        <v>#REF!</v>
      </c>
      <c r="AA717" t="e">
        <f>_xll.BDP(#REF!,AA$2)</f>
        <v>#REF!</v>
      </c>
      <c r="AD717">
        <f>IF(LEFT(_xll.BDP($T717,AD$2),4)="#N/A",-1,_xll.BDP($T717,AD$2))</f>
        <v>-1</v>
      </c>
    </row>
    <row r="718" spans="10:30">
      <c r="J718" s="37"/>
      <c r="U718">
        <f>IF(LEFT(_xll.BDP($T718,U$2),4)="#N/A",0,_xll.BDP($T718,U$2))</f>
        <v>0</v>
      </c>
      <c r="V718" t="e">
        <f>_xll.BDP(#REF!,V$2)</f>
        <v>#REF!</v>
      </c>
      <c r="W718" t="e">
        <f>_xll.BDP(#REF!,W$2)</f>
        <v>#REF!</v>
      </c>
      <c r="X718" t="e">
        <f>_xll.BDP(#REF!,X$2)</f>
        <v>#REF!</v>
      </c>
      <c r="Y718" t="e">
        <f>_xll.BDP(#REF!,Y$2)</f>
        <v>#REF!</v>
      </c>
      <c r="Z718" t="e">
        <f>_xll.BDP(#REF!,Z$2)</f>
        <v>#REF!</v>
      </c>
      <c r="AA718" t="e">
        <f>_xll.BDP(#REF!,AA$2)</f>
        <v>#REF!</v>
      </c>
      <c r="AD718">
        <f>IF(LEFT(_xll.BDP($T718,AD$2),4)="#N/A",-1,_xll.BDP($T718,AD$2))</f>
        <v>-1</v>
      </c>
    </row>
    <row r="719" spans="10:30">
      <c r="J719" s="37"/>
      <c r="U719">
        <f>IF(LEFT(_xll.BDP($T719,U$2),4)="#N/A",0,_xll.BDP($T719,U$2))</f>
        <v>0</v>
      </c>
      <c r="V719" t="e">
        <f>_xll.BDP(#REF!,V$2)</f>
        <v>#REF!</v>
      </c>
      <c r="W719" t="e">
        <f>_xll.BDP(#REF!,W$2)</f>
        <v>#REF!</v>
      </c>
      <c r="X719" t="e">
        <f>_xll.BDP(#REF!,X$2)</f>
        <v>#REF!</v>
      </c>
      <c r="Y719" t="e">
        <f>_xll.BDP(#REF!,Y$2)</f>
        <v>#REF!</v>
      </c>
      <c r="Z719" t="e">
        <f>_xll.BDP(#REF!,Z$2)</f>
        <v>#REF!</v>
      </c>
      <c r="AA719" t="e">
        <f>_xll.BDP(#REF!,AA$2)</f>
        <v>#REF!</v>
      </c>
      <c r="AD719">
        <f>IF(LEFT(_xll.BDP($T719,AD$2),4)="#N/A",-1,_xll.BDP($T719,AD$2))</f>
        <v>-1</v>
      </c>
    </row>
    <row r="720" spans="10:30">
      <c r="J720" s="37"/>
      <c r="U720">
        <f>IF(LEFT(_xll.BDP($T720,U$2),4)="#N/A",0,_xll.BDP($T720,U$2))</f>
        <v>0</v>
      </c>
      <c r="V720" t="e">
        <f>_xll.BDP(#REF!,V$2)</f>
        <v>#REF!</v>
      </c>
      <c r="W720" t="e">
        <f>_xll.BDP(#REF!,W$2)</f>
        <v>#REF!</v>
      </c>
      <c r="X720" t="e">
        <f>_xll.BDP(#REF!,X$2)</f>
        <v>#REF!</v>
      </c>
      <c r="Y720" t="e">
        <f>_xll.BDP(#REF!,Y$2)</f>
        <v>#REF!</v>
      </c>
      <c r="Z720" t="e">
        <f>_xll.BDP(#REF!,Z$2)</f>
        <v>#REF!</v>
      </c>
      <c r="AA720" t="e">
        <f>_xll.BDP(#REF!,AA$2)</f>
        <v>#REF!</v>
      </c>
      <c r="AD720">
        <f>IF(LEFT(_xll.BDP($T720,AD$2),4)="#N/A",-1,_xll.BDP($T720,AD$2))</f>
        <v>-1</v>
      </c>
    </row>
    <row r="721" spans="10:30">
      <c r="J721" s="37"/>
      <c r="U721">
        <f>IF(LEFT(_xll.BDP($T721,U$2),4)="#N/A",0,_xll.BDP($T721,U$2))</f>
        <v>0</v>
      </c>
      <c r="V721" t="e">
        <f>_xll.BDP(#REF!,V$2)</f>
        <v>#REF!</v>
      </c>
      <c r="W721" t="e">
        <f>_xll.BDP(#REF!,W$2)</f>
        <v>#REF!</v>
      </c>
      <c r="X721" t="e">
        <f>_xll.BDP(#REF!,X$2)</f>
        <v>#REF!</v>
      </c>
      <c r="Y721" t="e">
        <f>_xll.BDP(#REF!,Y$2)</f>
        <v>#REF!</v>
      </c>
      <c r="Z721" t="e">
        <f>_xll.BDP(#REF!,Z$2)</f>
        <v>#REF!</v>
      </c>
      <c r="AA721" t="e">
        <f>_xll.BDP(#REF!,AA$2)</f>
        <v>#REF!</v>
      </c>
      <c r="AD721">
        <f>IF(LEFT(_xll.BDP($T721,AD$2),4)="#N/A",-1,_xll.BDP($T721,AD$2))</f>
        <v>-1</v>
      </c>
    </row>
    <row r="722" spans="10:30">
      <c r="J722" s="37"/>
      <c r="U722">
        <f>IF(LEFT(_xll.BDP($T722,U$2),4)="#N/A",0,_xll.BDP($T722,U$2))</f>
        <v>0</v>
      </c>
      <c r="V722" t="e">
        <f>_xll.BDP(#REF!,V$2)</f>
        <v>#REF!</v>
      </c>
      <c r="W722" t="e">
        <f>_xll.BDP(#REF!,W$2)</f>
        <v>#REF!</v>
      </c>
      <c r="X722" t="e">
        <f>_xll.BDP(#REF!,X$2)</f>
        <v>#REF!</v>
      </c>
      <c r="Y722" t="e">
        <f>_xll.BDP(#REF!,Y$2)</f>
        <v>#REF!</v>
      </c>
      <c r="Z722" t="e">
        <f>_xll.BDP(#REF!,Z$2)</f>
        <v>#REF!</v>
      </c>
      <c r="AA722" t="e">
        <f>_xll.BDP(#REF!,AA$2)</f>
        <v>#REF!</v>
      </c>
      <c r="AD722">
        <f>IF(LEFT(_xll.BDP($T722,AD$2),4)="#N/A",-1,_xll.BDP($T722,AD$2))</f>
        <v>-1</v>
      </c>
    </row>
    <row r="723" spans="10:30">
      <c r="J723" s="37"/>
      <c r="U723">
        <f>IF(LEFT(_xll.BDP($T723,U$2),4)="#N/A",0,_xll.BDP($T723,U$2))</f>
        <v>0</v>
      </c>
      <c r="V723" t="e">
        <f>_xll.BDP(#REF!,V$2)</f>
        <v>#REF!</v>
      </c>
      <c r="W723" t="e">
        <f>_xll.BDP(#REF!,W$2)</f>
        <v>#REF!</v>
      </c>
      <c r="X723" t="e">
        <f>_xll.BDP(#REF!,X$2)</f>
        <v>#REF!</v>
      </c>
      <c r="Y723" t="e">
        <f>_xll.BDP(#REF!,Y$2)</f>
        <v>#REF!</v>
      </c>
      <c r="Z723" t="e">
        <f>_xll.BDP(#REF!,Z$2)</f>
        <v>#REF!</v>
      </c>
      <c r="AA723" t="e">
        <f>_xll.BDP(#REF!,AA$2)</f>
        <v>#REF!</v>
      </c>
      <c r="AD723">
        <f>IF(LEFT(_xll.BDP($T723,AD$2),4)="#N/A",-1,_xll.BDP($T723,AD$2))</f>
        <v>-1</v>
      </c>
    </row>
    <row r="724" spans="10:30">
      <c r="J724" s="37"/>
      <c r="U724">
        <f>IF(LEFT(_xll.BDP($T724,U$2),4)="#N/A",0,_xll.BDP($T724,U$2))</f>
        <v>0</v>
      </c>
      <c r="V724" t="e">
        <f>_xll.BDP(#REF!,V$2)</f>
        <v>#REF!</v>
      </c>
      <c r="W724" t="e">
        <f>_xll.BDP(#REF!,W$2)</f>
        <v>#REF!</v>
      </c>
      <c r="X724" t="e">
        <f>_xll.BDP(#REF!,X$2)</f>
        <v>#REF!</v>
      </c>
      <c r="Y724" t="e">
        <f>_xll.BDP(#REF!,Y$2)</f>
        <v>#REF!</v>
      </c>
      <c r="Z724" t="e">
        <f>_xll.BDP(#REF!,Z$2)</f>
        <v>#REF!</v>
      </c>
      <c r="AA724" t="e">
        <f>_xll.BDP(#REF!,AA$2)</f>
        <v>#REF!</v>
      </c>
      <c r="AD724">
        <f>IF(LEFT(_xll.BDP($T724,AD$2),4)="#N/A",-1,_xll.BDP($T724,AD$2))</f>
        <v>-1</v>
      </c>
    </row>
    <row r="725" spans="10:30">
      <c r="J725" s="37"/>
      <c r="U725">
        <f>IF(LEFT(_xll.BDP($T725,U$2),4)="#N/A",0,_xll.BDP($T725,U$2))</f>
        <v>0</v>
      </c>
      <c r="V725" t="e">
        <f>_xll.BDP(#REF!,V$2)</f>
        <v>#REF!</v>
      </c>
      <c r="W725" t="e">
        <f>_xll.BDP(#REF!,W$2)</f>
        <v>#REF!</v>
      </c>
      <c r="X725" t="e">
        <f>_xll.BDP(#REF!,X$2)</f>
        <v>#REF!</v>
      </c>
      <c r="Y725" t="e">
        <f>_xll.BDP(#REF!,Y$2)</f>
        <v>#REF!</v>
      </c>
      <c r="Z725" t="e">
        <f>_xll.BDP(#REF!,Z$2)</f>
        <v>#REF!</v>
      </c>
      <c r="AA725" t="e">
        <f>_xll.BDP(#REF!,AA$2)</f>
        <v>#REF!</v>
      </c>
      <c r="AD725">
        <f>IF(LEFT(_xll.BDP($T725,AD$2),4)="#N/A",-1,_xll.BDP($T725,AD$2))</f>
        <v>-1</v>
      </c>
    </row>
    <row r="726" spans="10:30">
      <c r="J726" s="37"/>
      <c r="U726">
        <f>IF(LEFT(_xll.BDP($T726,U$2),4)="#N/A",0,_xll.BDP($T726,U$2))</f>
        <v>0</v>
      </c>
      <c r="V726" t="e">
        <f>_xll.BDP(#REF!,V$2)</f>
        <v>#REF!</v>
      </c>
      <c r="W726" t="e">
        <f>_xll.BDP(#REF!,W$2)</f>
        <v>#REF!</v>
      </c>
      <c r="X726" t="e">
        <f>_xll.BDP(#REF!,X$2)</f>
        <v>#REF!</v>
      </c>
      <c r="Y726" t="e">
        <f>_xll.BDP(#REF!,Y$2)</f>
        <v>#REF!</v>
      </c>
      <c r="Z726" t="e">
        <f>_xll.BDP(#REF!,Z$2)</f>
        <v>#REF!</v>
      </c>
      <c r="AA726" t="e">
        <f>_xll.BDP(#REF!,AA$2)</f>
        <v>#REF!</v>
      </c>
      <c r="AD726">
        <f>IF(LEFT(_xll.BDP($T726,AD$2),4)="#N/A",-1,_xll.BDP($T726,AD$2))</f>
        <v>-1</v>
      </c>
    </row>
    <row r="727" spans="10:30">
      <c r="J727" s="37"/>
      <c r="U727">
        <f>IF(LEFT(_xll.BDP($T727,U$2),4)="#N/A",0,_xll.BDP($T727,U$2))</f>
        <v>0</v>
      </c>
      <c r="V727" t="e">
        <f>_xll.BDP(#REF!,V$2)</f>
        <v>#REF!</v>
      </c>
      <c r="W727" t="e">
        <f>_xll.BDP(#REF!,W$2)</f>
        <v>#REF!</v>
      </c>
      <c r="X727" t="e">
        <f>_xll.BDP(#REF!,X$2)</f>
        <v>#REF!</v>
      </c>
      <c r="Y727" t="e">
        <f>_xll.BDP(#REF!,Y$2)</f>
        <v>#REF!</v>
      </c>
      <c r="Z727" t="e">
        <f>_xll.BDP(#REF!,Z$2)</f>
        <v>#REF!</v>
      </c>
      <c r="AA727" t="e">
        <f>_xll.BDP(#REF!,AA$2)</f>
        <v>#REF!</v>
      </c>
      <c r="AD727">
        <f>IF(LEFT(_xll.BDP($T727,AD$2),4)="#N/A",-1,_xll.BDP($T727,AD$2))</f>
        <v>-1</v>
      </c>
    </row>
    <row r="728" spans="10:30">
      <c r="J728" s="37"/>
      <c r="U728">
        <f>IF(LEFT(_xll.BDP($T728,U$2),4)="#N/A",0,_xll.BDP($T728,U$2))</f>
        <v>0</v>
      </c>
      <c r="V728" t="e">
        <f>_xll.BDP(#REF!,V$2)</f>
        <v>#REF!</v>
      </c>
      <c r="W728" t="e">
        <f>_xll.BDP(#REF!,W$2)</f>
        <v>#REF!</v>
      </c>
      <c r="X728" t="e">
        <f>_xll.BDP(#REF!,X$2)</f>
        <v>#REF!</v>
      </c>
      <c r="Y728" t="e">
        <f>_xll.BDP(#REF!,Y$2)</f>
        <v>#REF!</v>
      </c>
      <c r="Z728" t="e">
        <f>_xll.BDP(#REF!,Z$2)</f>
        <v>#REF!</v>
      </c>
      <c r="AA728" t="e">
        <f>_xll.BDP(#REF!,AA$2)</f>
        <v>#REF!</v>
      </c>
      <c r="AD728">
        <f>IF(LEFT(_xll.BDP($T728,AD$2),4)="#N/A",-1,_xll.BDP($T728,AD$2))</f>
        <v>-1</v>
      </c>
    </row>
    <row r="729" spans="10:30">
      <c r="J729" s="37"/>
      <c r="U729">
        <f>IF(LEFT(_xll.BDP($T729,U$2),4)="#N/A",0,_xll.BDP($T729,U$2))</f>
        <v>0</v>
      </c>
      <c r="V729" t="e">
        <f>_xll.BDP(#REF!,V$2)</f>
        <v>#REF!</v>
      </c>
      <c r="W729" t="e">
        <f>_xll.BDP(#REF!,W$2)</f>
        <v>#REF!</v>
      </c>
      <c r="X729" t="e">
        <f>_xll.BDP(#REF!,X$2)</f>
        <v>#REF!</v>
      </c>
      <c r="Y729" t="e">
        <f>_xll.BDP(#REF!,Y$2)</f>
        <v>#REF!</v>
      </c>
      <c r="Z729" t="e">
        <f>_xll.BDP(#REF!,Z$2)</f>
        <v>#REF!</v>
      </c>
      <c r="AA729" t="e">
        <f>_xll.BDP(#REF!,AA$2)</f>
        <v>#REF!</v>
      </c>
      <c r="AD729">
        <f>IF(LEFT(_xll.BDP($T729,AD$2),4)="#N/A",-1,_xll.BDP($T729,AD$2))</f>
        <v>-1</v>
      </c>
    </row>
    <row r="730" spans="10:30">
      <c r="J730" s="37"/>
      <c r="U730">
        <f>IF(LEFT(_xll.BDP($T730,U$2),4)="#N/A",0,_xll.BDP($T730,U$2))</f>
        <v>0</v>
      </c>
      <c r="V730" t="e">
        <f>_xll.BDP(#REF!,V$2)</f>
        <v>#REF!</v>
      </c>
      <c r="W730" t="e">
        <f>_xll.BDP(#REF!,W$2)</f>
        <v>#REF!</v>
      </c>
      <c r="X730" t="e">
        <f>_xll.BDP(#REF!,X$2)</f>
        <v>#REF!</v>
      </c>
      <c r="Y730" t="e">
        <f>_xll.BDP(#REF!,Y$2)</f>
        <v>#REF!</v>
      </c>
      <c r="Z730" t="e">
        <f>_xll.BDP(#REF!,Z$2)</f>
        <v>#REF!</v>
      </c>
      <c r="AA730" t="e">
        <f>_xll.BDP(#REF!,AA$2)</f>
        <v>#REF!</v>
      </c>
      <c r="AD730">
        <f>IF(LEFT(_xll.BDP($T730,AD$2),4)="#N/A",-1,_xll.BDP($T730,AD$2))</f>
        <v>-1</v>
      </c>
    </row>
    <row r="731" spans="10:30">
      <c r="J731" s="37"/>
      <c r="U731">
        <f>IF(LEFT(_xll.BDP($T731,U$2),4)="#N/A",0,_xll.BDP($T731,U$2))</f>
        <v>0</v>
      </c>
      <c r="V731" t="e">
        <f>_xll.BDP(#REF!,V$2)</f>
        <v>#REF!</v>
      </c>
      <c r="W731" t="e">
        <f>_xll.BDP(#REF!,W$2)</f>
        <v>#REF!</v>
      </c>
      <c r="X731" t="e">
        <f>_xll.BDP(#REF!,X$2)</f>
        <v>#REF!</v>
      </c>
      <c r="Y731" t="e">
        <f>_xll.BDP(#REF!,Y$2)</f>
        <v>#REF!</v>
      </c>
      <c r="Z731" t="e">
        <f>_xll.BDP(#REF!,Z$2)</f>
        <v>#REF!</v>
      </c>
      <c r="AA731" t="e">
        <f>_xll.BDP(#REF!,AA$2)</f>
        <v>#REF!</v>
      </c>
      <c r="AD731">
        <f>IF(LEFT(_xll.BDP($T731,AD$2),4)="#N/A",-1,_xll.BDP($T731,AD$2))</f>
        <v>-1</v>
      </c>
    </row>
    <row r="732" spans="10:30">
      <c r="J732" s="37"/>
      <c r="U732">
        <f>IF(LEFT(_xll.BDP($T732,U$2),4)="#N/A",0,_xll.BDP($T732,U$2))</f>
        <v>0</v>
      </c>
      <c r="V732" t="e">
        <f>_xll.BDP(#REF!,V$2)</f>
        <v>#REF!</v>
      </c>
      <c r="W732" t="e">
        <f>_xll.BDP(#REF!,W$2)</f>
        <v>#REF!</v>
      </c>
      <c r="X732" t="e">
        <f>_xll.BDP(#REF!,X$2)</f>
        <v>#REF!</v>
      </c>
      <c r="Y732" t="e">
        <f>_xll.BDP(#REF!,Y$2)</f>
        <v>#REF!</v>
      </c>
      <c r="Z732" t="e">
        <f>_xll.BDP(#REF!,Z$2)</f>
        <v>#REF!</v>
      </c>
      <c r="AA732" t="e">
        <f>_xll.BDP(#REF!,AA$2)</f>
        <v>#REF!</v>
      </c>
      <c r="AD732">
        <f>IF(LEFT(_xll.BDP($T732,AD$2),4)="#N/A",-1,_xll.BDP($T732,AD$2))</f>
        <v>-1</v>
      </c>
    </row>
    <row r="733" spans="10:30">
      <c r="J733" s="37"/>
      <c r="U733">
        <f>IF(LEFT(_xll.BDP($T733,U$2),4)="#N/A",0,_xll.BDP($T733,U$2))</f>
        <v>0</v>
      </c>
      <c r="V733" t="e">
        <f>_xll.BDP(#REF!,V$2)</f>
        <v>#REF!</v>
      </c>
      <c r="W733" t="e">
        <f>_xll.BDP(#REF!,W$2)</f>
        <v>#REF!</v>
      </c>
      <c r="X733" t="e">
        <f>_xll.BDP(#REF!,X$2)</f>
        <v>#REF!</v>
      </c>
      <c r="Y733" t="e">
        <f>_xll.BDP(#REF!,Y$2)</f>
        <v>#REF!</v>
      </c>
      <c r="Z733" t="e">
        <f>_xll.BDP(#REF!,Z$2)</f>
        <v>#REF!</v>
      </c>
      <c r="AA733" t="e">
        <f>_xll.BDP(#REF!,AA$2)</f>
        <v>#REF!</v>
      </c>
      <c r="AD733">
        <f>IF(LEFT(_xll.BDP($T733,AD$2),4)="#N/A",-1,_xll.BDP($T733,AD$2))</f>
        <v>-1</v>
      </c>
    </row>
    <row r="734" spans="10:30">
      <c r="J734" s="37"/>
      <c r="U734">
        <f>IF(LEFT(_xll.BDP($T734,U$2),4)="#N/A",0,_xll.BDP($T734,U$2))</f>
        <v>0</v>
      </c>
      <c r="V734" t="e">
        <f>_xll.BDP(#REF!,V$2)</f>
        <v>#REF!</v>
      </c>
      <c r="W734" t="e">
        <f>_xll.BDP(#REF!,W$2)</f>
        <v>#REF!</v>
      </c>
      <c r="X734" t="e">
        <f>_xll.BDP(#REF!,X$2)</f>
        <v>#REF!</v>
      </c>
      <c r="Y734" t="e">
        <f>_xll.BDP(#REF!,Y$2)</f>
        <v>#REF!</v>
      </c>
      <c r="Z734" t="e">
        <f>_xll.BDP(#REF!,Z$2)</f>
        <v>#REF!</v>
      </c>
      <c r="AA734" t="e">
        <f>_xll.BDP(#REF!,AA$2)</f>
        <v>#REF!</v>
      </c>
      <c r="AD734">
        <f>IF(LEFT(_xll.BDP($T734,AD$2),4)="#N/A",-1,_xll.BDP($T734,AD$2))</f>
        <v>-1</v>
      </c>
    </row>
    <row r="735" spans="10:30">
      <c r="J735" s="37"/>
      <c r="U735">
        <f>IF(LEFT(_xll.BDP($T735,U$2),4)="#N/A",0,_xll.BDP($T735,U$2))</f>
        <v>0</v>
      </c>
      <c r="V735" t="e">
        <f>_xll.BDP(#REF!,V$2)</f>
        <v>#REF!</v>
      </c>
      <c r="W735" t="e">
        <f>_xll.BDP(#REF!,W$2)</f>
        <v>#REF!</v>
      </c>
      <c r="X735" t="e">
        <f>_xll.BDP(#REF!,X$2)</f>
        <v>#REF!</v>
      </c>
      <c r="Y735" t="e">
        <f>_xll.BDP(#REF!,Y$2)</f>
        <v>#REF!</v>
      </c>
      <c r="Z735" t="e">
        <f>_xll.BDP(#REF!,Z$2)</f>
        <v>#REF!</v>
      </c>
      <c r="AA735" t="e">
        <f>_xll.BDP(#REF!,AA$2)</f>
        <v>#REF!</v>
      </c>
      <c r="AD735">
        <f>IF(LEFT(_xll.BDP($T735,AD$2),4)="#N/A",-1,_xll.BDP($T735,AD$2))</f>
        <v>-1</v>
      </c>
    </row>
    <row r="736" spans="10:30">
      <c r="J736" s="37"/>
      <c r="U736">
        <f>IF(LEFT(_xll.BDP($T736,U$2),4)="#N/A",0,_xll.BDP($T736,U$2))</f>
        <v>0</v>
      </c>
      <c r="V736" t="e">
        <f>_xll.BDP(#REF!,V$2)</f>
        <v>#REF!</v>
      </c>
      <c r="W736" t="e">
        <f>_xll.BDP(#REF!,W$2)</f>
        <v>#REF!</v>
      </c>
      <c r="X736" t="e">
        <f>_xll.BDP(#REF!,X$2)</f>
        <v>#REF!</v>
      </c>
      <c r="Y736" t="e">
        <f>_xll.BDP(#REF!,Y$2)</f>
        <v>#REF!</v>
      </c>
      <c r="Z736" t="e">
        <f>_xll.BDP(#REF!,Z$2)</f>
        <v>#REF!</v>
      </c>
      <c r="AA736" t="e">
        <f>_xll.BDP(#REF!,AA$2)</f>
        <v>#REF!</v>
      </c>
      <c r="AD736">
        <f>IF(LEFT(_xll.BDP($T736,AD$2),4)="#N/A",-1,_xll.BDP($T736,AD$2))</f>
        <v>-1</v>
      </c>
    </row>
    <row r="737" spans="10:30">
      <c r="J737" s="37"/>
      <c r="U737">
        <f>IF(LEFT(_xll.BDP($T737,U$2),4)="#N/A",0,_xll.BDP($T737,U$2))</f>
        <v>0</v>
      </c>
      <c r="V737" t="e">
        <f>_xll.BDP(#REF!,V$2)</f>
        <v>#REF!</v>
      </c>
      <c r="W737" t="e">
        <f>_xll.BDP(#REF!,W$2)</f>
        <v>#REF!</v>
      </c>
      <c r="X737" t="e">
        <f>_xll.BDP(#REF!,X$2)</f>
        <v>#REF!</v>
      </c>
      <c r="Y737" t="e">
        <f>_xll.BDP(#REF!,Y$2)</f>
        <v>#REF!</v>
      </c>
      <c r="Z737" t="e">
        <f>_xll.BDP(#REF!,Z$2)</f>
        <v>#REF!</v>
      </c>
      <c r="AA737" t="e">
        <f>_xll.BDP(#REF!,AA$2)</f>
        <v>#REF!</v>
      </c>
      <c r="AD737">
        <f>IF(LEFT(_xll.BDP($T737,AD$2),4)="#N/A",-1,_xll.BDP($T737,AD$2))</f>
        <v>-1</v>
      </c>
    </row>
    <row r="738" spans="10:30">
      <c r="J738" s="37"/>
      <c r="U738">
        <f>IF(LEFT(_xll.BDP($T738,U$2),4)="#N/A",0,_xll.BDP($T738,U$2))</f>
        <v>0</v>
      </c>
      <c r="V738" t="e">
        <f>_xll.BDP(#REF!,V$2)</f>
        <v>#REF!</v>
      </c>
      <c r="W738" t="e">
        <f>_xll.BDP(#REF!,W$2)</f>
        <v>#REF!</v>
      </c>
      <c r="X738" t="e">
        <f>_xll.BDP(#REF!,X$2)</f>
        <v>#REF!</v>
      </c>
      <c r="Y738" t="e">
        <f>_xll.BDP(#REF!,Y$2)</f>
        <v>#REF!</v>
      </c>
      <c r="Z738" t="e">
        <f>_xll.BDP(#REF!,Z$2)</f>
        <v>#REF!</v>
      </c>
      <c r="AA738" t="e">
        <f>_xll.BDP(#REF!,AA$2)</f>
        <v>#REF!</v>
      </c>
      <c r="AD738">
        <f>IF(LEFT(_xll.BDP($T738,AD$2),4)="#N/A",-1,_xll.BDP($T738,AD$2))</f>
        <v>-1</v>
      </c>
    </row>
    <row r="739" spans="10:30">
      <c r="J739" s="37"/>
      <c r="U739">
        <f>IF(LEFT(_xll.BDP($T739,U$2),4)="#N/A",0,_xll.BDP($T739,U$2))</f>
        <v>0</v>
      </c>
      <c r="V739" t="e">
        <f>_xll.BDP(#REF!,V$2)</f>
        <v>#REF!</v>
      </c>
      <c r="W739" t="e">
        <f>_xll.BDP(#REF!,W$2)</f>
        <v>#REF!</v>
      </c>
      <c r="X739" t="e">
        <f>_xll.BDP(#REF!,X$2)</f>
        <v>#REF!</v>
      </c>
      <c r="Y739" t="e">
        <f>_xll.BDP(#REF!,Y$2)</f>
        <v>#REF!</v>
      </c>
      <c r="Z739" t="e">
        <f>_xll.BDP(#REF!,Z$2)</f>
        <v>#REF!</v>
      </c>
      <c r="AA739" t="e">
        <f>_xll.BDP(#REF!,AA$2)</f>
        <v>#REF!</v>
      </c>
      <c r="AD739">
        <f>IF(LEFT(_xll.BDP($T739,AD$2),4)="#N/A",-1,_xll.BDP($T739,AD$2))</f>
        <v>-1</v>
      </c>
    </row>
    <row r="740" spans="10:30">
      <c r="J740" s="37"/>
      <c r="U740">
        <f>IF(LEFT(_xll.BDP($T740,U$2),4)="#N/A",0,_xll.BDP($T740,U$2))</f>
        <v>0</v>
      </c>
      <c r="V740" t="e">
        <f>_xll.BDP(#REF!,V$2)</f>
        <v>#REF!</v>
      </c>
      <c r="W740" t="e">
        <f>_xll.BDP(#REF!,W$2)</f>
        <v>#REF!</v>
      </c>
      <c r="X740" t="e">
        <f>_xll.BDP(#REF!,X$2)</f>
        <v>#REF!</v>
      </c>
      <c r="Y740" t="e">
        <f>_xll.BDP(#REF!,Y$2)</f>
        <v>#REF!</v>
      </c>
      <c r="Z740" t="e">
        <f>_xll.BDP(#REF!,Z$2)</f>
        <v>#REF!</v>
      </c>
      <c r="AA740" t="e">
        <f>_xll.BDP(#REF!,AA$2)</f>
        <v>#REF!</v>
      </c>
      <c r="AD740">
        <f>IF(LEFT(_xll.BDP($T740,AD$2),4)="#N/A",-1,_xll.BDP($T740,AD$2))</f>
        <v>-1</v>
      </c>
    </row>
    <row r="741" spans="10:30">
      <c r="J741" s="37"/>
      <c r="U741">
        <f>IF(LEFT(_xll.BDP($T741,U$2),4)="#N/A",0,_xll.BDP($T741,U$2))</f>
        <v>0</v>
      </c>
      <c r="V741" t="e">
        <f>_xll.BDP(#REF!,V$2)</f>
        <v>#REF!</v>
      </c>
      <c r="W741" t="e">
        <f>_xll.BDP(#REF!,W$2)</f>
        <v>#REF!</v>
      </c>
      <c r="X741" t="e">
        <f>_xll.BDP(#REF!,X$2)</f>
        <v>#REF!</v>
      </c>
      <c r="Y741" t="e">
        <f>_xll.BDP(#REF!,Y$2)</f>
        <v>#REF!</v>
      </c>
      <c r="Z741" t="e">
        <f>_xll.BDP(#REF!,Z$2)</f>
        <v>#REF!</v>
      </c>
      <c r="AA741" t="e">
        <f>_xll.BDP(#REF!,AA$2)</f>
        <v>#REF!</v>
      </c>
      <c r="AD741">
        <f>IF(LEFT(_xll.BDP($T741,AD$2),4)="#N/A",-1,_xll.BDP($T741,AD$2))</f>
        <v>-1</v>
      </c>
    </row>
    <row r="742" spans="10:30">
      <c r="J742" s="37"/>
      <c r="U742">
        <f>IF(LEFT(_xll.BDP($T742,U$2),4)="#N/A",0,_xll.BDP($T742,U$2))</f>
        <v>0</v>
      </c>
      <c r="V742" t="e">
        <f>_xll.BDP(#REF!,V$2)</f>
        <v>#REF!</v>
      </c>
      <c r="W742" t="e">
        <f>_xll.BDP(#REF!,W$2)</f>
        <v>#REF!</v>
      </c>
      <c r="X742" t="e">
        <f>_xll.BDP(#REF!,X$2)</f>
        <v>#REF!</v>
      </c>
      <c r="Y742" t="e">
        <f>_xll.BDP(#REF!,Y$2)</f>
        <v>#REF!</v>
      </c>
      <c r="Z742" t="e">
        <f>_xll.BDP(#REF!,Z$2)</f>
        <v>#REF!</v>
      </c>
      <c r="AA742" t="e">
        <f>_xll.BDP(#REF!,AA$2)</f>
        <v>#REF!</v>
      </c>
      <c r="AD742">
        <f>IF(LEFT(_xll.BDP($T742,AD$2),4)="#N/A",-1,_xll.BDP($T742,AD$2))</f>
        <v>-1</v>
      </c>
    </row>
    <row r="743" spans="10:30">
      <c r="J743" s="37"/>
      <c r="U743">
        <f>IF(LEFT(_xll.BDP($T743,U$2),4)="#N/A",0,_xll.BDP($T743,U$2))</f>
        <v>0</v>
      </c>
      <c r="V743" t="e">
        <f>_xll.BDP(#REF!,V$2)</f>
        <v>#REF!</v>
      </c>
      <c r="W743" t="e">
        <f>_xll.BDP(#REF!,W$2)</f>
        <v>#REF!</v>
      </c>
      <c r="X743" t="e">
        <f>_xll.BDP(#REF!,X$2)</f>
        <v>#REF!</v>
      </c>
      <c r="Y743" t="e">
        <f>_xll.BDP(#REF!,Y$2)</f>
        <v>#REF!</v>
      </c>
      <c r="Z743" t="e">
        <f>_xll.BDP(#REF!,Z$2)</f>
        <v>#REF!</v>
      </c>
      <c r="AA743" t="e">
        <f>_xll.BDP(#REF!,AA$2)</f>
        <v>#REF!</v>
      </c>
      <c r="AD743">
        <f>IF(LEFT(_xll.BDP($T743,AD$2),4)="#N/A",-1,_xll.BDP($T743,AD$2))</f>
        <v>-1</v>
      </c>
    </row>
    <row r="744" spans="10:30">
      <c r="J744" s="37"/>
      <c r="U744">
        <f>IF(LEFT(_xll.BDP($T744,U$2),4)="#N/A",0,_xll.BDP($T744,U$2))</f>
        <v>0</v>
      </c>
      <c r="V744" t="e">
        <f>_xll.BDP(#REF!,V$2)</f>
        <v>#REF!</v>
      </c>
      <c r="W744" t="e">
        <f>_xll.BDP(#REF!,W$2)</f>
        <v>#REF!</v>
      </c>
      <c r="X744" t="e">
        <f>_xll.BDP(#REF!,X$2)</f>
        <v>#REF!</v>
      </c>
      <c r="Y744" t="e">
        <f>_xll.BDP(#REF!,Y$2)</f>
        <v>#REF!</v>
      </c>
      <c r="Z744" t="e">
        <f>_xll.BDP(#REF!,Z$2)</f>
        <v>#REF!</v>
      </c>
      <c r="AA744" t="e">
        <f>_xll.BDP(#REF!,AA$2)</f>
        <v>#REF!</v>
      </c>
      <c r="AD744">
        <f>IF(LEFT(_xll.BDP($T744,AD$2),4)="#N/A",-1,_xll.BDP($T744,AD$2))</f>
        <v>-1</v>
      </c>
    </row>
    <row r="745" spans="10:30">
      <c r="J745" s="37"/>
      <c r="U745">
        <f>IF(LEFT(_xll.BDP($T745,U$2),4)="#N/A",0,_xll.BDP($T745,U$2))</f>
        <v>0</v>
      </c>
      <c r="V745" t="e">
        <f>_xll.BDP(#REF!,V$2)</f>
        <v>#REF!</v>
      </c>
      <c r="W745" t="e">
        <f>_xll.BDP(#REF!,W$2)</f>
        <v>#REF!</v>
      </c>
      <c r="X745" t="e">
        <f>_xll.BDP(#REF!,X$2)</f>
        <v>#REF!</v>
      </c>
      <c r="Y745" t="e">
        <f>_xll.BDP(#REF!,Y$2)</f>
        <v>#REF!</v>
      </c>
      <c r="Z745" t="e">
        <f>_xll.BDP(#REF!,Z$2)</f>
        <v>#REF!</v>
      </c>
      <c r="AA745" t="e">
        <f>_xll.BDP(#REF!,AA$2)</f>
        <v>#REF!</v>
      </c>
      <c r="AD745">
        <f>IF(LEFT(_xll.BDP($T745,AD$2),4)="#N/A",-1,_xll.BDP($T745,AD$2))</f>
        <v>-1</v>
      </c>
    </row>
    <row r="746" spans="10:30">
      <c r="J746" s="37"/>
      <c r="U746">
        <f>IF(LEFT(_xll.BDP($T746,U$2),4)="#N/A",0,_xll.BDP($T746,U$2))</f>
        <v>0</v>
      </c>
      <c r="V746" t="e">
        <f>_xll.BDP(#REF!,V$2)</f>
        <v>#REF!</v>
      </c>
      <c r="W746" t="e">
        <f>_xll.BDP(#REF!,W$2)</f>
        <v>#REF!</v>
      </c>
      <c r="X746" t="e">
        <f>_xll.BDP(#REF!,X$2)</f>
        <v>#REF!</v>
      </c>
      <c r="Y746" t="e">
        <f>_xll.BDP(#REF!,Y$2)</f>
        <v>#REF!</v>
      </c>
      <c r="Z746" t="e">
        <f>_xll.BDP(#REF!,Z$2)</f>
        <v>#REF!</v>
      </c>
      <c r="AA746" t="e">
        <f>_xll.BDP(#REF!,AA$2)</f>
        <v>#REF!</v>
      </c>
      <c r="AD746">
        <f>IF(LEFT(_xll.BDP($T746,AD$2),4)="#N/A",-1,_xll.BDP($T746,AD$2))</f>
        <v>-1</v>
      </c>
    </row>
    <row r="747" spans="10:30">
      <c r="J747" s="37"/>
      <c r="U747">
        <f>IF(LEFT(_xll.BDP($T747,U$2),4)="#N/A",0,_xll.BDP($T747,U$2))</f>
        <v>0</v>
      </c>
      <c r="V747" t="e">
        <f>_xll.BDP(#REF!,V$2)</f>
        <v>#REF!</v>
      </c>
      <c r="W747" t="e">
        <f>_xll.BDP(#REF!,W$2)</f>
        <v>#REF!</v>
      </c>
      <c r="X747" t="e">
        <f>_xll.BDP(#REF!,X$2)</f>
        <v>#REF!</v>
      </c>
      <c r="Y747" t="e">
        <f>_xll.BDP(#REF!,Y$2)</f>
        <v>#REF!</v>
      </c>
      <c r="Z747" t="e">
        <f>_xll.BDP(#REF!,Z$2)</f>
        <v>#REF!</v>
      </c>
      <c r="AA747" t="e">
        <f>_xll.BDP(#REF!,AA$2)</f>
        <v>#REF!</v>
      </c>
      <c r="AD747">
        <f>IF(LEFT(_xll.BDP($T747,AD$2),4)="#N/A",-1,_xll.BDP($T747,AD$2))</f>
        <v>-1</v>
      </c>
    </row>
    <row r="748" spans="10:30">
      <c r="J748" s="37"/>
      <c r="U748">
        <f>IF(LEFT(_xll.BDP($T748,U$2),4)="#N/A",0,_xll.BDP($T748,U$2))</f>
        <v>0</v>
      </c>
      <c r="V748" t="e">
        <f>_xll.BDP(#REF!,V$2)</f>
        <v>#REF!</v>
      </c>
      <c r="W748" t="e">
        <f>_xll.BDP(#REF!,W$2)</f>
        <v>#REF!</v>
      </c>
      <c r="X748" t="e">
        <f>_xll.BDP(#REF!,X$2)</f>
        <v>#REF!</v>
      </c>
      <c r="Y748" t="e">
        <f>_xll.BDP(#REF!,Y$2)</f>
        <v>#REF!</v>
      </c>
      <c r="Z748" t="e">
        <f>_xll.BDP(#REF!,Z$2)</f>
        <v>#REF!</v>
      </c>
      <c r="AA748" t="e">
        <f>_xll.BDP(#REF!,AA$2)</f>
        <v>#REF!</v>
      </c>
      <c r="AD748">
        <f>IF(LEFT(_xll.BDP($T748,AD$2),4)="#N/A",-1,_xll.BDP($T748,AD$2))</f>
        <v>-1</v>
      </c>
    </row>
    <row r="749" spans="10:30">
      <c r="J749" s="37"/>
      <c r="U749">
        <f>IF(LEFT(_xll.BDP($T749,U$2),4)="#N/A",0,_xll.BDP($T749,U$2))</f>
        <v>0</v>
      </c>
      <c r="V749" t="e">
        <f>_xll.BDP(#REF!,V$2)</f>
        <v>#REF!</v>
      </c>
      <c r="W749" t="e">
        <f>_xll.BDP(#REF!,W$2)</f>
        <v>#REF!</v>
      </c>
      <c r="X749" t="e">
        <f>_xll.BDP(#REF!,X$2)</f>
        <v>#REF!</v>
      </c>
      <c r="Y749" t="e">
        <f>_xll.BDP(#REF!,Y$2)</f>
        <v>#REF!</v>
      </c>
      <c r="Z749" t="e">
        <f>_xll.BDP(#REF!,Z$2)</f>
        <v>#REF!</v>
      </c>
      <c r="AA749" t="e">
        <f>_xll.BDP(#REF!,AA$2)</f>
        <v>#REF!</v>
      </c>
      <c r="AD749">
        <f>IF(LEFT(_xll.BDP($T749,AD$2),4)="#N/A",-1,_xll.BDP($T749,AD$2))</f>
        <v>-1</v>
      </c>
    </row>
    <row r="750" spans="10:30">
      <c r="J750" s="37"/>
      <c r="U750">
        <f>IF(LEFT(_xll.BDP($T750,U$2),4)="#N/A",0,_xll.BDP($T750,U$2))</f>
        <v>0</v>
      </c>
      <c r="V750" t="e">
        <f>_xll.BDP(#REF!,V$2)</f>
        <v>#REF!</v>
      </c>
      <c r="W750" t="e">
        <f>_xll.BDP(#REF!,W$2)</f>
        <v>#REF!</v>
      </c>
      <c r="X750" t="e">
        <f>_xll.BDP(#REF!,X$2)</f>
        <v>#REF!</v>
      </c>
      <c r="Y750" t="e">
        <f>_xll.BDP(#REF!,Y$2)</f>
        <v>#REF!</v>
      </c>
      <c r="Z750" t="e">
        <f>_xll.BDP(#REF!,Z$2)</f>
        <v>#REF!</v>
      </c>
      <c r="AA750" t="e">
        <f>_xll.BDP(#REF!,AA$2)</f>
        <v>#REF!</v>
      </c>
      <c r="AD750">
        <f>IF(LEFT(_xll.BDP($T750,AD$2),4)="#N/A",-1,_xll.BDP($T750,AD$2))</f>
        <v>-1</v>
      </c>
    </row>
    <row r="751" spans="10:30">
      <c r="J751" s="37"/>
      <c r="U751">
        <f>IF(LEFT(_xll.BDP($T751,U$2),4)="#N/A",0,_xll.BDP($T751,U$2))</f>
        <v>0</v>
      </c>
      <c r="V751" t="e">
        <f>_xll.BDP(#REF!,V$2)</f>
        <v>#REF!</v>
      </c>
      <c r="W751" t="e">
        <f>_xll.BDP(#REF!,W$2)</f>
        <v>#REF!</v>
      </c>
      <c r="X751" t="e">
        <f>_xll.BDP(#REF!,X$2)</f>
        <v>#REF!</v>
      </c>
      <c r="Y751" t="e">
        <f>_xll.BDP(#REF!,Y$2)</f>
        <v>#REF!</v>
      </c>
      <c r="Z751" t="e">
        <f>_xll.BDP(#REF!,Z$2)</f>
        <v>#REF!</v>
      </c>
      <c r="AA751" t="e">
        <f>_xll.BDP(#REF!,AA$2)</f>
        <v>#REF!</v>
      </c>
      <c r="AD751">
        <f>IF(LEFT(_xll.BDP($T751,AD$2),4)="#N/A",-1,_xll.BDP($T751,AD$2))</f>
        <v>-1</v>
      </c>
    </row>
    <row r="752" spans="10:30">
      <c r="J752" s="37"/>
      <c r="U752">
        <f>IF(LEFT(_xll.BDP($T752,U$2),4)="#N/A",0,_xll.BDP($T752,U$2))</f>
        <v>0</v>
      </c>
      <c r="V752" t="e">
        <f>_xll.BDP(#REF!,V$2)</f>
        <v>#REF!</v>
      </c>
      <c r="W752" t="e">
        <f>_xll.BDP(#REF!,W$2)</f>
        <v>#REF!</v>
      </c>
      <c r="X752" t="e">
        <f>_xll.BDP(#REF!,X$2)</f>
        <v>#REF!</v>
      </c>
      <c r="Y752" t="e">
        <f>_xll.BDP(#REF!,Y$2)</f>
        <v>#REF!</v>
      </c>
      <c r="Z752" t="e">
        <f>_xll.BDP(#REF!,Z$2)</f>
        <v>#REF!</v>
      </c>
      <c r="AA752" t="e">
        <f>_xll.BDP(#REF!,AA$2)</f>
        <v>#REF!</v>
      </c>
      <c r="AD752">
        <f>IF(LEFT(_xll.BDP($T752,AD$2),4)="#N/A",-1,_xll.BDP($T752,AD$2))</f>
        <v>-1</v>
      </c>
    </row>
    <row r="753" spans="10:30">
      <c r="J753" s="37"/>
      <c r="U753">
        <f>IF(LEFT(_xll.BDP($T753,U$2),4)="#N/A",0,_xll.BDP($T753,U$2))</f>
        <v>0</v>
      </c>
      <c r="V753" t="e">
        <f>_xll.BDP(#REF!,V$2)</f>
        <v>#REF!</v>
      </c>
      <c r="W753" t="e">
        <f>_xll.BDP(#REF!,W$2)</f>
        <v>#REF!</v>
      </c>
      <c r="X753" t="e">
        <f>_xll.BDP(#REF!,X$2)</f>
        <v>#REF!</v>
      </c>
      <c r="Y753" t="e">
        <f>_xll.BDP(#REF!,Y$2)</f>
        <v>#REF!</v>
      </c>
      <c r="Z753" t="e">
        <f>_xll.BDP(#REF!,Z$2)</f>
        <v>#REF!</v>
      </c>
      <c r="AA753" t="e">
        <f>_xll.BDP(#REF!,AA$2)</f>
        <v>#REF!</v>
      </c>
      <c r="AD753">
        <f>IF(LEFT(_xll.BDP($T753,AD$2),4)="#N/A",-1,_xll.BDP($T753,AD$2))</f>
        <v>-1</v>
      </c>
    </row>
    <row r="754" spans="10:30">
      <c r="J754" s="37"/>
      <c r="U754">
        <f>IF(LEFT(_xll.BDP($T754,U$2),4)="#N/A",0,_xll.BDP($T754,U$2))</f>
        <v>0</v>
      </c>
      <c r="V754" t="e">
        <f>_xll.BDP(#REF!,V$2)</f>
        <v>#REF!</v>
      </c>
      <c r="W754" t="e">
        <f>_xll.BDP(#REF!,W$2)</f>
        <v>#REF!</v>
      </c>
      <c r="X754" t="e">
        <f>_xll.BDP(#REF!,X$2)</f>
        <v>#REF!</v>
      </c>
      <c r="Y754" t="e">
        <f>_xll.BDP(#REF!,Y$2)</f>
        <v>#REF!</v>
      </c>
      <c r="Z754" t="e">
        <f>_xll.BDP(#REF!,Z$2)</f>
        <v>#REF!</v>
      </c>
      <c r="AA754" t="e">
        <f>_xll.BDP(#REF!,AA$2)</f>
        <v>#REF!</v>
      </c>
      <c r="AD754">
        <f>IF(LEFT(_xll.BDP($T754,AD$2),4)="#N/A",-1,_xll.BDP($T754,AD$2))</f>
        <v>-1</v>
      </c>
    </row>
    <row r="755" spans="10:30">
      <c r="J755" s="37"/>
      <c r="U755">
        <f>IF(LEFT(_xll.BDP($T755,U$2),4)="#N/A",0,_xll.BDP($T755,U$2))</f>
        <v>0</v>
      </c>
      <c r="V755" t="e">
        <f>_xll.BDP(#REF!,V$2)</f>
        <v>#REF!</v>
      </c>
      <c r="W755" t="e">
        <f>_xll.BDP(#REF!,W$2)</f>
        <v>#REF!</v>
      </c>
      <c r="X755" t="e">
        <f>_xll.BDP(#REF!,X$2)</f>
        <v>#REF!</v>
      </c>
      <c r="Y755" t="e">
        <f>_xll.BDP(#REF!,Y$2)</f>
        <v>#REF!</v>
      </c>
      <c r="Z755" t="e">
        <f>_xll.BDP(#REF!,Z$2)</f>
        <v>#REF!</v>
      </c>
      <c r="AA755" t="e">
        <f>_xll.BDP(#REF!,AA$2)</f>
        <v>#REF!</v>
      </c>
      <c r="AD755">
        <f>IF(LEFT(_xll.BDP($T755,AD$2),4)="#N/A",-1,_xll.BDP($T755,AD$2))</f>
        <v>-1</v>
      </c>
    </row>
    <row r="756" spans="10:30">
      <c r="J756" s="37"/>
      <c r="U756">
        <f>IF(LEFT(_xll.BDP($T756,U$2),4)="#N/A",0,_xll.BDP($T756,U$2))</f>
        <v>0</v>
      </c>
      <c r="V756" t="e">
        <f>_xll.BDP(#REF!,V$2)</f>
        <v>#REF!</v>
      </c>
      <c r="W756" t="e">
        <f>_xll.BDP(#REF!,W$2)</f>
        <v>#REF!</v>
      </c>
      <c r="X756" t="e">
        <f>_xll.BDP(#REF!,X$2)</f>
        <v>#REF!</v>
      </c>
      <c r="Y756" t="e">
        <f>_xll.BDP(#REF!,Y$2)</f>
        <v>#REF!</v>
      </c>
      <c r="Z756" t="e">
        <f>_xll.BDP(#REF!,Z$2)</f>
        <v>#REF!</v>
      </c>
      <c r="AA756" t="e">
        <f>_xll.BDP(#REF!,AA$2)</f>
        <v>#REF!</v>
      </c>
      <c r="AD756">
        <f>IF(LEFT(_xll.BDP($T756,AD$2),4)="#N/A",-1,_xll.BDP($T756,AD$2))</f>
        <v>-1</v>
      </c>
    </row>
    <row r="757" spans="10:30">
      <c r="J757" s="37"/>
      <c r="U757">
        <f>IF(LEFT(_xll.BDP($T757,U$2),4)="#N/A",0,_xll.BDP($T757,U$2))</f>
        <v>0</v>
      </c>
      <c r="V757" t="e">
        <f>_xll.BDP(#REF!,V$2)</f>
        <v>#REF!</v>
      </c>
      <c r="W757" t="e">
        <f>_xll.BDP(#REF!,W$2)</f>
        <v>#REF!</v>
      </c>
      <c r="X757" t="e">
        <f>_xll.BDP(#REF!,X$2)</f>
        <v>#REF!</v>
      </c>
      <c r="Y757" t="e">
        <f>_xll.BDP(#REF!,Y$2)</f>
        <v>#REF!</v>
      </c>
      <c r="Z757" t="e">
        <f>_xll.BDP(#REF!,Z$2)</f>
        <v>#REF!</v>
      </c>
      <c r="AA757" t="e">
        <f>_xll.BDP(#REF!,AA$2)</f>
        <v>#REF!</v>
      </c>
      <c r="AD757">
        <f>IF(LEFT(_xll.BDP($T757,AD$2),4)="#N/A",-1,_xll.BDP($T757,AD$2))</f>
        <v>-1</v>
      </c>
    </row>
    <row r="758" spans="10:30">
      <c r="J758" s="37"/>
      <c r="U758">
        <f>IF(LEFT(_xll.BDP($T758,U$2),4)="#N/A",0,_xll.BDP($T758,U$2))</f>
        <v>0</v>
      </c>
      <c r="V758" t="e">
        <f>_xll.BDP(#REF!,V$2)</f>
        <v>#REF!</v>
      </c>
      <c r="W758" t="e">
        <f>_xll.BDP(#REF!,W$2)</f>
        <v>#REF!</v>
      </c>
      <c r="X758" t="e">
        <f>_xll.BDP(#REF!,X$2)</f>
        <v>#REF!</v>
      </c>
      <c r="Y758" t="e">
        <f>_xll.BDP(#REF!,Y$2)</f>
        <v>#REF!</v>
      </c>
      <c r="Z758" t="e">
        <f>_xll.BDP(#REF!,Z$2)</f>
        <v>#REF!</v>
      </c>
      <c r="AA758" t="e">
        <f>_xll.BDP(#REF!,AA$2)</f>
        <v>#REF!</v>
      </c>
      <c r="AD758">
        <f>IF(LEFT(_xll.BDP($T758,AD$2),4)="#N/A",-1,_xll.BDP($T758,AD$2))</f>
        <v>-1</v>
      </c>
    </row>
    <row r="759" spans="10:30">
      <c r="J759" s="37"/>
      <c r="U759">
        <f>IF(LEFT(_xll.BDP($T759,U$2),4)="#N/A",0,_xll.BDP($T759,U$2))</f>
        <v>0</v>
      </c>
      <c r="V759" t="e">
        <f>_xll.BDP(#REF!,V$2)</f>
        <v>#REF!</v>
      </c>
      <c r="W759" t="e">
        <f>_xll.BDP(#REF!,W$2)</f>
        <v>#REF!</v>
      </c>
      <c r="X759" t="e">
        <f>_xll.BDP(#REF!,X$2)</f>
        <v>#REF!</v>
      </c>
      <c r="Y759" t="e">
        <f>_xll.BDP(#REF!,Y$2)</f>
        <v>#REF!</v>
      </c>
      <c r="Z759" t="e">
        <f>_xll.BDP(#REF!,Z$2)</f>
        <v>#REF!</v>
      </c>
      <c r="AA759" t="e">
        <f>_xll.BDP(#REF!,AA$2)</f>
        <v>#REF!</v>
      </c>
      <c r="AD759">
        <f>IF(LEFT(_xll.BDP($T759,AD$2),4)="#N/A",-1,_xll.BDP($T759,AD$2))</f>
        <v>-1</v>
      </c>
    </row>
    <row r="760" spans="10:30">
      <c r="J760" s="37"/>
      <c r="U760">
        <f>IF(LEFT(_xll.BDP($T760,U$2),4)="#N/A",0,_xll.BDP($T760,U$2))</f>
        <v>0</v>
      </c>
      <c r="V760" t="e">
        <f>_xll.BDP(#REF!,V$2)</f>
        <v>#REF!</v>
      </c>
      <c r="W760" t="e">
        <f>_xll.BDP(#REF!,W$2)</f>
        <v>#REF!</v>
      </c>
      <c r="X760" t="e">
        <f>_xll.BDP(#REF!,X$2)</f>
        <v>#REF!</v>
      </c>
      <c r="Y760" t="e">
        <f>_xll.BDP(#REF!,Y$2)</f>
        <v>#REF!</v>
      </c>
      <c r="Z760" t="e">
        <f>_xll.BDP(#REF!,Z$2)</f>
        <v>#REF!</v>
      </c>
      <c r="AA760" t="e">
        <f>_xll.BDP(#REF!,AA$2)</f>
        <v>#REF!</v>
      </c>
      <c r="AD760">
        <f>IF(LEFT(_xll.BDP($T760,AD$2),4)="#N/A",-1,_xll.BDP($T760,AD$2))</f>
        <v>-1</v>
      </c>
    </row>
    <row r="761" spans="10:30">
      <c r="J761" s="37"/>
      <c r="U761">
        <f>IF(LEFT(_xll.BDP($T761,U$2),4)="#N/A",0,_xll.BDP($T761,U$2))</f>
        <v>0</v>
      </c>
      <c r="V761" t="e">
        <f>_xll.BDP(#REF!,V$2)</f>
        <v>#REF!</v>
      </c>
      <c r="W761" t="e">
        <f>_xll.BDP(#REF!,W$2)</f>
        <v>#REF!</v>
      </c>
      <c r="X761" t="e">
        <f>_xll.BDP(#REF!,X$2)</f>
        <v>#REF!</v>
      </c>
      <c r="Y761" t="e">
        <f>_xll.BDP(#REF!,Y$2)</f>
        <v>#REF!</v>
      </c>
      <c r="Z761" t="e">
        <f>_xll.BDP(#REF!,Z$2)</f>
        <v>#REF!</v>
      </c>
      <c r="AA761" t="e">
        <f>_xll.BDP(#REF!,AA$2)</f>
        <v>#REF!</v>
      </c>
      <c r="AD761">
        <f>IF(LEFT(_xll.BDP($T761,AD$2),4)="#N/A",-1,_xll.BDP($T761,AD$2))</f>
        <v>-1</v>
      </c>
    </row>
    <row r="762" spans="10:30">
      <c r="J762" s="37"/>
      <c r="U762">
        <f>IF(LEFT(_xll.BDP($T762,U$2),4)="#N/A",0,_xll.BDP($T762,U$2))</f>
        <v>0</v>
      </c>
      <c r="V762" t="e">
        <f>_xll.BDP(#REF!,V$2)</f>
        <v>#REF!</v>
      </c>
      <c r="W762" t="e">
        <f>_xll.BDP(#REF!,W$2)</f>
        <v>#REF!</v>
      </c>
      <c r="X762" t="e">
        <f>_xll.BDP(#REF!,X$2)</f>
        <v>#REF!</v>
      </c>
      <c r="Y762" t="e">
        <f>_xll.BDP(#REF!,Y$2)</f>
        <v>#REF!</v>
      </c>
      <c r="Z762" t="e">
        <f>_xll.BDP(#REF!,Z$2)</f>
        <v>#REF!</v>
      </c>
      <c r="AA762" t="e">
        <f>_xll.BDP(#REF!,AA$2)</f>
        <v>#REF!</v>
      </c>
      <c r="AD762">
        <f>IF(LEFT(_xll.BDP($T762,AD$2),4)="#N/A",-1,_xll.BDP($T762,AD$2))</f>
        <v>-1</v>
      </c>
    </row>
    <row r="763" spans="10:30">
      <c r="J763" s="37"/>
      <c r="U763">
        <f>IF(LEFT(_xll.BDP($T763,U$2),4)="#N/A",0,_xll.BDP($T763,U$2))</f>
        <v>0</v>
      </c>
      <c r="V763" t="e">
        <f>_xll.BDP(#REF!,V$2)</f>
        <v>#REF!</v>
      </c>
      <c r="W763" t="e">
        <f>_xll.BDP(#REF!,W$2)</f>
        <v>#REF!</v>
      </c>
      <c r="X763" t="e">
        <f>_xll.BDP(#REF!,X$2)</f>
        <v>#REF!</v>
      </c>
      <c r="Y763" t="e">
        <f>_xll.BDP(#REF!,Y$2)</f>
        <v>#REF!</v>
      </c>
      <c r="Z763" t="e">
        <f>_xll.BDP(#REF!,Z$2)</f>
        <v>#REF!</v>
      </c>
      <c r="AA763" t="e">
        <f>_xll.BDP(#REF!,AA$2)</f>
        <v>#REF!</v>
      </c>
      <c r="AD763">
        <f>IF(LEFT(_xll.BDP($T763,AD$2),4)="#N/A",-1,_xll.BDP($T763,AD$2))</f>
        <v>-1</v>
      </c>
    </row>
    <row r="764" spans="10:30">
      <c r="J764" s="37"/>
      <c r="U764">
        <f>IF(LEFT(_xll.BDP($T764,U$2),4)="#N/A",0,_xll.BDP($T764,U$2))</f>
        <v>0</v>
      </c>
      <c r="V764" t="e">
        <f>_xll.BDP(#REF!,V$2)</f>
        <v>#REF!</v>
      </c>
      <c r="W764" t="e">
        <f>_xll.BDP(#REF!,W$2)</f>
        <v>#REF!</v>
      </c>
      <c r="X764" t="e">
        <f>_xll.BDP(#REF!,X$2)</f>
        <v>#REF!</v>
      </c>
      <c r="Y764" t="e">
        <f>_xll.BDP(#REF!,Y$2)</f>
        <v>#REF!</v>
      </c>
      <c r="Z764" t="e">
        <f>_xll.BDP(#REF!,Z$2)</f>
        <v>#REF!</v>
      </c>
      <c r="AA764" t="e">
        <f>_xll.BDP(#REF!,AA$2)</f>
        <v>#REF!</v>
      </c>
      <c r="AD764">
        <f>IF(LEFT(_xll.BDP($T764,AD$2),4)="#N/A",-1,_xll.BDP($T764,AD$2))</f>
        <v>-1</v>
      </c>
    </row>
    <row r="765" spans="10:30">
      <c r="J765" s="37"/>
      <c r="U765">
        <f>IF(LEFT(_xll.BDP($T765,U$2),4)="#N/A",0,_xll.BDP($T765,U$2))</f>
        <v>0</v>
      </c>
      <c r="V765" t="e">
        <f>_xll.BDP(#REF!,V$2)</f>
        <v>#REF!</v>
      </c>
      <c r="W765" t="e">
        <f>_xll.BDP(#REF!,W$2)</f>
        <v>#REF!</v>
      </c>
      <c r="X765" t="e">
        <f>_xll.BDP(#REF!,X$2)</f>
        <v>#REF!</v>
      </c>
      <c r="Y765" t="e">
        <f>_xll.BDP(#REF!,Y$2)</f>
        <v>#REF!</v>
      </c>
      <c r="Z765" t="e">
        <f>_xll.BDP(#REF!,Z$2)</f>
        <v>#REF!</v>
      </c>
      <c r="AA765" t="e">
        <f>_xll.BDP(#REF!,AA$2)</f>
        <v>#REF!</v>
      </c>
      <c r="AD765">
        <f>IF(LEFT(_xll.BDP($T765,AD$2),4)="#N/A",-1,_xll.BDP($T765,AD$2))</f>
        <v>-1</v>
      </c>
    </row>
    <row r="766" spans="10:30">
      <c r="J766" s="37"/>
      <c r="U766">
        <f>IF(LEFT(_xll.BDP($T766,U$2),4)="#N/A",0,_xll.BDP($T766,U$2))</f>
        <v>0</v>
      </c>
      <c r="V766" t="e">
        <f>_xll.BDP(#REF!,V$2)</f>
        <v>#REF!</v>
      </c>
      <c r="W766" t="e">
        <f>_xll.BDP(#REF!,W$2)</f>
        <v>#REF!</v>
      </c>
      <c r="X766" t="e">
        <f>_xll.BDP(#REF!,X$2)</f>
        <v>#REF!</v>
      </c>
      <c r="Y766" t="e">
        <f>_xll.BDP(#REF!,Y$2)</f>
        <v>#REF!</v>
      </c>
      <c r="Z766" t="e">
        <f>_xll.BDP(#REF!,Z$2)</f>
        <v>#REF!</v>
      </c>
      <c r="AA766" t="e">
        <f>_xll.BDP(#REF!,AA$2)</f>
        <v>#REF!</v>
      </c>
      <c r="AD766">
        <f>IF(LEFT(_xll.BDP($T766,AD$2),4)="#N/A",-1,_xll.BDP($T766,AD$2))</f>
        <v>-1</v>
      </c>
    </row>
    <row r="767" spans="10:30">
      <c r="J767" s="37"/>
      <c r="U767">
        <f>IF(LEFT(_xll.BDP($T767,U$2),4)="#N/A",0,_xll.BDP($T767,U$2))</f>
        <v>0</v>
      </c>
      <c r="V767" t="e">
        <f>_xll.BDP(#REF!,V$2)</f>
        <v>#REF!</v>
      </c>
      <c r="W767" t="e">
        <f>_xll.BDP(#REF!,W$2)</f>
        <v>#REF!</v>
      </c>
      <c r="X767" t="e">
        <f>_xll.BDP(#REF!,X$2)</f>
        <v>#REF!</v>
      </c>
      <c r="Y767" t="e">
        <f>_xll.BDP(#REF!,Y$2)</f>
        <v>#REF!</v>
      </c>
      <c r="Z767" t="e">
        <f>_xll.BDP(#REF!,Z$2)</f>
        <v>#REF!</v>
      </c>
      <c r="AA767" t="e">
        <f>_xll.BDP(#REF!,AA$2)</f>
        <v>#REF!</v>
      </c>
      <c r="AD767">
        <f>IF(LEFT(_xll.BDP($T767,AD$2),4)="#N/A",-1,_xll.BDP($T767,AD$2))</f>
        <v>-1</v>
      </c>
    </row>
    <row r="768" spans="10:30">
      <c r="J768" s="37"/>
      <c r="U768">
        <f>IF(LEFT(_xll.BDP($T768,U$2),4)="#N/A",0,_xll.BDP($T768,U$2))</f>
        <v>0</v>
      </c>
      <c r="V768" t="e">
        <f>_xll.BDP(#REF!,V$2)</f>
        <v>#REF!</v>
      </c>
      <c r="W768" t="e">
        <f>_xll.BDP(#REF!,W$2)</f>
        <v>#REF!</v>
      </c>
      <c r="X768" t="e">
        <f>_xll.BDP(#REF!,X$2)</f>
        <v>#REF!</v>
      </c>
      <c r="Y768" t="e">
        <f>_xll.BDP(#REF!,Y$2)</f>
        <v>#REF!</v>
      </c>
      <c r="Z768" t="e">
        <f>_xll.BDP(#REF!,Z$2)</f>
        <v>#REF!</v>
      </c>
      <c r="AA768" t="e">
        <f>_xll.BDP(#REF!,AA$2)</f>
        <v>#REF!</v>
      </c>
      <c r="AD768">
        <f>IF(LEFT(_xll.BDP($T768,AD$2),4)="#N/A",-1,_xll.BDP($T768,AD$2))</f>
        <v>-1</v>
      </c>
    </row>
    <row r="769" spans="10:30">
      <c r="J769" s="37"/>
      <c r="U769">
        <f>IF(LEFT(_xll.BDP($T769,U$2),4)="#N/A",0,_xll.BDP($T769,U$2))</f>
        <v>0</v>
      </c>
      <c r="V769" t="e">
        <f>_xll.BDP(#REF!,V$2)</f>
        <v>#REF!</v>
      </c>
      <c r="W769" t="e">
        <f>_xll.BDP(#REF!,W$2)</f>
        <v>#REF!</v>
      </c>
      <c r="X769" t="e">
        <f>_xll.BDP(#REF!,X$2)</f>
        <v>#REF!</v>
      </c>
      <c r="Y769" t="e">
        <f>_xll.BDP(#REF!,Y$2)</f>
        <v>#REF!</v>
      </c>
      <c r="Z769" t="e">
        <f>_xll.BDP(#REF!,Z$2)</f>
        <v>#REF!</v>
      </c>
      <c r="AA769" t="e">
        <f>_xll.BDP(#REF!,AA$2)</f>
        <v>#REF!</v>
      </c>
      <c r="AD769">
        <f>IF(LEFT(_xll.BDP($T769,AD$2),4)="#N/A",-1,_xll.BDP($T769,AD$2))</f>
        <v>-1</v>
      </c>
    </row>
    <row r="770" spans="10:30">
      <c r="J770" s="37"/>
      <c r="U770">
        <f>IF(LEFT(_xll.BDP($T770,U$2),4)="#N/A",0,_xll.BDP($T770,U$2))</f>
        <v>0</v>
      </c>
      <c r="V770" t="e">
        <f>_xll.BDP(#REF!,V$2)</f>
        <v>#REF!</v>
      </c>
      <c r="W770" t="e">
        <f>_xll.BDP(#REF!,W$2)</f>
        <v>#REF!</v>
      </c>
      <c r="X770" t="e">
        <f>_xll.BDP(#REF!,X$2)</f>
        <v>#REF!</v>
      </c>
      <c r="Y770" t="e">
        <f>_xll.BDP(#REF!,Y$2)</f>
        <v>#REF!</v>
      </c>
      <c r="Z770" t="e">
        <f>_xll.BDP(#REF!,Z$2)</f>
        <v>#REF!</v>
      </c>
      <c r="AA770" t="e">
        <f>_xll.BDP(#REF!,AA$2)</f>
        <v>#REF!</v>
      </c>
      <c r="AD770">
        <f>IF(LEFT(_xll.BDP($T770,AD$2),4)="#N/A",-1,_xll.BDP($T770,AD$2))</f>
        <v>-1</v>
      </c>
    </row>
    <row r="771" spans="10:30">
      <c r="J771" s="37"/>
      <c r="U771">
        <f>IF(LEFT(_xll.BDP($T771,U$2),4)="#N/A",0,_xll.BDP($T771,U$2))</f>
        <v>0</v>
      </c>
      <c r="V771" t="e">
        <f>_xll.BDP(#REF!,V$2)</f>
        <v>#REF!</v>
      </c>
      <c r="W771" t="e">
        <f>_xll.BDP(#REF!,W$2)</f>
        <v>#REF!</v>
      </c>
      <c r="X771" t="e">
        <f>_xll.BDP(#REF!,X$2)</f>
        <v>#REF!</v>
      </c>
      <c r="Y771" t="e">
        <f>_xll.BDP(#REF!,Y$2)</f>
        <v>#REF!</v>
      </c>
      <c r="Z771" t="e">
        <f>_xll.BDP(#REF!,Z$2)</f>
        <v>#REF!</v>
      </c>
      <c r="AA771" t="e">
        <f>_xll.BDP(#REF!,AA$2)</f>
        <v>#REF!</v>
      </c>
      <c r="AD771">
        <f>IF(LEFT(_xll.BDP($T771,AD$2),4)="#N/A",-1,_xll.BDP($T771,AD$2))</f>
        <v>-1</v>
      </c>
    </row>
    <row r="772" spans="10:30">
      <c r="J772" s="37"/>
      <c r="U772">
        <f>IF(LEFT(_xll.BDP($T772,U$2),4)="#N/A",0,_xll.BDP($T772,U$2))</f>
        <v>0</v>
      </c>
      <c r="V772" t="e">
        <f>_xll.BDP(#REF!,V$2)</f>
        <v>#REF!</v>
      </c>
      <c r="W772" t="e">
        <f>_xll.BDP(#REF!,W$2)</f>
        <v>#REF!</v>
      </c>
      <c r="X772" t="e">
        <f>_xll.BDP(#REF!,X$2)</f>
        <v>#REF!</v>
      </c>
      <c r="Y772" t="e">
        <f>_xll.BDP(#REF!,Y$2)</f>
        <v>#REF!</v>
      </c>
      <c r="Z772" t="e">
        <f>_xll.BDP(#REF!,Z$2)</f>
        <v>#REF!</v>
      </c>
      <c r="AA772" t="e">
        <f>_xll.BDP(#REF!,AA$2)</f>
        <v>#REF!</v>
      </c>
      <c r="AD772">
        <f>IF(LEFT(_xll.BDP($T772,AD$2),4)="#N/A",-1,_xll.BDP($T772,AD$2))</f>
        <v>-1</v>
      </c>
    </row>
    <row r="773" spans="10:30">
      <c r="J773" s="37"/>
      <c r="U773">
        <f>IF(LEFT(_xll.BDP($T773,U$2),4)="#N/A",0,_xll.BDP($T773,U$2))</f>
        <v>0</v>
      </c>
      <c r="V773" t="e">
        <f>_xll.BDP(#REF!,V$2)</f>
        <v>#REF!</v>
      </c>
      <c r="W773" t="e">
        <f>_xll.BDP(#REF!,W$2)</f>
        <v>#REF!</v>
      </c>
      <c r="X773" t="e">
        <f>_xll.BDP(#REF!,X$2)</f>
        <v>#REF!</v>
      </c>
      <c r="Y773" t="e">
        <f>_xll.BDP(#REF!,Y$2)</f>
        <v>#REF!</v>
      </c>
      <c r="Z773" t="e">
        <f>_xll.BDP(#REF!,Z$2)</f>
        <v>#REF!</v>
      </c>
      <c r="AA773" t="e">
        <f>_xll.BDP(#REF!,AA$2)</f>
        <v>#REF!</v>
      </c>
      <c r="AD773">
        <f>IF(LEFT(_xll.BDP($T773,AD$2),4)="#N/A",-1,_xll.BDP($T773,AD$2))</f>
        <v>-1</v>
      </c>
    </row>
    <row r="774" spans="10:30">
      <c r="J774" s="37"/>
      <c r="U774">
        <f>IF(LEFT(_xll.BDP($T774,U$2),4)="#N/A",0,_xll.BDP($T774,U$2))</f>
        <v>0</v>
      </c>
      <c r="V774" t="e">
        <f>_xll.BDP(#REF!,V$2)</f>
        <v>#REF!</v>
      </c>
      <c r="W774" t="e">
        <f>_xll.BDP(#REF!,W$2)</f>
        <v>#REF!</v>
      </c>
      <c r="X774" t="e">
        <f>_xll.BDP(#REF!,X$2)</f>
        <v>#REF!</v>
      </c>
      <c r="Y774" t="e">
        <f>_xll.BDP(#REF!,Y$2)</f>
        <v>#REF!</v>
      </c>
      <c r="Z774" t="e">
        <f>_xll.BDP(#REF!,Z$2)</f>
        <v>#REF!</v>
      </c>
      <c r="AA774" t="e">
        <f>_xll.BDP(#REF!,AA$2)</f>
        <v>#REF!</v>
      </c>
      <c r="AD774">
        <f>IF(LEFT(_xll.BDP($T774,AD$2),4)="#N/A",-1,_xll.BDP($T774,AD$2))</f>
        <v>-1</v>
      </c>
    </row>
    <row r="775" spans="10:30">
      <c r="J775" s="37"/>
      <c r="U775">
        <f>IF(LEFT(_xll.BDP($T775,U$2),4)="#N/A",0,_xll.BDP($T775,U$2))</f>
        <v>0</v>
      </c>
      <c r="V775" t="e">
        <f>_xll.BDP(#REF!,V$2)</f>
        <v>#REF!</v>
      </c>
      <c r="W775" t="e">
        <f>_xll.BDP(#REF!,W$2)</f>
        <v>#REF!</v>
      </c>
      <c r="X775" t="e">
        <f>_xll.BDP(#REF!,X$2)</f>
        <v>#REF!</v>
      </c>
      <c r="Y775" t="e">
        <f>_xll.BDP(#REF!,Y$2)</f>
        <v>#REF!</v>
      </c>
      <c r="Z775" t="e">
        <f>_xll.BDP(#REF!,Z$2)</f>
        <v>#REF!</v>
      </c>
      <c r="AA775" t="e">
        <f>_xll.BDP(#REF!,AA$2)</f>
        <v>#REF!</v>
      </c>
      <c r="AD775">
        <f>IF(LEFT(_xll.BDP($T775,AD$2),4)="#N/A",-1,_xll.BDP($T775,AD$2))</f>
        <v>-1</v>
      </c>
    </row>
    <row r="776" spans="10:30">
      <c r="J776" s="37"/>
      <c r="U776">
        <f>IF(LEFT(_xll.BDP($T776,U$2),4)="#N/A",0,_xll.BDP($T776,U$2))</f>
        <v>0</v>
      </c>
      <c r="V776" t="e">
        <f>_xll.BDP(#REF!,V$2)</f>
        <v>#REF!</v>
      </c>
      <c r="W776" t="e">
        <f>_xll.BDP(#REF!,W$2)</f>
        <v>#REF!</v>
      </c>
      <c r="X776" t="e">
        <f>_xll.BDP(#REF!,X$2)</f>
        <v>#REF!</v>
      </c>
      <c r="Y776" t="e">
        <f>_xll.BDP(#REF!,Y$2)</f>
        <v>#REF!</v>
      </c>
      <c r="Z776" t="e">
        <f>_xll.BDP(#REF!,Z$2)</f>
        <v>#REF!</v>
      </c>
      <c r="AA776" t="e">
        <f>_xll.BDP(#REF!,AA$2)</f>
        <v>#REF!</v>
      </c>
      <c r="AD776">
        <f>IF(LEFT(_xll.BDP($T776,AD$2),4)="#N/A",-1,_xll.BDP($T776,AD$2))</f>
        <v>-1</v>
      </c>
    </row>
    <row r="777" spans="10:30">
      <c r="J777" s="37"/>
      <c r="U777">
        <f>IF(LEFT(_xll.BDP($T777,U$2),4)="#N/A",0,_xll.BDP($T777,U$2))</f>
        <v>0</v>
      </c>
      <c r="V777" t="e">
        <f>_xll.BDP(#REF!,V$2)</f>
        <v>#REF!</v>
      </c>
      <c r="W777" t="e">
        <f>_xll.BDP(#REF!,W$2)</f>
        <v>#REF!</v>
      </c>
      <c r="X777" t="e">
        <f>_xll.BDP(#REF!,X$2)</f>
        <v>#REF!</v>
      </c>
      <c r="Y777" t="e">
        <f>_xll.BDP(#REF!,Y$2)</f>
        <v>#REF!</v>
      </c>
      <c r="Z777" t="e">
        <f>_xll.BDP(#REF!,Z$2)</f>
        <v>#REF!</v>
      </c>
      <c r="AA777" t="e">
        <f>_xll.BDP(#REF!,AA$2)</f>
        <v>#REF!</v>
      </c>
      <c r="AD777">
        <f>IF(LEFT(_xll.BDP($T777,AD$2),4)="#N/A",-1,_xll.BDP($T777,AD$2))</f>
        <v>-1</v>
      </c>
    </row>
    <row r="778" spans="10:30">
      <c r="J778" s="37"/>
      <c r="U778">
        <f>IF(LEFT(_xll.BDP($T778,U$2),4)="#N/A",0,_xll.BDP($T778,U$2))</f>
        <v>0</v>
      </c>
      <c r="V778" t="e">
        <f>_xll.BDP(#REF!,V$2)</f>
        <v>#REF!</v>
      </c>
      <c r="W778" t="e">
        <f>_xll.BDP(#REF!,W$2)</f>
        <v>#REF!</v>
      </c>
      <c r="X778" t="e">
        <f>_xll.BDP(#REF!,X$2)</f>
        <v>#REF!</v>
      </c>
      <c r="Y778" t="e">
        <f>_xll.BDP(#REF!,Y$2)</f>
        <v>#REF!</v>
      </c>
      <c r="Z778" t="e">
        <f>_xll.BDP(#REF!,Z$2)</f>
        <v>#REF!</v>
      </c>
      <c r="AA778" t="e">
        <f>_xll.BDP(#REF!,AA$2)</f>
        <v>#REF!</v>
      </c>
      <c r="AD778">
        <f>IF(LEFT(_xll.BDP($T778,AD$2),4)="#N/A",-1,_xll.BDP($T778,AD$2))</f>
        <v>-1</v>
      </c>
    </row>
    <row r="779" spans="10:30">
      <c r="J779" s="37"/>
      <c r="U779">
        <f>IF(LEFT(_xll.BDP($T779,U$2),4)="#N/A",0,_xll.BDP($T779,U$2))</f>
        <v>0</v>
      </c>
      <c r="V779" t="e">
        <f>_xll.BDP(#REF!,V$2)</f>
        <v>#REF!</v>
      </c>
      <c r="W779" t="e">
        <f>_xll.BDP(#REF!,W$2)</f>
        <v>#REF!</v>
      </c>
      <c r="X779" t="e">
        <f>_xll.BDP(#REF!,X$2)</f>
        <v>#REF!</v>
      </c>
      <c r="Y779" t="e">
        <f>_xll.BDP(#REF!,Y$2)</f>
        <v>#REF!</v>
      </c>
      <c r="Z779" t="e">
        <f>_xll.BDP(#REF!,Z$2)</f>
        <v>#REF!</v>
      </c>
      <c r="AA779" t="e">
        <f>_xll.BDP(#REF!,AA$2)</f>
        <v>#REF!</v>
      </c>
      <c r="AD779">
        <f>IF(LEFT(_xll.BDP($T779,AD$2),4)="#N/A",-1,_xll.BDP($T779,AD$2))</f>
        <v>-1</v>
      </c>
    </row>
    <row r="780" spans="10:30">
      <c r="J780" s="37"/>
      <c r="U780">
        <f>IF(LEFT(_xll.BDP($T780,U$2),4)="#N/A",0,_xll.BDP($T780,U$2))</f>
        <v>0</v>
      </c>
      <c r="V780" t="e">
        <f>_xll.BDP(#REF!,V$2)</f>
        <v>#REF!</v>
      </c>
      <c r="W780" t="e">
        <f>_xll.BDP(#REF!,W$2)</f>
        <v>#REF!</v>
      </c>
      <c r="X780" t="e">
        <f>_xll.BDP(#REF!,X$2)</f>
        <v>#REF!</v>
      </c>
      <c r="Y780" t="e">
        <f>_xll.BDP(#REF!,Y$2)</f>
        <v>#REF!</v>
      </c>
      <c r="Z780" t="e">
        <f>_xll.BDP(#REF!,Z$2)</f>
        <v>#REF!</v>
      </c>
      <c r="AA780" t="e">
        <f>_xll.BDP(#REF!,AA$2)</f>
        <v>#REF!</v>
      </c>
      <c r="AD780">
        <f>IF(LEFT(_xll.BDP($T780,AD$2),4)="#N/A",-1,_xll.BDP($T780,AD$2))</f>
        <v>-1</v>
      </c>
    </row>
    <row r="781" spans="10:30">
      <c r="J781" s="37"/>
      <c r="U781">
        <f>IF(LEFT(_xll.BDP($T781,U$2),4)="#N/A",0,_xll.BDP($T781,U$2))</f>
        <v>0</v>
      </c>
      <c r="V781" t="e">
        <f>_xll.BDP(#REF!,V$2)</f>
        <v>#REF!</v>
      </c>
      <c r="W781" t="e">
        <f>_xll.BDP(#REF!,W$2)</f>
        <v>#REF!</v>
      </c>
      <c r="X781" t="e">
        <f>_xll.BDP(#REF!,X$2)</f>
        <v>#REF!</v>
      </c>
      <c r="Y781" t="e">
        <f>_xll.BDP(#REF!,Y$2)</f>
        <v>#REF!</v>
      </c>
      <c r="Z781" t="e">
        <f>_xll.BDP(#REF!,Z$2)</f>
        <v>#REF!</v>
      </c>
      <c r="AA781" t="e">
        <f>_xll.BDP(#REF!,AA$2)</f>
        <v>#REF!</v>
      </c>
      <c r="AD781">
        <f>IF(LEFT(_xll.BDP($T781,AD$2),4)="#N/A",-1,_xll.BDP($T781,AD$2))</f>
        <v>-1</v>
      </c>
    </row>
    <row r="782" spans="10:30">
      <c r="J782" s="37"/>
      <c r="U782">
        <f>IF(LEFT(_xll.BDP($T782,U$2),4)="#N/A",0,_xll.BDP($T782,U$2))</f>
        <v>0</v>
      </c>
      <c r="V782" t="e">
        <f>_xll.BDP(#REF!,V$2)</f>
        <v>#REF!</v>
      </c>
      <c r="W782" t="e">
        <f>_xll.BDP(#REF!,W$2)</f>
        <v>#REF!</v>
      </c>
      <c r="X782" t="e">
        <f>_xll.BDP(#REF!,X$2)</f>
        <v>#REF!</v>
      </c>
      <c r="Y782" t="e">
        <f>_xll.BDP(#REF!,Y$2)</f>
        <v>#REF!</v>
      </c>
      <c r="Z782" t="e">
        <f>_xll.BDP(#REF!,Z$2)</f>
        <v>#REF!</v>
      </c>
      <c r="AA782" t="e">
        <f>_xll.BDP(#REF!,AA$2)</f>
        <v>#REF!</v>
      </c>
      <c r="AD782">
        <f>IF(LEFT(_xll.BDP($T782,AD$2),4)="#N/A",-1,_xll.BDP($T782,AD$2))</f>
        <v>-1</v>
      </c>
    </row>
    <row r="783" spans="10:30">
      <c r="J783" s="37"/>
      <c r="U783">
        <f>IF(LEFT(_xll.BDP($T783,U$2),4)="#N/A",0,_xll.BDP($T783,U$2))</f>
        <v>0</v>
      </c>
      <c r="V783" t="e">
        <f>_xll.BDP(#REF!,V$2)</f>
        <v>#REF!</v>
      </c>
      <c r="W783" t="e">
        <f>_xll.BDP(#REF!,W$2)</f>
        <v>#REF!</v>
      </c>
      <c r="X783" t="e">
        <f>_xll.BDP(#REF!,X$2)</f>
        <v>#REF!</v>
      </c>
      <c r="Y783" t="e">
        <f>_xll.BDP(#REF!,Y$2)</f>
        <v>#REF!</v>
      </c>
      <c r="Z783" t="e">
        <f>_xll.BDP(#REF!,Z$2)</f>
        <v>#REF!</v>
      </c>
      <c r="AA783" t="e">
        <f>_xll.BDP(#REF!,AA$2)</f>
        <v>#REF!</v>
      </c>
      <c r="AD783">
        <f>IF(LEFT(_xll.BDP($T783,AD$2),4)="#N/A",-1,_xll.BDP($T783,AD$2))</f>
        <v>-1</v>
      </c>
    </row>
    <row r="784" spans="10:30">
      <c r="J784" s="37"/>
      <c r="U784">
        <f>IF(LEFT(_xll.BDP($T784,U$2),4)="#N/A",0,_xll.BDP($T784,U$2))</f>
        <v>0</v>
      </c>
      <c r="V784" t="e">
        <f>_xll.BDP(#REF!,V$2)</f>
        <v>#REF!</v>
      </c>
      <c r="W784" t="e">
        <f>_xll.BDP(#REF!,W$2)</f>
        <v>#REF!</v>
      </c>
      <c r="X784" t="e">
        <f>_xll.BDP(#REF!,X$2)</f>
        <v>#REF!</v>
      </c>
      <c r="Y784" t="e">
        <f>_xll.BDP(#REF!,Y$2)</f>
        <v>#REF!</v>
      </c>
      <c r="Z784" t="e">
        <f>_xll.BDP(#REF!,Z$2)</f>
        <v>#REF!</v>
      </c>
      <c r="AA784" t="e">
        <f>_xll.BDP(#REF!,AA$2)</f>
        <v>#REF!</v>
      </c>
      <c r="AD784">
        <f>IF(LEFT(_xll.BDP($T784,AD$2),4)="#N/A",-1,_xll.BDP($T784,AD$2))</f>
        <v>-1</v>
      </c>
    </row>
    <row r="785" spans="10:30">
      <c r="J785" s="37"/>
      <c r="U785">
        <f>IF(LEFT(_xll.BDP($T785,U$2),4)="#N/A",0,_xll.BDP($T785,U$2))</f>
        <v>0</v>
      </c>
      <c r="V785" t="e">
        <f>_xll.BDP(#REF!,V$2)</f>
        <v>#REF!</v>
      </c>
      <c r="W785" t="e">
        <f>_xll.BDP(#REF!,W$2)</f>
        <v>#REF!</v>
      </c>
      <c r="X785" t="e">
        <f>_xll.BDP(#REF!,X$2)</f>
        <v>#REF!</v>
      </c>
      <c r="Y785" t="e">
        <f>_xll.BDP(#REF!,Y$2)</f>
        <v>#REF!</v>
      </c>
      <c r="Z785" t="e">
        <f>_xll.BDP(#REF!,Z$2)</f>
        <v>#REF!</v>
      </c>
      <c r="AA785" t="e">
        <f>_xll.BDP(#REF!,AA$2)</f>
        <v>#REF!</v>
      </c>
      <c r="AD785">
        <f>IF(LEFT(_xll.BDP($T785,AD$2),4)="#N/A",-1,_xll.BDP($T785,AD$2))</f>
        <v>-1</v>
      </c>
    </row>
    <row r="786" spans="10:30">
      <c r="J786" s="37"/>
      <c r="U786">
        <f>IF(LEFT(_xll.BDP($T786,U$2),4)="#N/A",0,_xll.BDP($T786,U$2))</f>
        <v>0</v>
      </c>
      <c r="V786" t="e">
        <f>_xll.BDP(#REF!,V$2)</f>
        <v>#REF!</v>
      </c>
      <c r="W786" t="e">
        <f>_xll.BDP(#REF!,W$2)</f>
        <v>#REF!</v>
      </c>
      <c r="X786" t="e">
        <f>_xll.BDP(#REF!,X$2)</f>
        <v>#REF!</v>
      </c>
      <c r="Y786" t="e">
        <f>_xll.BDP(#REF!,Y$2)</f>
        <v>#REF!</v>
      </c>
      <c r="Z786" t="e">
        <f>_xll.BDP(#REF!,Z$2)</f>
        <v>#REF!</v>
      </c>
      <c r="AA786" t="e">
        <f>_xll.BDP(#REF!,AA$2)</f>
        <v>#REF!</v>
      </c>
      <c r="AD786">
        <f>IF(LEFT(_xll.BDP($T786,AD$2),4)="#N/A",-1,_xll.BDP($T786,AD$2))</f>
        <v>-1</v>
      </c>
    </row>
    <row r="787" spans="10:30">
      <c r="J787" s="37"/>
      <c r="U787">
        <f>IF(LEFT(_xll.BDP($T787,U$2),4)="#N/A",0,_xll.BDP($T787,U$2))</f>
        <v>0</v>
      </c>
      <c r="V787" t="e">
        <f>_xll.BDP(#REF!,V$2)</f>
        <v>#REF!</v>
      </c>
      <c r="W787" t="e">
        <f>_xll.BDP(#REF!,W$2)</f>
        <v>#REF!</v>
      </c>
      <c r="X787" t="e">
        <f>_xll.BDP(#REF!,X$2)</f>
        <v>#REF!</v>
      </c>
      <c r="Y787" t="e">
        <f>_xll.BDP(#REF!,Y$2)</f>
        <v>#REF!</v>
      </c>
      <c r="Z787" t="e">
        <f>_xll.BDP(#REF!,Z$2)</f>
        <v>#REF!</v>
      </c>
      <c r="AA787" t="e">
        <f>_xll.BDP(#REF!,AA$2)</f>
        <v>#REF!</v>
      </c>
      <c r="AD787">
        <f>IF(LEFT(_xll.BDP($T787,AD$2),4)="#N/A",-1,_xll.BDP($T787,AD$2))</f>
        <v>-1</v>
      </c>
    </row>
    <row r="788" spans="10:30">
      <c r="J788" s="37"/>
      <c r="U788">
        <f>IF(LEFT(_xll.BDP($T788,U$2),4)="#N/A",0,_xll.BDP($T788,U$2))</f>
        <v>0</v>
      </c>
      <c r="V788" t="e">
        <f>_xll.BDP(#REF!,V$2)</f>
        <v>#REF!</v>
      </c>
      <c r="W788" t="e">
        <f>_xll.BDP(#REF!,W$2)</f>
        <v>#REF!</v>
      </c>
      <c r="X788" t="e">
        <f>_xll.BDP(#REF!,X$2)</f>
        <v>#REF!</v>
      </c>
      <c r="Y788" t="e">
        <f>_xll.BDP(#REF!,Y$2)</f>
        <v>#REF!</v>
      </c>
      <c r="Z788" t="e">
        <f>_xll.BDP(#REF!,Z$2)</f>
        <v>#REF!</v>
      </c>
      <c r="AA788" t="e">
        <f>_xll.BDP(#REF!,AA$2)</f>
        <v>#REF!</v>
      </c>
      <c r="AD788">
        <f>IF(LEFT(_xll.BDP($T788,AD$2),4)="#N/A",-1,_xll.BDP($T788,AD$2))</f>
        <v>-1</v>
      </c>
    </row>
    <row r="789" spans="10:30">
      <c r="J789" s="37"/>
      <c r="U789">
        <f>IF(LEFT(_xll.BDP($T789,U$2),4)="#N/A",0,_xll.BDP($T789,U$2))</f>
        <v>0</v>
      </c>
      <c r="V789" t="e">
        <f>_xll.BDP(#REF!,V$2)</f>
        <v>#REF!</v>
      </c>
      <c r="W789" t="e">
        <f>_xll.BDP(#REF!,W$2)</f>
        <v>#REF!</v>
      </c>
      <c r="X789" t="e">
        <f>_xll.BDP(#REF!,X$2)</f>
        <v>#REF!</v>
      </c>
      <c r="Y789" t="e">
        <f>_xll.BDP(#REF!,Y$2)</f>
        <v>#REF!</v>
      </c>
      <c r="Z789" t="e">
        <f>_xll.BDP(#REF!,Z$2)</f>
        <v>#REF!</v>
      </c>
      <c r="AA789" t="e">
        <f>_xll.BDP(#REF!,AA$2)</f>
        <v>#REF!</v>
      </c>
      <c r="AD789">
        <f>IF(LEFT(_xll.BDP($T789,AD$2),4)="#N/A",-1,_xll.BDP($T789,AD$2))</f>
        <v>-1</v>
      </c>
    </row>
    <row r="790" spans="10:30">
      <c r="J790" s="37"/>
      <c r="U790">
        <f>IF(LEFT(_xll.BDP($T790,U$2),4)="#N/A",0,_xll.BDP($T790,U$2))</f>
        <v>0</v>
      </c>
      <c r="V790" t="e">
        <f>_xll.BDP(#REF!,V$2)</f>
        <v>#REF!</v>
      </c>
      <c r="W790" t="e">
        <f>_xll.BDP(#REF!,W$2)</f>
        <v>#REF!</v>
      </c>
      <c r="X790" t="e">
        <f>_xll.BDP(#REF!,X$2)</f>
        <v>#REF!</v>
      </c>
      <c r="Y790" t="e">
        <f>_xll.BDP(#REF!,Y$2)</f>
        <v>#REF!</v>
      </c>
      <c r="Z790" t="e">
        <f>_xll.BDP(#REF!,Z$2)</f>
        <v>#REF!</v>
      </c>
      <c r="AA790" t="e">
        <f>_xll.BDP(#REF!,AA$2)</f>
        <v>#REF!</v>
      </c>
      <c r="AD790">
        <f>IF(LEFT(_xll.BDP($T790,AD$2),4)="#N/A",-1,_xll.BDP($T790,AD$2))</f>
        <v>-1</v>
      </c>
    </row>
    <row r="791" spans="10:30">
      <c r="J791" s="37"/>
      <c r="U791">
        <f>IF(LEFT(_xll.BDP($T791,U$2),4)="#N/A",0,_xll.BDP($T791,U$2))</f>
        <v>0</v>
      </c>
      <c r="V791" t="e">
        <f>_xll.BDP(#REF!,V$2)</f>
        <v>#REF!</v>
      </c>
      <c r="W791" t="e">
        <f>_xll.BDP(#REF!,W$2)</f>
        <v>#REF!</v>
      </c>
      <c r="X791" t="e">
        <f>_xll.BDP(#REF!,X$2)</f>
        <v>#REF!</v>
      </c>
      <c r="Y791" t="e">
        <f>_xll.BDP(#REF!,Y$2)</f>
        <v>#REF!</v>
      </c>
      <c r="Z791" t="e">
        <f>_xll.BDP(#REF!,Z$2)</f>
        <v>#REF!</v>
      </c>
      <c r="AA791" t="e">
        <f>_xll.BDP(#REF!,AA$2)</f>
        <v>#REF!</v>
      </c>
      <c r="AD791">
        <f>IF(LEFT(_xll.BDP($T791,AD$2),4)="#N/A",-1,_xll.BDP($T791,AD$2))</f>
        <v>-1</v>
      </c>
    </row>
    <row r="792" spans="10:30">
      <c r="J792" s="37"/>
      <c r="U792">
        <f>IF(LEFT(_xll.BDP($T792,U$2),4)="#N/A",0,_xll.BDP($T792,U$2))</f>
        <v>0</v>
      </c>
      <c r="V792" t="e">
        <f>_xll.BDP(#REF!,V$2)</f>
        <v>#REF!</v>
      </c>
      <c r="W792" t="e">
        <f>_xll.BDP(#REF!,W$2)</f>
        <v>#REF!</v>
      </c>
      <c r="X792" t="e">
        <f>_xll.BDP(#REF!,X$2)</f>
        <v>#REF!</v>
      </c>
      <c r="Y792" t="e">
        <f>_xll.BDP(#REF!,Y$2)</f>
        <v>#REF!</v>
      </c>
      <c r="Z792" t="e">
        <f>_xll.BDP(#REF!,Z$2)</f>
        <v>#REF!</v>
      </c>
      <c r="AA792" t="e">
        <f>_xll.BDP(#REF!,AA$2)</f>
        <v>#REF!</v>
      </c>
      <c r="AD792">
        <f>IF(LEFT(_xll.BDP($T792,AD$2),4)="#N/A",-1,_xll.BDP($T792,AD$2))</f>
        <v>-1</v>
      </c>
    </row>
    <row r="793" spans="10:30">
      <c r="J793" s="37"/>
      <c r="U793">
        <f>IF(LEFT(_xll.BDP($T793,U$2),4)="#N/A",0,_xll.BDP($T793,U$2))</f>
        <v>0</v>
      </c>
      <c r="V793" t="e">
        <f>_xll.BDP(#REF!,V$2)</f>
        <v>#REF!</v>
      </c>
      <c r="W793" t="e">
        <f>_xll.BDP(#REF!,W$2)</f>
        <v>#REF!</v>
      </c>
      <c r="X793" t="e">
        <f>_xll.BDP(#REF!,X$2)</f>
        <v>#REF!</v>
      </c>
      <c r="Y793" t="e">
        <f>_xll.BDP(#REF!,Y$2)</f>
        <v>#REF!</v>
      </c>
      <c r="Z793" t="e">
        <f>_xll.BDP(#REF!,Z$2)</f>
        <v>#REF!</v>
      </c>
      <c r="AA793" t="e">
        <f>_xll.BDP(#REF!,AA$2)</f>
        <v>#REF!</v>
      </c>
      <c r="AD793">
        <f>IF(LEFT(_xll.BDP($T793,AD$2),4)="#N/A",-1,_xll.BDP($T793,AD$2))</f>
        <v>-1</v>
      </c>
    </row>
    <row r="794" spans="10:30">
      <c r="J794" s="37"/>
      <c r="U794">
        <f>IF(LEFT(_xll.BDP($T794,U$2),4)="#N/A",0,_xll.BDP($T794,U$2))</f>
        <v>0</v>
      </c>
      <c r="V794" t="e">
        <f>_xll.BDP(#REF!,V$2)</f>
        <v>#REF!</v>
      </c>
      <c r="W794" t="e">
        <f>_xll.BDP(#REF!,W$2)</f>
        <v>#REF!</v>
      </c>
      <c r="X794" t="e">
        <f>_xll.BDP(#REF!,X$2)</f>
        <v>#REF!</v>
      </c>
      <c r="Y794" t="e">
        <f>_xll.BDP(#REF!,Y$2)</f>
        <v>#REF!</v>
      </c>
      <c r="Z794" t="e">
        <f>_xll.BDP(#REF!,Z$2)</f>
        <v>#REF!</v>
      </c>
      <c r="AA794" t="e">
        <f>_xll.BDP(#REF!,AA$2)</f>
        <v>#REF!</v>
      </c>
      <c r="AD794">
        <f>IF(LEFT(_xll.BDP($T794,AD$2),4)="#N/A",-1,_xll.BDP($T794,AD$2))</f>
        <v>-1</v>
      </c>
    </row>
    <row r="795" spans="10:30">
      <c r="J795" s="37"/>
      <c r="U795">
        <f>IF(LEFT(_xll.BDP($T795,U$2),4)="#N/A",0,_xll.BDP($T795,U$2))</f>
        <v>0</v>
      </c>
      <c r="V795" t="e">
        <f>_xll.BDP(#REF!,V$2)</f>
        <v>#REF!</v>
      </c>
      <c r="W795" t="e">
        <f>_xll.BDP(#REF!,W$2)</f>
        <v>#REF!</v>
      </c>
      <c r="X795" t="e">
        <f>_xll.BDP(#REF!,X$2)</f>
        <v>#REF!</v>
      </c>
      <c r="Y795" t="e">
        <f>_xll.BDP(#REF!,Y$2)</f>
        <v>#REF!</v>
      </c>
      <c r="Z795" t="e">
        <f>_xll.BDP(#REF!,Z$2)</f>
        <v>#REF!</v>
      </c>
      <c r="AA795" t="e">
        <f>_xll.BDP(#REF!,AA$2)</f>
        <v>#REF!</v>
      </c>
      <c r="AD795">
        <f>IF(LEFT(_xll.BDP($T795,AD$2),4)="#N/A",-1,_xll.BDP($T795,AD$2))</f>
        <v>-1</v>
      </c>
    </row>
    <row r="796" spans="10:30">
      <c r="J796" s="37"/>
      <c r="U796">
        <f>IF(LEFT(_xll.BDP($T796,U$2),4)="#N/A",0,_xll.BDP($T796,U$2))</f>
        <v>0</v>
      </c>
      <c r="V796" t="e">
        <f>_xll.BDP(#REF!,V$2)</f>
        <v>#REF!</v>
      </c>
      <c r="W796" t="e">
        <f>_xll.BDP(#REF!,W$2)</f>
        <v>#REF!</v>
      </c>
      <c r="X796" t="e">
        <f>_xll.BDP(#REF!,X$2)</f>
        <v>#REF!</v>
      </c>
      <c r="Y796" t="e">
        <f>_xll.BDP(#REF!,Y$2)</f>
        <v>#REF!</v>
      </c>
      <c r="Z796" t="e">
        <f>_xll.BDP(#REF!,Z$2)</f>
        <v>#REF!</v>
      </c>
      <c r="AA796" t="e">
        <f>_xll.BDP(#REF!,AA$2)</f>
        <v>#REF!</v>
      </c>
      <c r="AD796">
        <f>IF(LEFT(_xll.BDP($T796,AD$2),4)="#N/A",-1,_xll.BDP($T796,AD$2))</f>
        <v>-1</v>
      </c>
    </row>
    <row r="797" spans="10:30">
      <c r="J797" s="37"/>
      <c r="U797">
        <f>IF(LEFT(_xll.BDP($T797,U$2),4)="#N/A",0,_xll.BDP($T797,U$2))</f>
        <v>0</v>
      </c>
      <c r="V797" t="e">
        <f>_xll.BDP(#REF!,V$2)</f>
        <v>#REF!</v>
      </c>
      <c r="W797" t="e">
        <f>_xll.BDP(#REF!,W$2)</f>
        <v>#REF!</v>
      </c>
      <c r="X797" t="e">
        <f>_xll.BDP(#REF!,X$2)</f>
        <v>#REF!</v>
      </c>
      <c r="Y797" t="e">
        <f>_xll.BDP(#REF!,Y$2)</f>
        <v>#REF!</v>
      </c>
      <c r="Z797" t="e">
        <f>_xll.BDP(#REF!,Z$2)</f>
        <v>#REF!</v>
      </c>
      <c r="AA797" t="e">
        <f>_xll.BDP(#REF!,AA$2)</f>
        <v>#REF!</v>
      </c>
      <c r="AD797">
        <f>IF(LEFT(_xll.BDP($T797,AD$2),4)="#N/A",-1,_xll.BDP($T797,AD$2))</f>
        <v>-1</v>
      </c>
    </row>
    <row r="798" spans="10:30">
      <c r="J798" s="37"/>
      <c r="U798">
        <f>IF(LEFT(_xll.BDP($T798,U$2),4)="#N/A",0,_xll.BDP($T798,U$2))</f>
        <v>0</v>
      </c>
      <c r="V798" t="e">
        <f>_xll.BDP(#REF!,V$2)</f>
        <v>#REF!</v>
      </c>
      <c r="W798" t="e">
        <f>_xll.BDP(#REF!,W$2)</f>
        <v>#REF!</v>
      </c>
      <c r="X798" t="e">
        <f>_xll.BDP(#REF!,X$2)</f>
        <v>#REF!</v>
      </c>
      <c r="Y798" t="e">
        <f>_xll.BDP(#REF!,Y$2)</f>
        <v>#REF!</v>
      </c>
      <c r="Z798" t="e">
        <f>_xll.BDP(#REF!,Z$2)</f>
        <v>#REF!</v>
      </c>
      <c r="AA798" t="e">
        <f>_xll.BDP(#REF!,AA$2)</f>
        <v>#REF!</v>
      </c>
      <c r="AD798">
        <f>IF(LEFT(_xll.BDP($T798,AD$2),4)="#N/A",-1,_xll.BDP($T798,AD$2))</f>
        <v>-1</v>
      </c>
    </row>
    <row r="799" spans="10:30">
      <c r="J799" s="37"/>
      <c r="U799">
        <f>IF(LEFT(_xll.BDP($T799,U$2),4)="#N/A",0,_xll.BDP($T799,U$2))</f>
        <v>0</v>
      </c>
      <c r="V799" t="e">
        <f>_xll.BDP(#REF!,V$2)</f>
        <v>#REF!</v>
      </c>
      <c r="W799" t="e">
        <f>_xll.BDP(#REF!,W$2)</f>
        <v>#REF!</v>
      </c>
      <c r="X799" t="e">
        <f>_xll.BDP(#REF!,X$2)</f>
        <v>#REF!</v>
      </c>
      <c r="Y799" t="e">
        <f>_xll.BDP(#REF!,Y$2)</f>
        <v>#REF!</v>
      </c>
      <c r="Z799" t="e">
        <f>_xll.BDP(#REF!,Z$2)</f>
        <v>#REF!</v>
      </c>
      <c r="AA799" t="e">
        <f>_xll.BDP(#REF!,AA$2)</f>
        <v>#REF!</v>
      </c>
      <c r="AD799">
        <f>IF(LEFT(_xll.BDP($T799,AD$2),4)="#N/A",-1,_xll.BDP($T799,AD$2))</f>
        <v>-1</v>
      </c>
    </row>
    <row r="800" spans="10:30">
      <c r="J800" s="37"/>
      <c r="U800">
        <f>IF(LEFT(_xll.BDP($T800,U$2),4)="#N/A",0,_xll.BDP($T800,U$2))</f>
        <v>0</v>
      </c>
      <c r="V800" t="e">
        <f>_xll.BDP(#REF!,V$2)</f>
        <v>#REF!</v>
      </c>
      <c r="W800" t="e">
        <f>_xll.BDP(#REF!,W$2)</f>
        <v>#REF!</v>
      </c>
      <c r="X800" t="e">
        <f>_xll.BDP(#REF!,X$2)</f>
        <v>#REF!</v>
      </c>
      <c r="Y800" t="e">
        <f>_xll.BDP(#REF!,Y$2)</f>
        <v>#REF!</v>
      </c>
      <c r="Z800" t="e">
        <f>_xll.BDP(#REF!,Z$2)</f>
        <v>#REF!</v>
      </c>
      <c r="AA800" t="e">
        <f>_xll.BDP(#REF!,AA$2)</f>
        <v>#REF!</v>
      </c>
      <c r="AD800">
        <f>IF(LEFT(_xll.BDP($T800,AD$2),4)="#N/A",-1,_xll.BDP($T800,AD$2))</f>
        <v>-1</v>
      </c>
    </row>
    <row r="801" spans="10:30">
      <c r="J801" s="37"/>
      <c r="U801">
        <f>IF(LEFT(_xll.BDP($T801,U$2),4)="#N/A",0,_xll.BDP($T801,U$2))</f>
        <v>0</v>
      </c>
      <c r="V801" t="e">
        <f>_xll.BDP(#REF!,V$2)</f>
        <v>#REF!</v>
      </c>
      <c r="W801" t="e">
        <f>_xll.BDP(#REF!,W$2)</f>
        <v>#REF!</v>
      </c>
      <c r="X801" t="e">
        <f>_xll.BDP(#REF!,X$2)</f>
        <v>#REF!</v>
      </c>
      <c r="Y801" t="e">
        <f>_xll.BDP(#REF!,Y$2)</f>
        <v>#REF!</v>
      </c>
      <c r="Z801" t="e">
        <f>_xll.BDP(#REF!,Z$2)</f>
        <v>#REF!</v>
      </c>
      <c r="AA801" t="e">
        <f>_xll.BDP(#REF!,AA$2)</f>
        <v>#REF!</v>
      </c>
      <c r="AD801">
        <f>IF(LEFT(_xll.BDP($T801,AD$2),4)="#N/A",-1,_xll.BDP($T801,AD$2))</f>
        <v>-1</v>
      </c>
    </row>
    <row r="802" spans="10:30">
      <c r="J802" s="37"/>
      <c r="U802">
        <f>IF(LEFT(_xll.BDP($T802,U$2),4)="#N/A",0,_xll.BDP($T802,U$2))</f>
        <v>0</v>
      </c>
      <c r="V802" t="e">
        <f>_xll.BDP(#REF!,V$2)</f>
        <v>#REF!</v>
      </c>
      <c r="W802" t="e">
        <f>_xll.BDP(#REF!,W$2)</f>
        <v>#REF!</v>
      </c>
      <c r="X802" t="e">
        <f>_xll.BDP(#REF!,X$2)</f>
        <v>#REF!</v>
      </c>
      <c r="Y802" t="e">
        <f>_xll.BDP(#REF!,Y$2)</f>
        <v>#REF!</v>
      </c>
      <c r="Z802" t="e">
        <f>_xll.BDP(#REF!,Z$2)</f>
        <v>#REF!</v>
      </c>
      <c r="AA802" t="e">
        <f>_xll.BDP(#REF!,AA$2)</f>
        <v>#REF!</v>
      </c>
      <c r="AD802">
        <f>IF(LEFT(_xll.BDP($T802,AD$2),4)="#N/A",-1,_xll.BDP($T802,AD$2))</f>
        <v>-1</v>
      </c>
    </row>
    <row r="803" spans="10:30">
      <c r="J803" s="37"/>
      <c r="U803">
        <f>IF(LEFT(_xll.BDP($T803,U$2),4)="#N/A",0,_xll.BDP($T803,U$2))</f>
        <v>0</v>
      </c>
      <c r="V803" t="e">
        <f>_xll.BDP(#REF!,V$2)</f>
        <v>#REF!</v>
      </c>
      <c r="W803" t="e">
        <f>_xll.BDP(#REF!,W$2)</f>
        <v>#REF!</v>
      </c>
      <c r="X803" t="e">
        <f>_xll.BDP(#REF!,X$2)</f>
        <v>#REF!</v>
      </c>
      <c r="Y803" t="e">
        <f>_xll.BDP(#REF!,Y$2)</f>
        <v>#REF!</v>
      </c>
      <c r="Z803" t="e">
        <f>_xll.BDP(#REF!,Z$2)</f>
        <v>#REF!</v>
      </c>
      <c r="AA803" t="e">
        <f>_xll.BDP(#REF!,AA$2)</f>
        <v>#REF!</v>
      </c>
      <c r="AD803">
        <f>IF(LEFT(_xll.BDP($T803,AD$2),4)="#N/A",-1,_xll.BDP($T803,AD$2))</f>
        <v>-1</v>
      </c>
    </row>
    <row r="804" spans="10:30">
      <c r="J804" s="37"/>
      <c r="U804">
        <f>IF(LEFT(_xll.BDP($T804,U$2),4)="#N/A",0,_xll.BDP($T804,U$2))</f>
        <v>0</v>
      </c>
      <c r="V804" t="e">
        <f>_xll.BDP(#REF!,V$2)</f>
        <v>#REF!</v>
      </c>
      <c r="W804" t="e">
        <f>_xll.BDP(#REF!,W$2)</f>
        <v>#REF!</v>
      </c>
      <c r="X804" t="e">
        <f>_xll.BDP(#REF!,X$2)</f>
        <v>#REF!</v>
      </c>
      <c r="Y804" t="e">
        <f>_xll.BDP(#REF!,Y$2)</f>
        <v>#REF!</v>
      </c>
      <c r="Z804" t="e">
        <f>_xll.BDP(#REF!,Z$2)</f>
        <v>#REF!</v>
      </c>
      <c r="AA804" t="e">
        <f>_xll.BDP(#REF!,AA$2)</f>
        <v>#REF!</v>
      </c>
      <c r="AD804">
        <f>IF(LEFT(_xll.BDP($T804,AD$2),4)="#N/A",-1,_xll.BDP($T804,AD$2))</f>
        <v>-1</v>
      </c>
    </row>
    <row r="805" spans="10:30">
      <c r="J805" s="37"/>
      <c r="U805">
        <f>IF(LEFT(_xll.BDP($T805,U$2),4)="#N/A",0,_xll.BDP($T805,U$2))</f>
        <v>0</v>
      </c>
      <c r="V805" t="e">
        <f>_xll.BDP(#REF!,V$2)</f>
        <v>#REF!</v>
      </c>
      <c r="W805" t="e">
        <f>_xll.BDP(#REF!,W$2)</f>
        <v>#REF!</v>
      </c>
      <c r="X805" t="e">
        <f>_xll.BDP(#REF!,X$2)</f>
        <v>#REF!</v>
      </c>
      <c r="Y805" t="e">
        <f>_xll.BDP(#REF!,Y$2)</f>
        <v>#REF!</v>
      </c>
      <c r="Z805" t="e">
        <f>_xll.BDP(#REF!,Z$2)</f>
        <v>#REF!</v>
      </c>
      <c r="AA805" t="e">
        <f>_xll.BDP(#REF!,AA$2)</f>
        <v>#REF!</v>
      </c>
      <c r="AD805">
        <f>IF(LEFT(_xll.BDP($T805,AD$2),4)="#N/A",-1,_xll.BDP($T805,AD$2))</f>
        <v>-1</v>
      </c>
    </row>
    <row r="806" spans="10:30">
      <c r="J806" s="37"/>
      <c r="U806">
        <f>IF(LEFT(_xll.BDP($T806,U$2),4)="#N/A",0,_xll.BDP($T806,U$2))</f>
        <v>0</v>
      </c>
      <c r="V806" t="e">
        <f>_xll.BDP(#REF!,V$2)</f>
        <v>#REF!</v>
      </c>
      <c r="W806" t="e">
        <f>_xll.BDP(#REF!,W$2)</f>
        <v>#REF!</v>
      </c>
      <c r="X806" t="e">
        <f>_xll.BDP(#REF!,X$2)</f>
        <v>#REF!</v>
      </c>
      <c r="Y806" t="e">
        <f>_xll.BDP(#REF!,Y$2)</f>
        <v>#REF!</v>
      </c>
      <c r="Z806" t="e">
        <f>_xll.BDP(#REF!,Z$2)</f>
        <v>#REF!</v>
      </c>
      <c r="AA806" t="e">
        <f>_xll.BDP(#REF!,AA$2)</f>
        <v>#REF!</v>
      </c>
      <c r="AD806">
        <f>IF(LEFT(_xll.BDP($T806,AD$2),4)="#N/A",-1,_xll.BDP($T806,AD$2))</f>
        <v>-1</v>
      </c>
    </row>
    <row r="807" spans="10:30">
      <c r="J807" s="37"/>
      <c r="U807">
        <f>IF(LEFT(_xll.BDP($T807,U$2),4)="#N/A",0,_xll.BDP($T807,U$2))</f>
        <v>0</v>
      </c>
      <c r="V807" t="e">
        <f>_xll.BDP(#REF!,V$2)</f>
        <v>#REF!</v>
      </c>
      <c r="W807" t="e">
        <f>_xll.BDP(#REF!,W$2)</f>
        <v>#REF!</v>
      </c>
      <c r="X807" t="e">
        <f>_xll.BDP(#REF!,X$2)</f>
        <v>#REF!</v>
      </c>
      <c r="Y807" t="e">
        <f>_xll.BDP(#REF!,Y$2)</f>
        <v>#REF!</v>
      </c>
      <c r="Z807" t="e">
        <f>_xll.BDP(#REF!,Z$2)</f>
        <v>#REF!</v>
      </c>
      <c r="AA807" t="e">
        <f>_xll.BDP(#REF!,AA$2)</f>
        <v>#REF!</v>
      </c>
      <c r="AD807">
        <f>IF(LEFT(_xll.BDP($T807,AD$2),4)="#N/A",-1,_xll.BDP($T807,AD$2))</f>
        <v>-1</v>
      </c>
    </row>
    <row r="808" spans="10:30">
      <c r="J808" s="37"/>
      <c r="U808">
        <f>IF(LEFT(_xll.BDP($T808,U$2),4)="#N/A",0,_xll.BDP($T808,U$2))</f>
        <v>0</v>
      </c>
      <c r="V808" t="e">
        <f>_xll.BDP(#REF!,V$2)</f>
        <v>#REF!</v>
      </c>
      <c r="W808" t="e">
        <f>_xll.BDP(#REF!,W$2)</f>
        <v>#REF!</v>
      </c>
      <c r="X808" t="e">
        <f>_xll.BDP(#REF!,X$2)</f>
        <v>#REF!</v>
      </c>
      <c r="Y808" t="e">
        <f>_xll.BDP(#REF!,Y$2)</f>
        <v>#REF!</v>
      </c>
      <c r="Z808" t="e">
        <f>_xll.BDP(#REF!,Z$2)</f>
        <v>#REF!</v>
      </c>
      <c r="AA808" t="e">
        <f>_xll.BDP(#REF!,AA$2)</f>
        <v>#REF!</v>
      </c>
      <c r="AD808">
        <f>IF(LEFT(_xll.BDP($T808,AD$2),4)="#N/A",-1,_xll.BDP($T808,AD$2))</f>
        <v>-1</v>
      </c>
    </row>
    <row r="809" spans="10:30">
      <c r="J809" s="37"/>
      <c r="U809">
        <f>IF(LEFT(_xll.BDP($T809,U$2),4)="#N/A",0,_xll.BDP($T809,U$2))</f>
        <v>0</v>
      </c>
      <c r="V809" t="e">
        <f>_xll.BDP(#REF!,V$2)</f>
        <v>#REF!</v>
      </c>
      <c r="W809" t="e">
        <f>_xll.BDP(#REF!,W$2)</f>
        <v>#REF!</v>
      </c>
      <c r="X809" t="e">
        <f>_xll.BDP(#REF!,X$2)</f>
        <v>#REF!</v>
      </c>
      <c r="Y809" t="e">
        <f>_xll.BDP(#REF!,Y$2)</f>
        <v>#REF!</v>
      </c>
      <c r="Z809" t="e">
        <f>_xll.BDP(#REF!,Z$2)</f>
        <v>#REF!</v>
      </c>
      <c r="AA809" t="e">
        <f>_xll.BDP(#REF!,AA$2)</f>
        <v>#REF!</v>
      </c>
      <c r="AD809">
        <f>IF(LEFT(_xll.BDP($T809,AD$2),4)="#N/A",-1,_xll.BDP($T809,AD$2))</f>
        <v>-1</v>
      </c>
    </row>
    <row r="810" spans="10:30">
      <c r="J810" s="37"/>
      <c r="U810">
        <f>IF(LEFT(_xll.BDP($T810,U$2),4)="#N/A",0,_xll.BDP($T810,U$2))</f>
        <v>0</v>
      </c>
      <c r="V810" t="e">
        <f>_xll.BDP(#REF!,V$2)</f>
        <v>#REF!</v>
      </c>
      <c r="W810" t="e">
        <f>_xll.BDP(#REF!,W$2)</f>
        <v>#REF!</v>
      </c>
      <c r="X810" t="e">
        <f>_xll.BDP(#REF!,X$2)</f>
        <v>#REF!</v>
      </c>
      <c r="Y810" t="e">
        <f>_xll.BDP(#REF!,Y$2)</f>
        <v>#REF!</v>
      </c>
      <c r="Z810" t="e">
        <f>_xll.BDP(#REF!,Z$2)</f>
        <v>#REF!</v>
      </c>
      <c r="AA810" t="e">
        <f>_xll.BDP(#REF!,AA$2)</f>
        <v>#REF!</v>
      </c>
      <c r="AD810">
        <f>IF(LEFT(_xll.BDP($T810,AD$2),4)="#N/A",-1,_xll.BDP($T810,AD$2))</f>
        <v>-1</v>
      </c>
    </row>
    <row r="811" spans="10:30">
      <c r="J811" s="37"/>
      <c r="U811">
        <f>IF(LEFT(_xll.BDP($T811,U$2),4)="#N/A",0,_xll.BDP($T811,U$2))</f>
        <v>0</v>
      </c>
      <c r="V811" t="e">
        <f>_xll.BDP(#REF!,V$2)</f>
        <v>#REF!</v>
      </c>
      <c r="W811" t="e">
        <f>_xll.BDP(#REF!,W$2)</f>
        <v>#REF!</v>
      </c>
      <c r="X811" t="e">
        <f>_xll.BDP(#REF!,X$2)</f>
        <v>#REF!</v>
      </c>
      <c r="Y811" t="e">
        <f>_xll.BDP(#REF!,Y$2)</f>
        <v>#REF!</v>
      </c>
      <c r="Z811" t="e">
        <f>_xll.BDP(#REF!,Z$2)</f>
        <v>#REF!</v>
      </c>
      <c r="AA811" t="e">
        <f>_xll.BDP(#REF!,AA$2)</f>
        <v>#REF!</v>
      </c>
      <c r="AD811">
        <f>IF(LEFT(_xll.BDP($T811,AD$2),4)="#N/A",-1,_xll.BDP($T811,AD$2))</f>
        <v>-1</v>
      </c>
    </row>
    <row r="812" spans="10:30">
      <c r="J812" s="37"/>
      <c r="U812">
        <f>IF(LEFT(_xll.BDP($T812,U$2),4)="#N/A",0,_xll.BDP($T812,U$2))</f>
        <v>0</v>
      </c>
      <c r="V812" t="e">
        <f>_xll.BDP(#REF!,V$2)</f>
        <v>#REF!</v>
      </c>
      <c r="W812" t="e">
        <f>_xll.BDP(#REF!,W$2)</f>
        <v>#REF!</v>
      </c>
      <c r="X812" t="e">
        <f>_xll.BDP(#REF!,X$2)</f>
        <v>#REF!</v>
      </c>
      <c r="Y812" t="e">
        <f>_xll.BDP(#REF!,Y$2)</f>
        <v>#REF!</v>
      </c>
      <c r="Z812" t="e">
        <f>_xll.BDP(#REF!,Z$2)</f>
        <v>#REF!</v>
      </c>
      <c r="AA812" t="e">
        <f>_xll.BDP(#REF!,AA$2)</f>
        <v>#REF!</v>
      </c>
      <c r="AD812">
        <f>IF(LEFT(_xll.BDP($T812,AD$2),4)="#N/A",-1,_xll.BDP($T812,AD$2))</f>
        <v>-1</v>
      </c>
    </row>
    <row r="813" spans="10:30">
      <c r="J813" s="37"/>
      <c r="U813">
        <f>IF(LEFT(_xll.BDP($T813,U$2),4)="#N/A",0,_xll.BDP($T813,U$2))</f>
        <v>0</v>
      </c>
      <c r="V813" t="e">
        <f>_xll.BDP(#REF!,V$2)</f>
        <v>#REF!</v>
      </c>
      <c r="W813" t="e">
        <f>_xll.BDP(#REF!,W$2)</f>
        <v>#REF!</v>
      </c>
      <c r="X813" t="e">
        <f>_xll.BDP(#REF!,X$2)</f>
        <v>#REF!</v>
      </c>
      <c r="Y813" t="e">
        <f>_xll.BDP(#REF!,Y$2)</f>
        <v>#REF!</v>
      </c>
      <c r="Z813" t="e">
        <f>_xll.BDP(#REF!,Z$2)</f>
        <v>#REF!</v>
      </c>
      <c r="AA813" t="e">
        <f>_xll.BDP(#REF!,AA$2)</f>
        <v>#REF!</v>
      </c>
      <c r="AD813">
        <f>IF(LEFT(_xll.BDP($T813,AD$2),4)="#N/A",-1,_xll.BDP($T813,AD$2))</f>
        <v>-1</v>
      </c>
    </row>
    <row r="814" spans="10:30">
      <c r="J814" s="37"/>
      <c r="U814">
        <f>IF(LEFT(_xll.BDP($T814,U$2),4)="#N/A",0,_xll.BDP($T814,U$2))</f>
        <v>0</v>
      </c>
      <c r="V814" t="e">
        <f>_xll.BDP(#REF!,V$2)</f>
        <v>#REF!</v>
      </c>
      <c r="W814" t="e">
        <f>_xll.BDP(#REF!,W$2)</f>
        <v>#REF!</v>
      </c>
      <c r="X814" t="e">
        <f>_xll.BDP(#REF!,X$2)</f>
        <v>#REF!</v>
      </c>
      <c r="Y814" t="e">
        <f>_xll.BDP(#REF!,Y$2)</f>
        <v>#REF!</v>
      </c>
      <c r="Z814" t="e">
        <f>_xll.BDP(#REF!,Z$2)</f>
        <v>#REF!</v>
      </c>
      <c r="AA814" t="e">
        <f>_xll.BDP(#REF!,AA$2)</f>
        <v>#REF!</v>
      </c>
      <c r="AD814">
        <f>IF(LEFT(_xll.BDP($T814,AD$2),4)="#N/A",-1,_xll.BDP($T814,AD$2))</f>
        <v>-1</v>
      </c>
    </row>
    <row r="815" spans="10:30">
      <c r="J815" s="37"/>
      <c r="U815">
        <f>IF(LEFT(_xll.BDP($T815,U$2),4)="#N/A",0,_xll.BDP($T815,U$2))</f>
        <v>0</v>
      </c>
      <c r="V815" t="e">
        <f>_xll.BDP(#REF!,V$2)</f>
        <v>#REF!</v>
      </c>
      <c r="W815" t="e">
        <f>_xll.BDP(#REF!,W$2)</f>
        <v>#REF!</v>
      </c>
      <c r="X815" t="e">
        <f>_xll.BDP(#REF!,X$2)</f>
        <v>#REF!</v>
      </c>
      <c r="Y815" t="e">
        <f>_xll.BDP(#REF!,Y$2)</f>
        <v>#REF!</v>
      </c>
      <c r="Z815" t="e">
        <f>_xll.BDP(#REF!,Z$2)</f>
        <v>#REF!</v>
      </c>
      <c r="AA815" t="e">
        <f>_xll.BDP(#REF!,AA$2)</f>
        <v>#REF!</v>
      </c>
      <c r="AD815">
        <f>IF(LEFT(_xll.BDP($T815,AD$2),4)="#N/A",-1,_xll.BDP($T815,AD$2))</f>
        <v>-1</v>
      </c>
    </row>
    <row r="816" spans="10:30">
      <c r="J816" s="37"/>
      <c r="U816">
        <f>IF(LEFT(_xll.BDP($T816,U$2),4)="#N/A",0,_xll.BDP($T816,U$2))</f>
        <v>0</v>
      </c>
      <c r="V816" t="e">
        <f>_xll.BDP(#REF!,V$2)</f>
        <v>#REF!</v>
      </c>
      <c r="W816" t="e">
        <f>_xll.BDP(#REF!,W$2)</f>
        <v>#REF!</v>
      </c>
      <c r="X816" t="e">
        <f>_xll.BDP(#REF!,X$2)</f>
        <v>#REF!</v>
      </c>
      <c r="Y816" t="e">
        <f>_xll.BDP(#REF!,Y$2)</f>
        <v>#REF!</v>
      </c>
      <c r="Z816" t="e">
        <f>_xll.BDP(#REF!,Z$2)</f>
        <v>#REF!</v>
      </c>
      <c r="AA816" t="e">
        <f>_xll.BDP(#REF!,AA$2)</f>
        <v>#REF!</v>
      </c>
      <c r="AD816">
        <f>IF(LEFT(_xll.BDP($T816,AD$2),4)="#N/A",-1,_xll.BDP($T816,AD$2))</f>
        <v>-1</v>
      </c>
    </row>
    <row r="817" spans="10:30">
      <c r="J817" s="37"/>
      <c r="U817">
        <f>IF(LEFT(_xll.BDP($T817,U$2),4)="#N/A",0,_xll.BDP($T817,U$2))</f>
        <v>0</v>
      </c>
      <c r="V817" t="e">
        <f>_xll.BDP(#REF!,V$2)</f>
        <v>#REF!</v>
      </c>
      <c r="W817" t="e">
        <f>_xll.BDP(#REF!,W$2)</f>
        <v>#REF!</v>
      </c>
      <c r="X817" t="e">
        <f>_xll.BDP(#REF!,X$2)</f>
        <v>#REF!</v>
      </c>
      <c r="Y817" t="e">
        <f>_xll.BDP(#REF!,Y$2)</f>
        <v>#REF!</v>
      </c>
      <c r="Z817" t="e">
        <f>_xll.BDP(#REF!,Z$2)</f>
        <v>#REF!</v>
      </c>
      <c r="AA817" t="e">
        <f>_xll.BDP(#REF!,AA$2)</f>
        <v>#REF!</v>
      </c>
      <c r="AD817">
        <f>IF(LEFT(_xll.BDP($T817,AD$2),4)="#N/A",-1,_xll.BDP($T817,AD$2))</f>
        <v>-1</v>
      </c>
    </row>
    <row r="818" spans="10:30">
      <c r="J818" s="37"/>
      <c r="U818">
        <f>IF(LEFT(_xll.BDP($T818,U$2),4)="#N/A",0,_xll.BDP($T818,U$2))</f>
        <v>0</v>
      </c>
      <c r="V818" t="e">
        <f>_xll.BDP(#REF!,V$2)</f>
        <v>#REF!</v>
      </c>
      <c r="W818" t="e">
        <f>_xll.BDP(#REF!,W$2)</f>
        <v>#REF!</v>
      </c>
      <c r="X818" t="e">
        <f>_xll.BDP(#REF!,X$2)</f>
        <v>#REF!</v>
      </c>
      <c r="Y818" t="e">
        <f>_xll.BDP(#REF!,Y$2)</f>
        <v>#REF!</v>
      </c>
      <c r="Z818" t="e">
        <f>_xll.BDP(#REF!,Z$2)</f>
        <v>#REF!</v>
      </c>
      <c r="AA818" t="e">
        <f>_xll.BDP(#REF!,AA$2)</f>
        <v>#REF!</v>
      </c>
      <c r="AD818">
        <f>IF(LEFT(_xll.BDP($T818,AD$2),4)="#N/A",-1,_xll.BDP($T818,AD$2))</f>
        <v>-1</v>
      </c>
    </row>
    <row r="819" spans="10:30">
      <c r="J819" s="37"/>
      <c r="U819">
        <f>IF(LEFT(_xll.BDP($T819,U$2),4)="#N/A",0,_xll.BDP($T819,U$2))</f>
        <v>0</v>
      </c>
      <c r="V819" t="e">
        <f>_xll.BDP(#REF!,V$2)</f>
        <v>#REF!</v>
      </c>
      <c r="W819" t="e">
        <f>_xll.BDP(#REF!,W$2)</f>
        <v>#REF!</v>
      </c>
      <c r="X819" t="e">
        <f>_xll.BDP(#REF!,X$2)</f>
        <v>#REF!</v>
      </c>
      <c r="Y819" t="e">
        <f>_xll.BDP(#REF!,Y$2)</f>
        <v>#REF!</v>
      </c>
      <c r="Z819" t="e">
        <f>_xll.BDP(#REF!,Z$2)</f>
        <v>#REF!</v>
      </c>
      <c r="AA819" t="e">
        <f>_xll.BDP(#REF!,AA$2)</f>
        <v>#REF!</v>
      </c>
      <c r="AD819">
        <f>IF(LEFT(_xll.BDP($T819,AD$2),4)="#N/A",-1,_xll.BDP($T819,AD$2))</f>
        <v>-1</v>
      </c>
    </row>
    <row r="820" spans="10:30">
      <c r="J820" s="37"/>
      <c r="U820">
        <f>IF(LEFT(_xll.BDP($T820,U$2),4)="#N/A",0,_xll.BDP($T820,U$2))</f>
        <v>0</v>
      </c>
      <c r="V820" t="e">
        <f>_xll.BDP(#REF!,V$2)</f>
        <v>#REF!</v>
      </c>
      <c r="W820" t="e">
        <f>_xll.BDP(#REF!,W$2)</f>
        <v>#REF!</v>
      </c>
      <c r="X820" t="e">
        <f>_xll.BDP(#REF!,X$2)</f>
        <v>#REF!</v>
      </c>
      <c r="Y820" t="e">
        <f>_xll.BDP(#REF!,Y$2)</f>
        <v>#REF!</v>
      </c>
      <c r="Z820" t="e">
        <f>_xll.BDP(#REF!,Z$2)</f>
        <v>#REF!</v>
      </c>
      <c r="AA820" t="e">
        <f>_xll.BDP(#REF!,AA$2)</f>
        <v>#REF!</v>
      </c>
      <c r="AD820">
        <f>IF(LEFT(_xll.BDP($T820,AD$2),4)="#N/A",-1,_xll.BDP($T820,AD$2))</f>
        <v>-1</v>
      </c>
    </row>
    <row r="821" spans="10:30">
      <c r="J821" s="37"/>
      <c r="U821">
        <f>IF(LEFT(_xll.BDP($T821,U$2),4)="#N/A",0,_xll.BDP($T821,U$2))</f>
        <v>0</v>
      </c>
      <c r="V821" t="e">
        <f>_xll.BDP(#REF!,V$2)</f>
        <v>#REF!</v>
      </c>
      <c r="W821" t="e">
        <f>_xll.BDP(#REF!,W$2)</f>
        <v>#REF!</v>
      </c>
      <c r="X821" t="e">
        <f>_xll.BDP(#REF!,X$2)</f>
        <v>#REF!</v>
      </c>
      <c r="Y821" t="e">
        <f>_xll.BDP(#REF!,Y$2)</f>
        <v>#REF!</v>
      </c>
      <c r="Z821" t="e">
        <f>_xll.BDP(#REF!,Z$2)</f>
        <v>#REF!</v>
      </c>
      <c r="AA821" t="e">
        <f>_xll.BDP(#REF!,AA$2)</f>
        <v>#REF!</v>
      </c>
      <c r="AD821">
        <f>IF(LEFT(_xll.BDP($T821,AD$2),4)="#N/A",-1,_xll.BDP($T821,AD$2))</f>
        <v>-1</v>
      </c>
    </row>
    <row r="822" spans="10:30">
      <c r="J822" s="37"/>
      <c r="U822">
        <f>IF(LEFT(_xll.BDP($T822,U$2),4)="#N/A",0,_xll.BDP($T822,U$2))</f>
        <v>0</v>
      </c>
      <c r="V822" t="e">
        <f>_xll.BDP(#REF!,V$2)</f>
        <v>#REF!</v>
      </c>
      <c r="W822" t="e">
        <f>_xll.BDP(#REF!,W$2)</f>
        <v>#REF!</v>
      </c>
      <c r="X822" t="e">
        <f>_xll.BDP(#REF!,X$2)</f>
        <v>#REF!</v>
      </c>
      <c r="Y822" t="e">
        <f>_xll.BDP(#REF!,Y$2)</f>
        <v>#REF!</v>
      </c>
      <c r="Z822" t="e">
        <f>_xll.BDP(#REF!,Z$2)</f>
        <v>#REF!</v>
      </c>
      <c r="AA822" t="e">
        <f>_xll.BDP(#REF!,AA$2)</f>
        <v>#REF!</v>
      </c>
      <c r="AD822">
        <f>IF(LEFT(_xll.BDP($T822,AD$2),4)="#N/A",-1,_xll.BDP($T822,AD$2))</f>
        <v>-1</v>
      </c>
    </row>
    <row r="823" spans="10:30">
      <c r="J823" s="37"/>
      <c r="U823">
        <f>IF(LEFT(_xll.BDP($T823,U$2),4)="#N/A",0,_xll.BDP($T823,U$2))</f>
        <v>0</v>
      </c>
      <c r="V823" t="e">
        <f>_xll.BDP(#REF!,V$2)</f>
        <v>#REF!</v>
      </c>
      <c r="W823" t="e">
        <f>_xll.BDP(#REF!,W$2)</f>
        <v>#REF!</v>
      </c>
      <c r="X823" t="e">
        <f>_xll.BDP(#REF!,X$2)</f>
        <v>#REF!</v>
      </c>
      <c r="Y823" t="e">
        <f>_xll.BDP(#REF!,Y$2)</f>
        <v>#REF!</v>
      </c>
      <c r="Z823" t="e">
        <f>_xll.BDP(#REF!,Z$2)</f>
        <v>#REF!</v>
      </c>
      <c r="AA823" t="e">
        <f>_xll.BDP(#REF!,AA$2)</f>
        <v>#REF!</v>
      </c>
      <c r="AD823">
        <f>IF(LEFT(_xll.BDP($T823,AD$2),4)="#N/A",-1,_xll.BDP($T823,AD$2))</f>
        <v>-1</v>
      </c>
    </row>
    <row r="824" spans="10:30">
      <c r="J824" s="37"/>
      <c r="U824">
        <f>IF(LEFT(_xll.BDP($T824,U$2),4)="#N/A",0,_xll.BDP($T824,U$2))</f>
        <v>0</v>
      </c>
      <c r="V824" t="e">
        <f>_xll.BDP(#REF!,V$2)</f>
        <v>#REF!</v>
      </c>
      <c r="W824" t="e">
        <f>_xll.BDP(#REF!,W$2)</f>
        <v>#REF!</v>
      </c>
      <c r="X824" t="e">
        <f>_xll.BDP(#REF!,X$2)</f>
        <v>#REF!</v>
      </c>
      <c r="Y824" t="e">
        <f>_xll.BDP(#REF!,Y$2)</f>
        <v>#REF!</v>
      </c>
      <c r="Z824" t="e">
        <f>_xll.BDP(#REF!,Z$2)</f>
        <v>#REF!</v>
      </c>
      <c r="AA824" t="e">
        <f>_xll.BDP(#REF!,AA$2)</f>
        <v>#REF!</v>
      </c>
      <c r="AD824">
        <f>IF(LEFT(_xll.BDP($T824,AD$2),4)="#N/A",-1,_xll.BDP($T824,AD$2))</f>
        <v>-1</v>
      </c>
    </row>
    <row r="825" spans="10:30">
      <c r="J825" s="37"/>
      <c r="U825">
        <f>IF(LEFT(_xll.BDP($T825,U$2),4)="#N/A",0,_xll.BDP($T825,U$2))</f>
        <v>0</v>
      </c>
      <c r="V825" t="e">
        <f>_xll.BDP(#REF!,V$2)</f>
        <v>#REF!</v>
      </c>
      <c r="W825" t="e">
        <f>_xll.BDP(#REF!,W$2)</f>
        <v>#REF!</v>
      </c>
      <c r="X825" t="e">
        <f>_xll.BDP(#REF!,X$2)</f>
        <v>#REF!</v>
      </c>
      <c r="Y825" t="e">
        <f>_xll.BDP(#REF!,Y$2)</f>
        <v>#REF!</v>
      </c>
      <c r="Z825" t="e">
        <f>_xll.BDP(#REF!,Z$2)</f>
        <v>#REF!</v>
      </c>
      <c r="AA825" t="e">
        <f>_xll.BDP(#REF!,AA$2)</f>
        <v>#REF!</v>
      </c>
      <c r="AD825">
        <f>IF(LEFT(_xll.BDP($T825,AD$2),4)="#N/A",-1,_xll.BDP($T825,AD$2))</f>
        <v>-1</v>
      </c>
    </row>
    <row r="826" spans="10:30">
      <c r="J826" s="37"/>
      <c r="U826">
        <f>IF(LEFT(_xll.BDP($T826,U$2),4)="#N/A",0,_xll.BDP($T826,U$2))</f>
        <v>0</v>
      </c>
      <c r="V826" t="e">
        <f>_xll.BDP(#REF!,V$2)</f>
        <v>#REF!</v>
      </c>
      <c r="W826" t="e">
        <f>_xll.BDP(#REF!,W$2)</f>
        <v>#REF!</v>
      </c>
      <c r="X826" t="e">
        <f>_xll.BDP(#REF!,X$2)</f>
        <v>#REF!</v>
      </c>
      <c r="Y826" t="e">
        <f>_xll.BDP(#REF!,Y$2)</f>
        <v>#REF!</v>
      </c>
      <c r="Z826" t="e">
        <f>_xll.BDP(#REF!,Z$2)</f>
        <v>#REF!</v>
      </c>
      <c r="AA826" t="e">
        <f>_xll.BDP(#REF!,AA$2)</f>
        <v>#REF!</v>
      </c>
      <c r="AD826">
        <f>IF(LEFT(_xll.BDP($T826,AD$2),4)="#N/A",-1,_xll.BDP($T826,AD$2))</f>
        <v>-1</v>
      </c>
    </row>
    <row r="827" spans="10:30">
      <c r="J827" s="37"/>
      <c r="U827">
        <f>IF(LEFT(_xll.BDP($T827,U$2),4)="#N/A",0,_xll.BDP($T827,U$2))</f>
        <v>0</v>
      </c>
      <c r="V827" t="e">
        <f>_xll.BDP(#REF!,V$2)</f>
        <v>#REF!</v>
      </c>
      <c r="W827" t="e">
        <f>_xll.BDP(#REF!,W$2)</f>
        <v>#REF!</v>
      </c>
      <c r="X827" t="e">
        <f>_xll.BDP(#REF!,X$2)</f>
        <v>#REF!</v>
      </c>
      <c r="Y827" t="e">
        <f>_xll.BDP(#REF!,Y$2)</f>
        <v>#REF!</v>
      </c>
      <c r="Z827" t="e">
        <f>_xll.BDP(#REF!,Z$2)</f>
        <v>#REF!</v>
      </c>
      <c r="AA827" t="e">
        <f>_xll.BDP(#REF!,AA$2)</f>
        <v>#REF!</v>
      </c>
      <c r="AD827">
        <f>IF(LEFT(_xll.BDP($T827,AD$2),4)="#N/A",-1,_xll.BDP($T827,AD$2))</f>
        <v>-1</v>
      </c>
    </row>
    <row r="828" spans="10:30">
      <c r="J828" s="37"/>
      <c r="U828">
        <f>IF(LEFT(_xll.BDP($T828,U$2),4)="#N/A",0,_xll.BDP($T828,U$2))</f>
        <v>0</v>
      </c>
      <c r="V828" t="e">
        <f>_xll.BDP(#REF!,V$2)</f>
        <v>#REF!</v>
      </c>
      <c r="W828" t="e">
        <f>_xll.BDP(#REF!,W$2)</f>
        <v>#REF!</v>
      </c>
      <c r="X828" t="e">
        <f>_xll.BDP(#REF!,X$2)</f>
        <v>#REF!</v>
      </c>
      <c r="Y828" t="e">
        <f>_xll.BDP(#REF!,Y$2)</f>
        <v>#REF!</v>
      </c>
      <c r="Z828" t="e">
        <f>_xll.BDP(#REF!,Z$2)</f>
        <v>#REF!</v>
      </c>
      <c r="AA828" t="e">
        <f>_xll.BDP(#REF!,AA$2)</f>
        <v>#REF!</v>
      </c>
      <c r="AD828">
        <f>IF(LEFT(_xll.BDP($T828,AD$2),4)="#N/A",-1,_xll.BDP($T828,AD$2))</f>
        <v>-1</v>
      </c>
    </row>
    <row r="829" spans="10:30">
      <c r="J829" s="37"/>
      <c r="U829">
        <f>IF(LEFT(_xll.BDP($T829,U$2),4)="#N/A",0,_xll.BDP($T829,U$2))</f>
        <v>0</v>
      </c>
      <c r="V829" t="e">
        <f>_xll.BDP(#REF!,V$2)</f>
        <v>#REF!</v>
      </c>
      <c r="W829" t="e">
        <f>_xll.BDP(#REF!,W$2)</f>
        <v>#REF!</v>
      </c>
      <c r="X829" t="e">
        <f>_xll.BDP(#REF!,X$2)</f>
        <v>#REF!</v>
      </c>
      <c r="Y829" t="e">
        <f>_xll.BDP(#REF!,Y$2)</f>
        <v>#REF!</v>
      </c>
      <c r="Z829" t="e">
        <f>_xll.BDP(#REF!,Z$2)</f>
        <v>#REF!</v>
      </c>
      <c r="AA829" t="e">
        <f>_xll.BDP(#REF!,AA$2)</f>
        <v>#REF!</v>
      </c>
      <c r="AD829">
        <f>IF(LEFT(_xll.BDP($T829,AD$2),4)="#N/A",-1,_xll.BDP($T829,AD$2))</f>
        <v>-1</v>
      </c>
    </row>
    <row r="830" spans="10:30">
      <c r="J830" s="37"/>
      <c r="U830">
        <f>IF(LEFT(_xll.BDP($T830,U$2),4)="#N/A",0,_xll.BDP($T830,U$2))</f>
        <v>0</v>
      </c>
      <c r="V830" t="e">
        <f>_xll.BDP(#REF!,V$2)</f>
        <v>#REF!</v>
      </c>
      <c r="W830" t="e">
        <f>_xll.BDP(#REF!,W$2)</f>
        <v>#REF!</v>
      </c>
      <c r="X830" t="e">
        <f>_xll.BDP(#REF!,X$2)</f>
        <v>#REF!</v>
      </c>
      <c r="Y830" t="e">
        <f>_xll.BDP(#REF!,Y$2)</f>
        <v>#REF!</v>
      </c>
      <c r="Z830" t="e">
        <f>_xll.BDP(#REF!,Z$2)</f>
        <v>#REF!</v>
      </c>
      <c r="AA830" t="e">
        <f>_xll.BDP(#REF!,AA$2)</f>
        <v>#REF!</v>
      </c>
      <c r="AD830">
        <f>IF(LEFT(_xll.BDP($T830,AD$2),4)="#N/A",-1,_xll.BDP($T830,AD$2))</f>
        <v>-1</v>
      </c>
    </row>
    <row r="831" spans="10:30">
      <c r="J831" s="37"/>
      <c r="U831">
        <f>IF(LEFT(_xll.BDP($T831,U$2),4)="#N/A",0,_xll.BDP($T831,U$2))</f>
        <v>0</v>
      </c>
      <c r="V831" t="e">
        <f>_xll.BDP(#REF!,V$2)</f>
        <v>#REF!</v>
      </c>
      <c r="W831" t="e">
        <f>_xll.BDP(#REF!,W$2)</f>
        <v>#REF!</v>
      </c>
      <c r="X831" t="e">
        <f>_xll.BDP(#REF!,X$2)</f>
        <v>#REF!</v>
      </c>
      <c r="Y831" t="e">
        <f>_xll.BDP(#REF!,Y$2)</f>
        <v>#REF!</v>
      </c>
      <c r="Z831" t="e">
        <f>_xll.BDP(#REF!,Z$2)</f>
        <v>#REF!</v>
      </c>
      <c r="AA831" t="e">
        <f>_xll.BDP(#REF!,AA$2)</f>
        <v>#REF!</v>
      </c>
      <c r="AD831">
        <f>IF(LEFT(_xll.BDP($T831,AD$2),4)="#N/A",-1,_xll.BDP($T831,AD$2))</f>
        <v>-1</v>
      </c>
    </row>
    <row r="832" spans="10:30">
      <c r="J832" s="37"/>
      <c r="U832">
        <f>IF(LEFT(_xll.BDP($T832,U$2),4)="#N/A",0,_xll.BDP($T832,U$2))</f>
        <v>0</v>
      </c>
      <c r="V832" t="e">
        <f>_xll.BDP(#REF!,V$2)</f>
        <v>#REF!</v>
      </c>
      <c r="W832" t="e">
        <f>_xll.BDP(#REF!,W$2)</f>
        <v>#REF!</v>
      </c>
      <c r="X832" t="e">
        <f>_xll.BDP(#REF!,X$2)</f>
        <v>#REF!</v>
      </c>
      <c r="Y832" t="e">
        <f>_xll.BDP(#REF!,Y$2)</f>
        <v>#REF!</v>
      </c>
      <c r="Z832" t="e">
        <f>_xll.BDP(#REF!,Z$2)</f>
        <v>#REF!</v>
      </c>
      <c r="AA832" t="e">
        <f>_xll.BDP(#REF!,AA$2)</f>
        <v>#REF!</v>
      </c>
      <c r="AD832">
        <f>IF(LEFT(_xll.BDP($T832,AD$2),4)="#N/A",-1,_xll.BDP($T832,AD$2))</f>
        <v>-1</v>
      </c>
    </row>
    <row r="833" spans="10:30">
      <c r="J833" s="37"/>
      <c r="U833">
        <f>IF(LEFT(_xll.BDP($T833,U$2),4)="#N/A",0,_xll.BDP($T833,U$2))</f>
        <v>0</v>
      </c>
      <c r="V833" t="e">
        <f>_xll.BDP(#REF!,V$2)</f>
        <v>#REF!</v>
      </c>
      <c r="W833" t="e">
        <f>_xll.BDP(#REF!,W$2)</f>
        <v>#REF!</v>
      </c>
      <c r="X833" t="e">
        <f>_xll.BDP(#REF!,X$2)</f>
        <v>#REF!</v>
      </c>
      <c r="Y833" t="e">
        <f>_xll.BDP(#REF!,Y$2)</f>
        <v>#REF!</v>
      </c>
      <c r="Z833" t="e">
        <f>_xll.BDP(#REF!,Z$2)</f>
        <v>#REF!</v>
      </c>
      <c r="AA833" t="e">
        <f>_xll.BDP(#REF!,AA$2)</f>
        <v>#REF!</v>
      </c>
      <c r="AD833">
        <f>IF(LEFT(_xll.BDP($T833,AD$2),4)="#N/A",-1,_xll.BDP($T833,AD$2))</f>
        <v>-1</v>
      </c>
    </row>
    <row r="834" spans="10:30">
      <c r="J834" s="37"/>
      <c r="U834">
        <f>IF(LEFT(_xll.BDP($T834,U$2),4)="#N/A",0,_xll.BDP($T834,U$2))</f>
        <v>0</v>
      </c>
      <c r="V834" t="e">
        <f>_xll.BDP(#REF!,V$2)</f>
        <v>#REF!</v>
      </c>
      <c r="W834" t="e">
        <f>_xll.BDP(#REF!,W$2)</f>
        <v>#REF!</v>
      </c>
      <c r="X834" t="e">
        <f>_xll.BDP(#REF!,X$2)</f>
        <v>#REF!</v>
      </c>
      <c r="Y834" t="e">
        <f>_xll.BDP(#REF!,Y$2)</f>
        <v>#REF!</v>
      </c>
      <c r="Z834" t="e">
        <f>_xll.BDP(#REF!,Z$2)</f>
        <v>#REF!</v>
      </c>
      <c r="AA834" t="e">
        <f>_xll.BDP(#REF!,AA$2)</f>
        <v>#REF!</v>
      </c>
      <c r="AD834">
        <f>IF(LEFT(_xll.BDP($T834,AD$2),4)="#N/A",-1,_xll.BDP($T834,AD$2))</f>
        <v>-1</v>
      </c>
    </row>
    <row r="835" spans="10:30">
      <c r="J835" s="37"/>
      <c r="U835">
        <f>IF(LEFT(_xll.BDP($T835,U$2),4)="#N/A",0,_xll.BDP($T835,U$2))</f>
        <v>0</v>
      </c>
      <c r="V835" t="e">
        <f>_xll.BDP(#REF!,V$2)</f>
        <v>#REF!</v>
      </c>
      <c r="W835" t="e">
        <f>_xll.BDP(#REF!,W$2)</f>
        <v>#REF!</v>
      </c>
      <c r="X835" t="e">
        <f>_xll.BDP(#REF!,X$2)</f>
        <v>#REF!</v>
      </c>
      <c r="Y835" t="e">
        <f>_xll.BDP(#REF!,Y$2)</f>
        <v>#REF!</v>
      </c>
      <c r="Z835" t="e">
        <f>_xll.BDP(#REF!,Z$2)</f>
        <v>#REF!</v>
      </c>
      <c r="AA835" t="e">
        <f>_xll.BDP(#REF!,AA$2)</f>
        <v>#REF!</v>
      </c>
      <c r="AD835">
        <f>IF(LEFT(_xll.BDP($T835,AD$2),4)="#N/A",-1,_xll.BDP($T835,AD$2))</f>
        <v>-1</v>
      </c>
    </row>
    <row r="836" spans="10:30">
      <c r="J836" s="37"/>
      <c r="U836">
        <f>IF(LEFT(_xll.BDP($T836,U$2),4)="#N/A",0,_xll.BDP($T836,U$2))</f>
        <v>0</v>
      </c>
      <c r="V836" t="e">
        <f>_xll.BDP(#REF!,V$2)</f>
        <v>#REF!</v>
      </c>
      <c r="W836" t="e">
        <f>_xll.BDP(#REF!,W$2)</f>
        <v>#REF!</v>
      </c>
      <c r="X836" t="e">
        <f>_xll.BDP(#REF!,X$2)</f>
        <v>#REF!</v>
      </c>
      <c r="Y836" t="e">
        <f>_xll.BDP(#REF!,Y$2)</f>
        <v>#REF!</v>
      </c>
      <c r="Z836" t="e">
        <f>_xll.BDP(#REF!,Z$2)</f>
        <v>#REF!</v>
      </c>
      <c r="AA836" t="e">
        <f>_xll.BDP(#REF!,AA$2)</f>
        <v>#REF!</v>
      </c>
      <c r="AD836">
        <f>IF(LEFT(_xll.BDP($T836,AD$2),4)="#N/A",-1,_xll.BDP($T836,AD$2))</f>
        <v>-1</v>
      </c>
    </row>
    <row r="837" spans="10:30">
      <c r="J837" s="37"/>
      <c r="U837">
        <f>IF(LEFT(_xll.BDP($T837,U$2),4)="#N/A",0,_xll.BDP($T837,U$2))</f>
        <v>0</v>
      </c>
      <c r="V837" t="e">
        <f>_xll.BDP(#REF!,V$2)</f>
        <v>#REF!</v>
      </c>
      <c r="W837" t="e">
        <f>_xll.BDP(#REF!,W$2)</f>
        <v>#REF!</v>
      </c>
      <c r="X837" t="e">
        <f>_xll.BDP(#REF!,X$2)</f>
        <v>#REF!</v>
      </c>
      <c r="Y837" t="e">
        <f>_xll.BDP(#REF!,Y$2)</f>
        <v>#REF!</v>
      </c>
      <c r="Z837" t="e">
        <f>_xll.BDP(#REF!,Z$2)</f>
        <v>#REF!</v>
      </c>
      <c r="AA837" t="e">
        <f>_xll.BDP(#REF!,AA$2)</f>
        <v>#REF!</v>
      </c>
      <c r="AD837">
        <f>IF(LEFT(_xll.BDP($T837,AD$2),4)="#N/A",-1,_xll.BDP($T837,AD$2))</f>
        <v>-1</v>
      </c>
    </row>
    <row r="838" spans="10:30">
      <c r="J838" s="37"/>
      <c r="U838">
        <f>IF(LEFT(_xll.BDP($T838,U$2),4)="#N/A",0,_xll.BDP($T838,U$2))</f>
        <v>0</v>
      </c>
      <c r="V838" t="e">
        <f>_xll.BDP(#REF!,V$2)</f>
        <v>#REF!</v>
      </c>
      <c r="W838" t="e">
        <f>_xll.BDP(#REF!,W$2)</f>
        <v>#REF!</v>
      </c>
      <c r="X838" t="e">
        <f>_xll.BDP(#REF!,X$2)</f>
        <v>#REF!</v>
      </c>
      <c r="Y838" t="e">
        <f>_xll.BDP(#REF!,Y$2)</f>
        <v>#REF!</v>
      </c>
      <c r="Z838" t="e">
        <f>_xll.BDP(#REF!,Z$2)</f>
        <v>#REF!</v>
      </c>
      <c r="AA838" t="e">
        <f>_xll.BDP(#REF!,AA$2)</f>
        <v>#REF!</v>
      </c>
      <c r="AD838">
        <f>IF(LEFT(_xll.BDP($T838,AD$2),4)="#N/A",-1,_xll.BDP($T838,AD$2))</f>
        <v>-1</v>
      </c>
    </row>
    <row r="839" spans="10:30">
      <c r="J839" s="37"/>
      <c r="U839">
        <f>IF(LEFT(_xll.BDP($T839,U$2),4)="#N/A",0,_xll.BDP($T839,U$2))</f>
        <v>0</v>
      </c>
      <c r="V839" t="e">
        <f>_xll.BDP(#REF!,V$2)</f>
        <v>#REF!</v>
      </c>
      <c r="W839" t="e">
        <f>_xll.BDP(#REF!,W$2)</f>
        <v>#REF!</v>
      </c>
      <c r="X839" t="e">
        <f>_xll.BDP(#REF!,X$2)</f>
        <v>#REF!</v>
      </c>
      <c r="Y839" t="e">
        <f>_xll.BDP(#REF!,Y$2)</f>
        <v>#REF!</v>
      </c>
      <c r="Z839" t="e">
        <f>_xll.BDP(#REF!,Z$2)</f>
        <v>#REF!</v>
      </c>
      <c r="AA839" t="e">
        <f>_xll.BDP(#REF!,AA$2)</f>
        <v>#REF!</v>
      </c>
      <c r="AD839">
        <f>IF(LEFT(_xll.BDP($T839,AD$2),4)="#N/A",-1,_xll.BDP($T839,AD$2))</f>
        <v>-1</v>
      </c>
    </row>
    <row r="840" spans="10:30">
      <c r="J840" s="37"/>
      <c r="U840">
        <f>IF(LEFT(_xll.BDP($T840,U$2),4)="#N/A",0,_xll.BDP($T840,U$2))</f>
        <v>0</v>
      </c>
      <c r="V840" t="e">
        <f>_xll.BDP(#REF!,V$2)</f>
        <v>#REF!</v>
      </c>
      <c r="W840" t="e">
        <f>_xll.BDP(#REF!,W$2)</f>
        <v>#REF!</v>
      </c>
      <c r="X840" t="e">
        <f>_xll.BDP(#REF!,X$2)</f>
        <v>#REF!</v>
      </c>
      <c r="Y840" t="e">
        <f>_xll.BDP(#REF!,Y$2)</f>
        <v>#REF!</v>
      </c>
      <c r="Z840" t="e">
        <f>_xll.BDP(#REF!,Z$2)</f>
        <v>#REF!</v>
      </c>
      <c r="AA840" t="e">
        <f>_xll.BDP(#REF!,AA$2)</f>
        <v>#REF!</v>
      </c>
      <c r="AD840">
        <f>IF(LEFT(_xll.BDP($T840,AD$2),4)="#N/A",-1,_xll.BDP($T840,AD$2))</f>
        <v>-1</v>
      </c>
    </row>
    <row r="841" spans="10:30">
      <c r="J841" s="37"/>
      <c r="U841">
        <f>IF(LEFT(_xll.BDP($T841,U$2),4)="#N/A",0,_xll.BDP($T841,U$2))</f>
        <v>0</v>
      </c>
      <c r="V841" t="e">
        <f>_xll.BDP(#REF!,V$2)</f>
        <v>#REF!</v>
      </c>
      <c r="W841" t="e">
        <f>_xll.BDP(#REF!,W$2)</f>
        <v>#REF!</v>
      </c>
      <c r="X841" t="e">
        <f>_xll.BDP(#REF!,X$2)</f>
        <v>#REF!</v>
      </c>
      <c r="Y841" t="e">
        <f>_xll.BDP(#REF!,Y$2)</f>
        <v>#REF!</v>
      </c>
      <c r="Z841" t="e">
        <f>_xll.BDP(#REF!,Z$2)</f>
        <v>#REF!</v>
      </c>
      <c r="AA841" t="e">
        <f>_xll.BDP(#REF!,AA$2)</f>
        <v>#REF!</v>
      </c>
      <c r="AD841">
        <f>IF(LEFT(_xll.BDP($T841,AD$2),4)="#N/A",-1,_xll.BDP($T841,AD$2))</f>
        <v>-1</v>
      </c>
    </row>
    <row r="842" spans="10:30">
      <c r="J842" s="37"/>
      <c r="U842">
        <f>IF(LEFT(_xll.BDP($T842,U$2),4)="#N/A",0,_xll.BDP($T842,U$2))</f>
        <v>0</v>
      </c>
      <c r="V842" t="e">
        <f>_xll.BDP(#REF!,V$2)</f>
        <v>#REF!</v>
      </c>
      <c r="W842" t="e">
        <f>_xll.BDP(#REF!,W$2)</f>
        <v>#REF!</v>
      </c>
      <c r="X842" t="e">
        <f>_xll.BDP(#REF!,X$2)</f>
        <v>#REF!</v>
      </c>
      <c r="Y842" t="e">
        <f>_xll.BDP(#REF!,Y$2)</f>
        <v>#REF!</v>
      </c>
      <c r="Z842" t="e">
        <f>_xll.BDP(#REF!,Z$2)</f>
        <v>#REF!</v>
      </c>
      <c r="AA842" t="e">
        <f>_xll.BDP(#REF!,AA$2)</f>
        <v>#REF!</v>
      </c>
      <c r="AD842">
        <f>IF(LEFT(_xll.BDP($T842,AD$2),4)="#N/A",-1,_xll.BDP($T842,AD$2))</f>
        <v>-1</v>
      </c>
    </row>
    <row r="843" spans="10:30">
      <c r="J843" s="37"/>
      <c r="U843">
        <f>IF(LEFT(_xll.BDP($T843,U$2),4)="#N/A",0,_xll.BDP($T843,U$2))</f>
        <v>0</v>
      </c>
      <c r="V843" t="e">
        <f>_xll.BDP(#REF!,V$2)</f>
        <v>#REF!</v>
      </c>
      <c r="W843" t="e">
        <f>_xll.BDP(#REF!,W$2)</f>
        <v>#REF!</v>
      </c>
      <c r="X843" t="e">
        <f>_xll.BDP(#REF!,X$2)</f>
        <v>#REF!</v>
      </c>
      <c r="Y843" t="e">
        <f>_xll.BDP(#REF!,Y$2)</f>
        <v>#REF!</v>
      </c>
      <c r="Z843" t="e">
        <f>_xll.BDP(#REF!,Z$2)</f>
        <v>#REF!</v>
      </c>
      <c r="AA843" t="e">
        <f>_xll.BDP(#REF!,AA$2)</f>
        <v>#REF!</v>
      </c>
      <c r="AD843">
        <f>IF(LEFT(_xll.BDP($T843,AD$2),4)="#N/A",-1,_xll.BDP($T843,AD$2))</f>
        <v>-1</v>
      </c>
    </row>
    <row r="844" spans="10:30">
      <c r="J844" s="37"/>
      <c r="U844">
        <f>IF(LEFT(_xll.BDP($T844,U$2),4)="#N/A",0,_xll.BDP($T844,U$2))</f>
        <v>0</v>
      </c>
      <c r="V844" t="e">
        <f>_xll.BDP(#REF!,V$2)</f>
        <v>#REF!</v>
      </c>
      <c r="W844" t="e">
        <f>_xll.BDP(#REF!,W$2)</f>
        <v>#REF!</v>
      </c>
      <c r="X844" t="e">
        <f>_xll.BDP(#REF!,X$2)</f>
        <v>#REF!</v>
      </c>
      <c r="Y844" t="e">
        <f>_xll.BDP(#REF!,Y$2)</f>
        <v>#REF!</v>
      </c>
      <c r="Z844" t="e">
        <f>_xll.BDP(#REF!,Z$2)</f>
        <v>#REF!</v>
      </c>
      <c r="AA844" t="e">
        <f>_xll.BDP(#REF!,AA$2)</f>
        <v>#REF!</v>
      </c>
      <c r="AD844">
        <f>IF(LEFT(_xll.BDP($T844,AD$2),4)="#N/A",-1,_xll.BDP($T844,AD$2))</f>
        <v>-1</v>
      </c>
    </row>
    <row r="845" spans="10:30">
      <c r="J845" s="37"/>
      <c r="U845">
        <f>IF(LEFT(_xll.BDP($T845,U$2),4)="#N/A",0,_xll.BDP($T845,U$2))</f>
        <v>0</v>
      </c>
      <c r="V845" t="e">
        <f>_xll.BDP(#REF!,V$2)</f>
        <v>#REF!</v>
      </c>
      <c r="W845" t="e">
        <f>_xll.BDP(#REF!,W$2)</f>
        <v>#REF!</v>
      </c>
      <c r="X845" t="e">
        <f>_xll.BDP(#REF!,X$2)</f>
        <v>#REF!</v>
      </c>
      <c r="Y845" t="e">
        <f>_xll.BDP(#REF!,Y$2)</f>
        <v>#REF!</v>
      </c>
      <c r="Z845" t="e">
        <f>_xll.BDP(#REF!,Z$2)</f>
        <v>#REF!</v>
      </c>
      <c r="AA845" t="e">
        <f>_xll.BDP(#REF!,AA$2)</f>
        <v>#REF!</v>
      </c>
      <c r="AD845">
        <f>IF(LEFT(_xll.BDP($T845,AD$2),4)="#N/A",-1,_xll.BDP($T845,AD$2))</f>
        <v>-1</v>
      </c>
    </row>
    <row r="846" spans="10:30">
      <c r="J846" s="37"/>
      <c r="U846">
        <f>IF(LEFT(_xll.BDP($T846,U$2),4)="#N/A",0,_xll.BDP($T846,U$2))</f>
        <v>0</v>
      </c>
      <c r="V846" t="e">
        <f>_xll.BDP(#REF!,V$2)</f>
        <v>#REF!</v>
      </c>
      <c r="W846" t="e">
        <f>_xll.BDP(#REF!,W$2)</f>
        <v>#REF!</v>
      </c>
      <c r="X846" t="e">
        <f>_xll.BDP(#REF!,X$2)</f>
        <v>#REF!</v>
      </c>
      <c r="Y846" t="e">
        <f>_xll.BDP(#REF!,Y$2)</f>
        <v>#REF!</v>
      </c>
      <c r="Z846" t="e">
        <f>_xll.BDP(#REF!,Z$2)</f>
        <v>#REF!</v>
      </c>
      <c r="AA846" t="e">
        <f>_xll.BDP(#REF!,AA$2)</f>
        <v>#REF!</v>
      </c>
      <c r="AD846">
        <f>IF(LEFT(_xll.BDP($T846,AD$2),4)="#N/A",-1,_xll.BDP($T846,AD$2))</f>
        <v>-1</v>
      </c>
    </row>
    <row r="847" spans="10:30">
      <c r="J847" s="37"/>
      <c r="U847">
        <f>IF(LEFT(_xll.BDP($T847,U$2),4)="#N/A",0,_xll.BDP($T847,U$2))</f>
        <v>0</v>
      </c>
      <c r="V847" t="e">
        <f>_xll.BDP(#REF!,V$2)</f>
        <v>#REF!</v>
      </c>
      <c r="W847" t="e">
        <f>_xll.BDP(#REF!,W$2)</f>
        <v>#REF!</v>
      </c>
      <c r="X847" t="e">
        <f>_xll.BDP(#REF!,X$2)</f>
        <v>#REF!</v>
      </c>
      <c r="Y847" t="e">
        <f>_xll.BDP(#REF!,Y$2)</f>
        <v>#REF!</v>
      </c>
      <c r="Z847" t="e">
        <f>_xll.BDP(#REF!,Z$2)</f>
        <v>#REF!</v>
      </c>
      <c r="AA847" t="e">
        <f>_xll.BDP(#REF!,AA$2)</f>
        <v>#REF!</v>
      </c>
      <c r="AD847">
        <f>IF(LEFT(_xll.BDP($T847,AD$2),4)="#N/A",-1,_xll.BDP($T847,AD$2))</f>
        <v>-1</v>
      </c>
    </row>
    <row r="848" spans="10:30">
      <c r="J848" s="37"/>
      <c r="U848">
        <f>IF(LEFT(_xll.BDP($T848,U$2),4)="#N/A",0,_xll.BDP($T848,U$2))</f>
        <v>0</v>
      </c>
      <c r="V848" t="e">
        <f>_xll.BDP(#REF!,V$2)</f>
        <v>#REF!</v>
      </c>
      <c r="W848" t="e">
        <f>_xll.BDP(#REF!,W$2)</f>
        <v>#REF!</v>
      </c>
      <c r="X848" t="e">
        <f>_xll.BDP(#REF!,X$2)</f>
        <v>#REF!</v>
      </c>
      <c r="Y848" t="e">
        <f>_xll.BDP(#REF!,Y$2)</f>
        <v>#REF!</v>
      </c>
      <c r="Z848" t="e">
        <f>_xll.BDP(#REF!,Z$2)</f>
        <v>#REF!</v>
      </c>
      <c r="AA848" t="e">
        <f>_xll.BDP(#REF!,AA$2)</f>
        <v>#REF!</v>
      </c>
      <c r="AD848">
        <f>IF(LEFT(_xll.BDP($T848,AD$2),4)="#N/A",-1,_xll.BDP($T848,AD$2))</f>
        <v>-1</v>
      </c>
    </row>
    <row r="849" spans="10:30">
      <c r="J849" s="37"/>
      <c r="U849">
        <f>IF(LEFT(_xll.BDP($T849,U$2),4)="#N/A",0,_xll.BDP($T849,U$2))</f>
        <v>0</v>
      </c>
      <c r="V849" t="e">
        <f>_xll.BDP(#REF!,V$2)</f>
        <v>#REF!</v>
      </c>
      <c r="W849" t="e">
        <f>_xll.BDP(#REF!,W$2)</f>
        <v>#REF!</v>
      </c>
      <c r="X849" t="e">
        <f>_xll.BDP(#REF!,X$2)</f>
        <v>#REF!</v>
      </c>
      <c r="Y849" t="e">
        <f>_xll.BDP(#REF!,Y$2)</f>
        <v>#REF!</v>
      </c>
      <c r="Z849" t="e">
        <f>_xll.BDP(#REF!,Z$2)</f>
        <v>#REF!</v>
      </c>
      <c r="AA849" t="e">
        <f>_xll.BDP(#REF!,AA$2)</f>
        <v>#REF!</v>
      </c>
      <c r="AD849">
        <f>IF(LEFT(_xll.BDP($T849,AD$2),4)="#N/A",-1,_xll.BDP($T849,AD$2))</f>
        <v>-1</v>
      </c>
    </row>
    <row r="850" spans="10:30">
      <c r="J850" s="37"/>
      <c r="U850">
        <f>IF(LEFT(_xll.BDP($T850,U$2),4)="#N/A",0,_xll.BDP($T850,U$2))</f>
        <v>0</v>
      </c>
      <c r="V850" t="e">
        <f>_xll.BDP(#REF!,V$2)</f>
        <v>#REF!</v>
      </c>
      <c r="W850" t="e">
        <f>_xll.BDP(#REF!,W$2)</f>
        <v>#REF!</v>
      </c>
      <c r="X850" t="e">
        <f>_xll.BDP(#REF!,X$2)</f>
        <v>#REF!</v>
      </c>
      <c r="Y850" t="e">
        <f>_xll.BDP(#REF!,Y$2)</f>
        <v>#REF!</v>
      </c>
      <c r="Z850" t="e">
        <f>_xll.BDP(#REF!,Z$2)</f>
        <v>#REF!</v>
      </c>
      <c r="AA850" t="e">
        <f>_xll.BDP(#REF!,AA$2)</f>
        <v>#REF!</v>
      </c>
      <c r="AD850">
        <f>IF(LEFT(_xll.BDP($T850,AD$2),4)="#N/A",-1,_xll.BDP($T850,AD$2))</f>
        <v>-1</v>
      </c>
    </row>
    <row r="851" spans="10:30">
      <c r="J851" s="37"/>
      <c r="U851">
        <f>IF(LEFT(_xll.BDP($T851,U$2),4)="#N/A",0,_xll.BDP($T851,U$2))</f>
        <v>0</v>
      </c>
      <c r="V851" t="e">
        <f>_xll.BDP(#REF!,V$2)</f>
        <v>#REF!</v>
      </c>
      <c r="W851" t="e">
        <f>_xll.BDP(#REF!,W$2)</f>
        <v>#REF!</v>
      </c>
      <c r="X851" t="e">
        <f>_xll.BDP(#REF!,X$2)</f>
        <v>#REF!</v>
      </c>
      <c r="Y851" t="e">
        <f>_xll.BDP(#REF!,Y$2)</f>
        <v>#REF!</v>
      </c>
      <c r="Z851" t="e">
        <f>_xll.BDP(#REF!,Z$2)</f>
        <v>#REF!</v>
      </c>
      <c r="AA851" t="e">
        <f>_xll.BDP(#REF!,AA$2)</f>
        <v>#REF!</v>
      </c>
      <c r="AD851">
        <f>IF(LEFT(_xll.BDP($T851,AD$2),4)="#N/A",-1,_xll.BDP($T851,AD$2))</f>
        <v>-1</v>
      </c>
    </row>
    <row r="852" spans="10:30">
      <c r="J852" s="37"/>
      <c r="U852">
        <f>IF(LEFT(_xll.BDP($T852,U$2),4)="#N/A",0,_xll.BDP($T852,U$2))</f>
        <v>0</v>
      </c>
      <c r="V852" t="e">
        <f>_xll.BDP(#REF!,V$2)</f>
        <v>#REF!</v>
      </c>
      <c r="W852" t="e">
        <f>_xll.BDP(#REF!,W$2)</f>
        <v>#REF!</v>
      </c>
      <c r="X852" t="e">
        <f>_xll.BDP(#REF!,X$2)</f>
        <v>#REF!</v>
      </c>
      <c r="Y852" t="e">
        <f>_xll.BDP(#REF!,Y$2)</f>
        <v>#REF!</v>
      </c>
      <c r="Z852" t="e">
        <f>_xll.BDP(#REF!,Z$2)</f>
        <v>#REF!</v>
      </c>
      <c r="AA852" t="e">
        <f>_xll.BDP(#REF!,AA$2)</f>
        <v>#REF!</v>
      </c>
      <c r="AD852">
        <f>IF(LEFT(_xll.BDP($T852,AD$2),4)="#N/A",-1,_xll.BDP($T852,AD$2))</f>
        <v>-1</v>
      </c>
    </row>
    <row r="853" spans="10:30">
      <c r="J853" s="37"/>
      <c r="U853">
        <f>IF(LEFT(_xll.BDP($T853,U$2),4)="#N/A",0,_xll.BDP($T853,U$2))</f>
        <v>0</v>
      </c>
      <c r="V853" t="e">
        <f>_xll.BDP(#REF!,V$2)</f>
        <v>#REF!</v>
      </c>
      <c r="W853" t="e">
        <f>_xll.BDP(#REF!,W$2)</f>
        <v>#REF!</v>
      </c>
      <c r="X853" t="e">
        <f>_xll.BDP(#REF!,X$2)</f>
        <v>#REF!</v>
      </c>
      <c r="Y853" t="e">
        <f>_xll.BDP(#REF!,Y$2)</f>
        <v>#REF!</v>
      </c>
      <c r="Z853" t="e">
        <f>_xll.BDP(#REF!,Z$2)</f>
        <v>#REF!</v>
      </c>
      <c r="AA853" t="e">
        <f>_xll.BDP(#REF!,AA$2)</f>
        <v>#REF!</v>
      </c>
      <c r="AD853">
        <f>IF(LEFT(_xll.BDP($T853,AD$2),4)="#N/A",-1,_xll.BDP($T853,AD$2))</f>
        <v>-1</v>
      </c>
    </row>
    <row r="854" spans="10:30">
      <c r="J854" s="37"/>
      <c r="U854">
        <f>IF(LEFT(_xll.BDP($T854,U$2),4)="#N/A",0,_xll.BDP($T854,U$2))</f>
        <v>0</v>
      </c>
      <c r="V854" t="e">
        <f>_xll.BDP(#REF!,V$2)</f>
        <v>#REF!</v>
      </c>
      <c r="W854" t="e">
        <f>_xll.BDP(#REF!,W$2)</f>
        <v>#REF!</v>
      </c>
      <c r="X854" t="e">
        <f>_xll.BDP(#REF!,X$2)</f>
        <v>#REF!</v>
      </c>
      <c r="Y854" t="e">
        <f>_xll.BDP(#REF!,Y$2)</f>
        <v>#REF!</v>
      </c>
      <c r="Z854" t="e">
        <f>_xll.BDP(#REF!,Z$2)</f>
        <v>#REF!</v>
      </c>
      <c r="AA854" t="e">
        <f>_xll.BDP(#REF!,AA$2)</f>
        <v>#REF!</v>
      </c>
      <c r="AD854">
        <f>IF(LEFT(_xll.BDP($T854,AD$2),4)="#N/A",-1,_xll.BDP($T854,AD$2))</f>
        <v>-1</v>
      </c>
    </row>
    <row r="855" spans="10:30">
      <c r="J855" s="37"/>
      <c r="U855">
        <f>IF(LEFT(_xll.BDP($T855,U$2),4)="#N/A",0,_xll.BDP($T855,U$2))</f>
        <v>0</v>
      </c>
      <c r="V855" t="e">
        <f>_xll.BDP(#REF!,V$2)</f>
        <v>#REF!</v>
      </c>
      <c r="W855" t="e">
        <f>_xll.BDP(#REF!,W$2)</f>
        <v>#REF!</v>
      </c>
      <c r="X855" t="e">
        <f>_xll.BDP(#REF!,X$2)</f>
        <v>#REF!</v>
      </c>
      <c r="Y855" t="e">
        <f>_xll.BDP(#REF!,Y$2)</f>
        <v>#REF!</v>
      </c>
      <c r="Z855" t="e">
        <f>_xll.BDP(#REF!,Z$2)</f>
        <v>#REF!</v>
      </c>
      <c r="AA855" t="e">
        <f>_xll.BDP(#REF!,AA$2)</f>
        <v>#REF!</v>
      </c>
      <c r="AD855">
        <f>IF(LEFT(_xll.BDP($T855,AD$2),4)="#N/A",-1,_xll.BDP($T855,AD$2))</f>
        <v>-1</v>
      </c>
    </row>
    <row r="856" spans="10:30">
      <c r="J856" s="37"/>
      <c r="U856">
        <f>IF(LEFT(_xll.BDP($T856,U$2),4)="#N/A",0,_xll.BDP($T856,U$2))</f>
        <v>0</v>
      </c>
      <c r="V856" t="e">
        <f>_xll.BDP(#REF!,V$2)</f>
        <v>#REF!</v>
      </c>
      <c r="W856" t="e">
        <f>_xll.BDP(#REF!,W$2)</f>
        <v>#REF!</v>
      </c>
      <c r="X856" t="e">
        <f>_xll.BDP(#REF!,X$2)</f>
        <v>#REF!</v>
      </c>
      <c r="Y856" t="e">
        <f>_xll.BDP(#REF!,Y$2)</f>
        <v>#REF!</v>
      </c>
      <c r="Z856" t="e">
        <f>_xll.BDP(#REF!,Z$2)</f>
        <v>#REF!</v>
      </c>
      <c r="AA856" t="e">
        <f>_xll.BDP(#REF!,AA$2)</f>
        <v>#REF!</v>
      </c>
      <c r="AD856">
        <f>IF(LEFT(_xll.BDP($T856,AD$2),4)="#N/A",-1,_xll.BDP($T856,AD$2))</f>
        <v>-1</v>
      </c>
    </row>
    <row r="857" spans="10:30">
      <c r="J857" s="37"/>
      <c r="U857">
        <f>IF(LEFT(_xll.BDP($T857,U$2),4)="#N/A",0,_xll.BDP($T857,U$2))</f>
        <v>0</v>
      </c>
      <c r="V857" t="e">
        <f>_xll.BDP(#REF!,V$2)</f>
        <v>#REF!</v>
      </c>
      <c r="W857" t="e">
        <f>_xll.BDP(#REF!,W$2)</f>
        <v>#REF!</v>
      </c>
      <c r="X857" t="e">
        <f>_xll.BDP(#REF!,X$2)</f>
        <v>#REF!</v>
      </c>
      <c r="Y857" t="e">
        <f>_xll.BDP(#REF!,Y$2)</f>
        <v>#REF!</v>
      </c>
      <c r="Z857" t="e">
        <f>_xll.BDP(#REF!,Z$2)</f>
        <v>#REF!</v>
      </c>
      <c r="AA857" t="e">
        <f>_xll.BDP(#REF!,AA$2)</f>
        <v>#REF!</v>
      </c>
      <c r="AD857">
        <f>IF(LEFT(_xll.BDP($T857,AD$2),4)="#N/A",-1,_xll.BDP($T857,AD$2))</f>
        <v>-1</v>
      </c>
    </row>
    <row r="858" spans="10:30">
      <c r="J858" s="37"/>
      <c r="U858">
        <f>IF(LEFT(_xll.BDP($T858,U$2),4)="#N/A",0,_xll.BDP($T858,U$2))</f>
        <v>0</v>
      </c>
      <c r="V858" t="e">
        <f>_xll.BDP(#REF!,V$2)</f>
        <v>#REF!</v>
      </c>
      <c r="W858" t="e">
        <f>_xll.BDP(#REF!,W$2)</f>
        <v>#REF!</v>
      </c>
      <c r="X858" t="e">
        <f>_xll.BDP(#REF!,X$2)</f>
        <v>#REF!</v>
      </c>
      <c r="Y858" t="e">
        <f>_xll.BDP(#REF!,Y$2)</f>
        <v>#REF!</v>
      </c>
      <c r="Z858" t="e">
        <f>_xll.BDP(#REF!,Z$2)</f>
        <v>#REF!</v>
      </c>
      <c r="AA858" t="e">
        <f>_xll.BDP(#REF!,AA$2)</f>
        <v>#REF!</v>
      </c>
      <c r="AD858">
        <f>IF(LEFT(_xll.BDP($T858,AD$2),4)="#N/A",-1,_xll.BDP($T858,AD$2))</f>
        <v>-1</v>
      </c>
    </row>
    <row r="859" spans="10:30">
      <c r="J859" s="37"/>
      <c r="U859">
        <f>IF(LEFT(_xll.BDP($T859,U$2),4)="#N/A",0,_xll.BDP($T859,U$2))</f>
        <v>0</v>
      </c>
      <c r="V859" t="e">
        <f>_xll.BDP(#REF!,V$2)</f>
        <v>#REF!</v>
      </c>
      <c r="W859" t="e">
        <f>_xll.BDP(#REF!,W$2)</f>
        <v>#REF!</v>
      </c>
      <c r="X859" t="e">
        <f>_xll.BDP(#REF!,X$2)</f>
        <v>#REF!</v>
      </c>
      <c r="Y859" t="e">
        <f>_xll.BDP(#REF!,Y$2)</f>
        <v>#REF!</v>
      </c>
      <c r="Z859" t="e">
        <f>_xll.BDP(#REF!,Z$2)</f>
        <v>#REF!</v>
      </c>
      <c r="AA859" t="e">
        <f>_xll.BDP(#REF!,AA$2)</f>
        <v>#REF!</v>
      </c>
      <c r="AD859">
        <f>IF(LEFT(_xll.BDP($T859,AD$2),4)="#N/A",-1,_xll.BDP($T859,AD$2))</f>
        <v>-1</v>
      </c>
    </row>
    <row r="860" spans="10:30">
      <c r="J860" s="37"/>
      <c r="U860">
        <f>IF(LEFT(_xll.BDP($T860,U$2),4)="#N/A",0,_xll.BDP($T860,U$2))</f>
        <v>0</v>
      </c>
      <c r="V860" t="e">
        <f>_xll.BDP(#REF!,V$2)</f>
        <v>#REF!</v>
      </c>
      <c r="W860" t="e">
        <f>_xll.BDP(#REF!,W$2)</f>
        <v>#REF!</v>
      </c>
      <c r="X860" t="e">
        <f>_xll.BDP(#REF!,X$2)</f>
        <v>#REF!</v>
      </c>
      <c r="Y860" t="e">
        <f>_xll.BDP(#REF!,Y$2)</f>
        <v>#REF!</v>
      </c>
      <c r="Z860" t="e">
        <f>_xll.BDP(#REF!,Z$2)</f>
        <v>#REF!</v>
      </c>
      <c r="AA860" t="e">
        <f>_xll.BDP(#REF!,AA$2)</f>
        <v>#REF!</v>
      </c>
      <c r="AD860">
        <f>IF(LEFT(_xll.BDP($T860,AD$2),4)="#N/A",-1,_xll.BDP($T860,AD$2))</f>
        <v>-1</v>
      </c>
    </row>
    <row r="861" spans="10:30">
      <c r="J861" s="37"/>
      <c r="U861">
        <f>IF(LEFT(_xll.BDP($T861,U$2),4)="#N/A",0,_xll.BDP($T861,U$2))</f>
        <v>0</v>
      </c>
      <c r="V861" t="e">
        <f>_xll.BDP(#REF!,V$2)</f>
        <v>#REF!</v>
      </c>
      <c r="W861" t="e">
        <f>_xll.BDP(#REF!,W$2)</f>
        <v>#REF!</v>
      </c>
      <c r="X861" t="e">
        <f>_xll.BDP(#REF!,X$2)</f>
        <v>#REF!</v>
      </c>
      <c r="Y861" t="e">
        <f>_xll.BDP(#REF!,Y$2)</f>
        <v>#REF!</v>
      </c>
      <c r="Z861" t="e">
        <f>_xll.BDP(#REF!,Z$2)</f>
        <v>#REF!</v>
      </c>
      <c r="AA861" t="e">
        <f>_xll.BDP(#REF!,AA$2)</f>
        <v>#REF!</v>
      </c>
      <c r="AD861">
        <f>IF(LEFT(_xll.BDP($T861,AD$2),4)="#N/A",-1,_xll.BDP($T861,AD$2))</f>
        <v>-1</v>
      </c>
    </row>
    <row r="862" spans="10:30">
      <c r="J862" s="37"/>
      <c r="U862">
        <f>IF(LEFT(_xll.BDP($T862,U$2),4)="#N/A",0,_xll.BDP($T862,U$2))</f>
        <v>0</v>
      </c>
      <c r="V862" t="e">
        <f>_xll.BDP(#REF!,V$2)</f>
        <v>#REF!</v>
      </c>
      <c r="W862" t="e">
        <f>_xll.BDP(#REF!,W$2)</f>
        <v>#REF!</v>
      </c>
      <c r="X862" t="e">
        <f>_xll.BDP(#REF!,X$2)</f>
        <v>#REF!</v>
      </c>
      <c r="Y862" t="e">
        <f>_xll.BDP(#REF!,Y$2)</f>
        <v>#REF!</v>
      </c>
      <c r="Z862" t="e">
        <f>_xll.BDP(#REF!,Z$2)</f>
        <v>#REF!</v>
      </c>
      <c r="AA862" t="e">
        <f>_xll.BDP(#REF!,AA$2)</f>
        <v>#REF!</v>
      </c>
      <c r="AD862">
        <f>IF(LEFT(_xll.BDP($T862,AD$2),4)="#N/A",-1,_xll.BDP($T862,AD$2))</f>
        <v>-1</v>
      </c>
    </row>
    <row r="863" spans="10:30">
      <c r="J863" s="37"/>
      <c r="U863">
        <f>IF(LEFT(_xll.BDP($T863,U$2),4)="#N/A",0,_xll.BDP($T863,U$2))</f>
        <v>0</v>
      </c>
      <c r="V863" t="e">
        <f>_xll.BDP(#REF!,V$2)</f>
        <v>#REF!</v>
      </c>
      <c r="W863" t="e">
        <f>_xll.BDP(#REF!,W$2)</f>
        <v>#REF!</v>
      </c>
      <c r="X863" t="e">
        <f>_xll.BDP(#REF!,X$2)</f>
        <v>#REF!</v>
      </c>
      <c r="Y863" t="e">
        <f>_xll.BDP(#REF!,Y$2)</f>
        <v>#REF!</v>
      </c>
      <c r="Z863" t="e">
        <f>_xll.BDP(#REF!,Z$2)</f>
        <v>#REF!</v>
      </c>
      <c r="AA863" t="e">
        <f>_xll.BDP(#REF!,AA$2)</f>
        <v>#REF!</v>
      </c>
      <c r="AD863">
        <f>IF(LEFT(_xll.BDP($T863,AD$2),4)="#N/A",-1,_xll.BDP($T863,AD$2))</f>
        <v>-1</v>
      </c>
    </row>
    <row r="864" spans="10:30">
      <c r="J864" s="37"/>
      <c r="U864">
        <f>IF(LEFT(_xll.BDP($T864,U$2),4)="#N/A",0,_xll.BDP($T864,U$2))</f>
        <v>0</v>
      </c>
      <c r="V864" t="e">
        <f>_xll.BDP(#REF!,V$2)</f>
        <v>#REF!</v>
      </c>
      <c r="W864" t="e">
        <f>_xll.BDP(#REF!,W$2)</f>
        <v>#REF!</v>
      </c>
      <c r="X864" t="e">
        <f>_xll.BDP(#REF!,X$2)</f>
        <v>#REF!</v>
      </c>
      <c r="Y864" t="e">
        <f>_xll.BDP(#REF!,Y$2)</f>
        <v>#REF!</v>
      </c>
      <c r="Z864" t="e">
        <f>_xll.BDP(#REF!,Z$2)</f>
        <v>#REF!</v>
      </c>
      <c r="AA864" t="e">
        <f>_xll.BDP(#REF!,AA$2)</f>
        <v>#REF!</v>
      </c>
      <c r="AD864">
        <f>IF(LEFT(_xll.BDP($T864,AD$2),4)="#N/A",-1,_xll.BDP($T864,AD$2))</f>
        <v>-1</v>
      </c>
    </row>
    <row r="865" spans="10:30">
      <c r="J865" s="37"/>
      <c r="U865">
        <f>IF(LEFT(_xll.BDP($T865,U$2),4)="#N/A",0,_xll.BDP($T865,U$2))</f>
        <v>0</v>
      </c>
      <c r="V865" t="e">
        <f>_xll.BDP(#REF!,V$2)</f>
        <v>#REF!</v>
      </c>
      <c r="W865" t="e">
        <f>_xll.BDP(#REF!,W$2)</f>
        <v>#REF!</v>
      </c>
      <c r="X865" t="e">
        <f>_xll.BDP(#REF!,X$2)</f>
        <v>#REF!</v>
      </c>
      <c r="Y865" t="e">
        <f>_xll.BDP(#REF!,Y$2)</f>
        <v>#REF!</v>
      </c>
      <c r="Z865" t="e">
        <f>_xll.BDP(#REF!,Z$2)</f>
        <v>#REF!</v>
      </c>
      <c r="AA865" t="e">
        <f>_xll.BDP(#REF!,AA$2)</f>
        <v>#REF!</v>
      </c>
      <c r="AD865">
        <f>IF(LEFT(_xll.BDP($T865,AD$2),4)="#N/A",-1,_xll.BDP($T865,AD$2))</f>
        <v>-1</v>
      </c>
    </row>
    <row r="866" spans="10:30">
      <c r="J866" s="37"/>
      <c r="U866">
        <f>IF(LEFT(_xll.BDP($T866,U$2),4)="#N/A",0,_xll.BDP($T866,U$2))</f>
        <v>0</v>
      </c>
      <c r="V866" t="e">
        <f>_xll.BDP(#REF!,V$2)</f>
        <v>#REF!</v>
      </c>
      <c r="W866" t="e">
        <f>_xll.BDP(#REF!,W$2)</f>
        <v>#REF!</v>
      </c>
      <c r="X866" t="e">
        <f>_xll.BDP(#REF!,X$2)</f>
        <v>#REF!</v>
      </c>
      <c r="Y866" t="e">
        <f>_xll.BDP(#REF!,Y$2)</f>
        <v>#REF!</v>
      </c>
      <c r="Z866" t="e">
        <f>_xll.BDP(#REF!,Z$2)</f>
        <v>#REF!</v>
      </c>
      <c r="AA866" t="e">
        <f>_xll.BDP(#REF!,AA$2)</f>
        <v>#REF!</v>
      </c>
      <c r="AD866">
        <f>IF(LEFT(_xll.BDP($T866,AD$2),4)="#N/A",-1,_xll.BDP($T866,AD$2))</f>
        <v>-1</v>
      </c>
    </row>
    <row r="867" spans="10:30">
      <c r="J867" s="37"/>
      <c r="U867">
        <f>IF(LEFT(_xll.BDP($T867,U$2),4)="#N/A",0,_xll.BDP($T867,U$2))</f>
        <v>0</v>
      </c>
      <c r="V867" t="e">
        <f>_xll.BDP(#REF!,V$2)</f>
        <v>#REF!</v>
      </c>
      <c r="W867" t="e">
        <f>_xll.BDP(#REF!,W$2)</f>
        <v>#REF!</v>
      </c>
      <c r="X867" t="e">
        <f>_xll.BDP(#REF!,X$2)</f>
        <v>#REF!</v>
      </c>
      <c r="Y867" t="e">
        <f>_xll.BDP(#REF!,Y$2)</f>
        <v>#REF!</v>
      </c>
      <c r="Z867" t="e">
        <f>_xll.BDP(#REF!,Z$2)</f>
        <v>#REF!</v>
      </c>
      <c r="AA867" t="e">
        <f>_xll.BDP(#REF!,AA$2)</f>
        <v>#REF!</v>
      </c>
      <c r="AD867">
        <f>IF(LEFT(_xll.BDP($T867,AD$2),4)="#N/A",-1,_xll.BDP($T867,AD$2))</f>
        <v>-1</v>
      </c>
    </row>
    <row r="868" spans="10:30">
      <c r="J868" s="37"/>
      <c r="U868">
        <f>IF(LEFT(_xll.BDP($T868,U$2),4)="#N/A",0,_xll.BDP($T868,U$2))</f>
        <v>0</v>
      </c>
      <c r="V868" t="e">
        <f>_xll.BDP(#REF!,V$2)</f>
        <v>#REF!</v>
      </c>
      <c r="W868" t="e">
        <f>_xll.BDP(#REF!,W$2)</f>
        <v>#REF!</v>
      </c>
      <c r="X868" t="e">
        <f>_xll.BDP(#REF!,X$2)</f>
        <v>#REF!</v>
      </c>
      <c r="Y868" t="e">
        <f>_xll.BDP(#REF!,Y$2)</f>
        <v>#REF!</v>
      </c>
      <c r="Z868" t="e">
        <f>_xll.BDP(#REF!,Z$2)</f>
        <v>#REF!</v>
      </c>
      <c r="AA868" t="e">
        <f>_xll.BDP(#REF!,AA$2)</f>
        <v>#REF!</v>
      </c>
      <c r="AD868">
        <f>IF(LEFT(_xll.BDP($T868,AD$2),4)="#N/A",-1,_xll.BDP($T868,AD$2))</f>
        <v>-1</v>
      </c>
    </row>
    <row r="869" spans="10:30">
      <c r="J869" s="37"/>
      <c r="U869">
        <f>IF(LEFT(_xll.BDP($T869,U$2),4)="#N/A",0,_xll.BDP($T869,U$2))</f>
        <v>0</v>
      </c>
      <c r="V869" t="e">
        <f>_xll.BDP(#REF!,V$2)</f>
        <v>#REF!</v>
      </c>
      <c r="W869" t="e">
        <f>_xll.BDP(#REF!,W$2)</f>
        <v>#REF!</v>
      </c>
      <c r="X869" t="e">
        <f>_xll.BDP(#REF!,X$2)</f>
        <v>#REF!</v>
      </c>
      <c r="Y869" t="e">
        <f>_xll.BDP(#REF!,Y$2)</f>
        <v>#REF!</v>
      </c>
      <c r="Z869" t="e">
        <f>_xll.BDP(#REF!,Z$2)</f>
        <v>#REF!</v>
      </c>
      <c r="AA869" t="e">
        <f>_xll.BDP(#REF!,AA$2)</f>
        <v>#REF!</v>
      </c>
      <c r="AD869">
        <f>IF(LEFT(_xll.BDP($T869,AD$2),4)="#N/A",-1,_xll.BDP($T869,AD$2))</f>
        <v>-1</v>
      </c>
    </row>
    <row r="870" spans="10:30">
      <c r="J870" s="37"/>
      <c r="U870">
        <f>IF(LEFT(_xll.BDP($T870,U$2),4)="#N/A",0,_xll.BDP($T870,U$2))</f>
        <v>0</v>
      </c>
      <c r="V870" t="e">
        <f>_xll.BDP(#REF!,V$2)</f>
        <v>#REF!</v>
      </c>
      <c r="W870" t="e">
        <f>_xll.BDP(#REF!,W$2)</f>
        <v>#REF!</v>
      </c>
      <c r="X870" t="e">
        <f>_xll.BDP(#REF!,X$2)</f>
        <v>#REF!</v>
      </c>
      <c r="Y870" t="e">
        <f>_xll.BDP(#REF!,Y$2)</f>
        <v>#REF!</v>
      </c>
      <c r="Z870" t="e">
        <f>_xll.BDP(#REF!,Z$2)</f>
        <v>#REF!</v>
      </c>
      <c r="AA870" t="e">
        <f>_xll.BDP(#REF!,AA$2)</f>
        <v>#REF!</v>
      </c>
      <c r="AD870">
        <f>IF(LEFT(_xll.BDP($T870,AD$2),4)="#N/A",-1,_xll.BDP($T870,AD$2))</f>
        <v>-1</v>
      </c>
    </row>
    <row r="871" spans="10:30">
      <c r="J871" s="37"/>
      <c r="U871">
        <f>IF(LEFT(_xll.BDP($T871,U$2),4)="#N/A",0,_xll.BDP($T871,U$2))</f>
        <v>0</v>
      </c>
      <c r="V871" t="e">
        <f>_xll.BDP(#REF!,V$2)</f>
        <v>#REF!</v>
      </c>
      <c r="W871" t="e">
        <f>_xll.BDP(#REF!,W$2)</f>
        <v>#REF!</v>
      </c>
      <c r="X871" t="e">
        <f>_xll.BDP(#REF!,X$2)</f>
        <v>#REF!</v>
      </c>
      <c r="Y871" t="e">
        <f>_xll.BDP(#REF!,Y$2)</f>
        <v>#REF!</v>
      </c>
      <c r="Z871" t="e">
        <f>_xll.BDP(#REF!,Z$2)</f>
        <v>#REF!</v>
      </c>
      <c r="AA871" t="e">
        <f>_xll.BDP(#REF!,AA$2)</f>
        <v>#REF!</v>
      </c>
      <c r="AD871">
        <f>IF(LEFT(_xll.BDP($T871,AD$2),4)="#N/A",-1,_xll.BDP($T871,AD$2))</f>
        <v>-1</v>
      </c>
    </row>
    <row r="872" spans="10:30">
      <c r="J872" s="37"/>
      <c r="U872">
        <f>IF(LEFT(_xll.BDP($T872,U$2),4)="#N/A",0,_xll.BDP($T872,U$2))</f>
        <v>0</v>
      </c>
      <c r="V872" t="e">
        <f>_xll.BDP(#REF!,V$2)</f>
        <v>#REF!</v>
      </c>
      <c r="W872" t="e">
        <f>_xll.BDP(#REF!,W$2)</f>
        <v>#REF!</v>
      </c>
      <c r="X872" t="e">
        <f>_xll.BDP(#REF!,X$2)</f>
        <v>#REF!</v>
      </c>
      <c r="Y872" t="e">
        <f>_xll.BDP(#REF!,Y$2)</f>
        <v>#REF!</v>
      </c>
      <c r="Z872" t="e">
        <f>_xll.BDP(#REF!,Z$2)</f>
        <v>#REF!</v>
      </c>
      <c r="AA872" t="e">
        <f>_xll.BDP(#REF!,AA$2)</f>
        <v>#REF!</v>
      </c>
      <c r="AD872">
        <f>IF(LEFT(_xll.BDP($T872,AD$2),4)="#N/A",-1,_xll.BDP($T872,AD$2))</f>
        <v>-1</v>
      </c>
    </row>
    <row r="873" spans="10:30">
      <c r="J873" s="37"/>
      <c r="U873">
        <f>IF(LEFT(_xll.BDP($T873,U$2),4)="#N/A",0,_xll.BDP($T873,U$2))</f>
        <v>0</v>
      </c>
      <c r="V873" t="e">
        <f>_xll.BDP(#REF!,V$2)</f>
        <v>#REF!</v>
      </c>
      <c r="W873" t="e">
        <f>_xll.BDP(#REF!,W$2)</f>
        <v>#REF!</v>
      </c>
      <c r="X873" t="e">
        <f>_xll.BDP(#REF!,X$2)</f>
        <v>#REF!</v>
      </c>
      <c r="Y873" t="e">
        <f>_xll.BDP(#REF!,Y$2)</f>
        <v>#REF!</v>
      </c>
      <c r="Z873" t="e">
        <f>_xll.BDP(#REF!,Z$2)</f>
        <v>#REF!</v>
      </c>
      <c r="AA873" t="e">
        <f>_xll.BDP(#REF!,AA$2)</f>
        <v>#REF!</v>
      </c>
      <c r="AD873">
        <f>IF(LEFT(_xll.BDP($T873,AD$2),4)="#N/A",-1,_xll.BDP($T873,AD$2))</f>
        <v>-1</v>
      </c>
    </row>
    <row r="874" spans="10:30">
      <c r="J874" s="37"/>
      <c r="U874">
        <f>IF(LEFT(_xll.BDP($T874,U$2),4)="#N/A",0,_xll.BDP($T874,U$2))</f>
        <v>0</v>
      </c>
      <c r="V874" t="e">
        <f>_xll.BDP(#REF!,V$2)</f>
        <v>#REF!</v>
      </c>
      <c r="W874" t="e">
        <f>_xll.BDP(#REF!,W$2)</f>
        <v>#REF!</v>
      </c>
      <c r="X874" t="e">
        <f>_xll.BDP(#REF!,X$2)</f>
        <v>#REF!</v>
      </c>
      <c r="Y874" t="e">
        <f>_xll.BDP(#REF!,Y$2)</f>
        <v>#REF!</v>
      </c>
      <c r="Z874" t="e">
        <f>_xll.BDP(#REF!,Z$2)</f>
        <v>#REF!</v>
      </c>
      <c r="AA874" t="e">
        <f>_xll.BDP(#REF!,AA$2)</f>
        <v>#REF!</v>
      </c>
      <c r="AD874">
        <f>IF(LEFT(_xll.BDP($T874,AD$2),4)="#N/A",-1,_xll.BDP($T874,AD$2))</f>
        <v>-1</v>
      </c>
    </row>
    <row r="875" spans="10:30">
      <c r="J875" s="37"/>
      <c r="U875">
        <f>IF(LEFT(_xll.BDP($T875,U$2),4)="#N/A",0,_xll.BDP($T875,U$2))</f>
        <v>0</v>
      </c>
      <c r="V875" t="e">
        <f>_xll.BDP(#REF!,V$2)</f>
        <v>#REF!</v>
      </c>
      <c r="W875" t="e">
        <f>_xll.BDP(#REF!,W$2)</f>
        <v>#REF!</v>
      </c>
      <c r="X875" t="e">
        <f>_xll.BDP(#REF!,X$2)</f>
        <v>#REF!</v>
      </c>
      <c r="Y875" t="e">
        <f>_xll.BDP(#REF!,Y$2)</f>
        <v>#REF!</v>
      </c>
      <c r="Z875" t="e">
        <f>_xll.BDP(#REF!,Z$2)</f>
        <v>#REF!</v>
      </c>
      <c r="AA875" t="e">
        <f>_xll.BDP(#REF!,AA$2)</f>
        <v>#REF!</v>
      </c>
      <c r="AD875">
        <f>IF(LEFT(_xll.BDP($T875,AD$2),4)="#N/A",-1,_xll.BDP($T875,AD$2))</f>
        <v>-1</v>
      </c>
    </row>
    <row r="876" spans="10:30">
      <c r="J876" s="37"/>
      <c r="U876">
        <f>IF(LEFT(_xll.BDP($T876,U$2),4)="#N/A",0,_xll.BDP($T876,U$2))</f>
        <v>0</v>
      </c>
      <c r="V876" t="e">
        <f>_xll.BDP(#REF!,V$2)</f>
        <v>#REF!</v>
      </c>
      <c r="W876" t="e">
        <f>_xll.BDP(#REF!,W$2)</f>
        <v>#REF!</v>
      </c>
      <c r="X876" t="e">
        <f>_xll.BDP(#REF!,X$2)</f>
        <v>#REF!</v>
      </c>
      <c r="Y876" t="e">
        <f>_xll.BDP(#REF!,Y$2)</f>
        <v>#REF!</v>
      </c>
      <c r="Z876" t="e">
        <f>_xll.BDP(#REF!,Z$2)</f>
        <v>#REF!</v>
      </c>
      <c r="AA876" t="e">
        <f>_xll.BDP(#REF!,AA$2)</f>
        <v>#REF!</v>
      </c>
      <c r="AD876">
        <f>IF(LEFT(_xll.BDP($T876,AD$2),4)="#N/A",-1,_xll.BDP($T876,AD$2))</f>
        <v>-1</v>
      </c>
    </row>
    <row r="877" spans="10:30">
      <c r="J877" s="37"/>
      <c r="U877">
        <f>IF(LEFT(_xll.BDP($T877,U$2),4)="#N/A",0,_xll.BDP($T877,U$2))</f>
        <v>0</v>
      </c>
      <c r="V877" t="e">
        <f>_xll.BDP(#REF!,V$2)</f>
        <v>#REF!</v>
      </c>
      <c r="W877" t="e">
        <f>_xll.BDP(#REF!,W$2)</f>
        <v>#REF!</v>
      </c>
      <c r="X877" t="e">
        <f>_xll.BDP(#REF!,X$2)</f>
        <v>#REF!</v>
      </c>
      <c r="Y877" t="e">
        <f>_xll.BDP(#REF!,Y$2)</f>
        <v>#REF!</v>
      </c>
      <c r="Z877" t="e">
        <f>_xll.BDP(#REF!,Z$2)</f>
        <v>#REF!</v>
      </c>
      <c r="AA877" t="e">
        <f>_xll.BDP(#REF!,AA$2)</f>
        <v>#REF!</v>
      </c>
      <c r="AD877">
        <f>IF(LEFT(_xll.BDP($T877,AD$2),4)="#N/A",-1,_xll.BDP($T877,AD$2))</f>
        <v>-1</v>
      </c>
    </row>
    <row r="878" spans="10:30">
      <c r="J878" s="37"/>
      <c r="U878">
        <f>IF(LEFT(_xll.BDP($T878,U$2),4)="#N/A",0,_xll.BDP($T878,U$2))</f>
        <v>0</v>
      </c>
      <c r="V878" t="e">
        <f>_xll.BDP(#REF!,V$2)</f>
        <v>#REF!</v>
      </c>
      <c r="W878" t="e">
        <f>_xll.BDP(#REF!,W$2)</f>
        <v>#REF!</v>
      </c>
      <c r="X878" t="e">
        <f>_xll.BDP(#REF!,X$2)</f>
        <v>#REF!</v>
      </c>
      <c r="Y878" t="e">
        <f>_xll.BDP(#REF!,Y$2)</f>
        <v>#REF!</v>
      </c>
      <c r="Z878" t="e">
        <f>_xll.BDP(#REF!,Z$2)</f>
        <v>#REF!</v>
      </c>
      <c r="AA878" t="e">
        <f>_xll.BDP(#REF!,AA$2)</f>
        <v>#REF!</v>
      </c>
      <c r="AD878">
        <f>IF(LEFT(_xll.BDP($T878,AD$2),4)="#N/A",-1,_xll.BDP($T878,AD$2))</f>
        <v>-1</v>
      </c>
    </row>
    <row r="879" spans="10:30">
      <c r="J879" s="37"/>
      <c r="U879">
        <f>IF(LEFT(_xll.BDP($T879,U$2),4)="#N/A",0,_xll.BDP($T879,U$2))</f>
        <v>0</v>
      </c>
      <c r="V879" t="e">
        <f>_xll.BDP(#REF!,V$2)</f>
        <v>#REF!</v>
      </c>
      <c r="W879" t="e">
        <f>_xll.BDP(#REF!,W$2)</f>
        <v>#REF!</v>
      </c>
      <c r="X879" t="e">
        <f>_xll.BDP(#REF!,X$2)</f>
        <v>#REF!</v>
      </c>
      <c r="Y879" t="e">
        <f>_xll.BDP(#REF!,Y$2)</f>
        <v>#REF!</v>
      </c>
      <c r="Z879" t="e">
        <f>_xll.BDP(#REF!,Z$2)</f>
        <v>#REF!</v>
      </c>
      <c r="AA879" t="e">
        <f>_xll.BDP(#REF!,AA$2)</f>
        <v>#REF!</v>
      </c>
      <c r="AD879">
        <f>IF(LEFT(_xll.BDP($T879,AD$2),4)="#N/A",-1,_xll.BDP($T879,AD$2))</f>
        <v>-1</v>
      </c>
    </row>
    <row r="880" spans="10:30">
      <c r="J880" s="37"/>
      <c r="U880">
        <f>IF(LEFT(_xll.BDP($T880,U$2),4)="#N/A",0,_xll.BDP($T880,U$2))</f>
        <v>0</v>
      </c>
      <c r="V880" t="e">
        <f>_xll.BDP(#REF!,V$2)</f>
        <v>#REF!</v>
      </c>
      <c r="W880" t="e">
        <f>_xll.BDP(#REF!,W$2)</f>
        <v>#REF!</v>
      </c>
      <c r="X880" t="e">
        <f>_xll.BDP(#REF!,X$2)</f>
        <v>#REF!</v>
      </c>
      <c r="Y880" t="e">
        <f>_xll.BDP(#REF!,Y$2)</f>
        <v>#REF!</v>
      </c>
      <c r="Z880" t="e">
        <f>_xll.BDP(#REF!,Z$2)</f>
        <v>#REF!</v>
      </c>
      <c r="AA880" t="e">
        <f>_xll.BDP(#REF!,AA$2)</f>
        <v>#REF!</v>
      </c>
      <c r="AD880">
        <f>IF(LEFT(_xll.BDP($T880,AD$2),4)="#N/A",-1,_xll.BDP($T880,AD$2))</f>
        <v>-1</v>
      </c>
    </row>
    <row r="881" spans="10:30">
      <c r="J881" s="37"/>
      <c r="U881">
        <f>IF(LEFT(_xll.BDP($T881,U$2),4)="#N/A",0,_xll.BDP($T881,U$2))</f>
        <v>0</v>
      </c>
      <c r="V881" t="e">
        <f>_xll.BDP(#REF!,V$2)</f>
        <v>#REF!</v>
      </c>
      <c r="W881" t="e">
        <f>_xll.BDP(#REF!,W$2)</f>
        <v>#REF!</v>
      </c>
      <c r="X881" t="e">
        <f>_xll.BDP(#REF!,X$2)</f>
        <v>#REF!</v>
      </c>
      <c r="Y881" t="e">
        <f>_xll.BDP(#REF!,Y$2)</f>
        <v>#REF!</v>
      </c>
      <c r="Z881" t="e">
        <f>_xll.BDP(#REF!,Z$2)</f>
        <v>#REF!</v>
      </c>
      <c r="AA881" t="e">
        <f>_xll.BDP(#REF!,AA$2)</f>
        <v>#REF!</v>
      </c>
      <c r="AD881">
        <f>IF(LEFT(_xll.BDP($T881,AD$2),4)="#N/A",-1,_xll.BDP($T881,AD$2))</f>
        <v>-1</v>
      </c>
    </row>
    <row r="882" spans="10:30">
      <c r="J882" s="37"/>
      <c r="U882">
        <f>IF(LEFT(_xll.BDP($T882,U$2),4)="#N/A",0,_xll.BDP($T882,U$2))</f>
        <v>0</v>
      </c>
      <c r="V882" t="e">
        <f>_xll.BDP(#REF!,V$2)</f>
        <v>#REF!</v>
      </c>
      <c r="W882" t="e">
        <f>_xll.BDP(#REF!,W$2)</f>
        <v>#REF!</v>
      </c>
      <c r="X882" t="e">
        <f>_xll.BDP(#REF!,X$2)</f>
        <v>#REF!</v>
      </c>
      <c r="Y882" t="e">
        <f>_xll.BDP(#REF!,Y$2)</f>
        <v>#REF!</v>
      </c>
      <c r="Z882" t="e">
        <f>_xll.BDP(#REF!,Z$2)</f>
        <v>#REF!</v>
      </c>
      <c r="AA882" t="e">
        <f>_xll.BDP(#REF!,AA$2)</f>
        <v>#REF!</v>
      </c>
      <c r="AD882">
        <f>IF(LEFT(_xll.BDP($T882,AD$2),4)="#N/A",-1,_xll.BDP($T882,AD$2))</f>
        <v>-1</v>
      </c>
    </row>
    <row r="883" spans="10:30">
      <c r="J883" s="37"/>
      <c r="U883">
        <f>IF(LEFT(_xll.BDP($T883,U$2),4)="#N/A",0,_xll.BDP($T883,U$2))</f>
        <v>0</v>
      </c>
      <c r="V883" t="e">
        <f>_xll.BDP(#REF!,V$2)</f>
        <v>#REF!</v>
      </c>
      <c r="W883" t="e">
        <f>_xll.BDP(#REF!,W$2)</f>
        <v>#REF!</v>
      </c>
      <c r="X883" t="e">
        <f>_xll.BDP(#REF!,X$2)</f>
        <v>#REF!</v>
      </c>
      <c r="Y883" t="e">
        <f>_xll.BDP(#REF!,Y$2)</f>
        <v>#REF!</v>
      </c>
      <c r="Z883" t="e">
        <f>_xll.BDP(#REF!,Z$2)</f>
        <v>#REF!</v>
      </c>
      <c r="AA883" t="e">
        <f>_xll.BDP(#REF!,AA$2)</f>
        <v>#REF!</v>
      </c>
      <c r="AD883">
        <f>IF(LEFT(_xll.BDP($T883,AD$2),4)="#N/A",-1,_xll.BDP($T883,AD$2))</f>
        <v>-1</v>
      </c>
    </row>
    <row r="884" spans="10:30">
      <c r="J884" s="37"/>
      <c r="U884">
        <f>IF(LEFT(_xll.BDP($T884,U$2),4)="#N/A",0,_xll.BDP($T884,U$2))</f>
        <v>0</v>
      </c>
      <c r="V884" t="e">
        <f>_xll.BDP(#REF!,V$2)</f>
        <v>#REF!</v>
      </c>
      <c r="W884" t="e">
        <f>_xll.BDP(#REF!,W$2)</f>
        <v>#REF!</v>
      </c>
      <c r="X884" t="e">
        <f>_xll.BDP(#REF!,X$2)</f>
        <v>#REF!</v>
      </c>
      <c r="Y884" t="e">
        <f>_xll.BDP(#REF!,Y$2)</f>
        <v>#REF!</v>
      </c>
      <c r="Z884" t="e">
        <f>_xll.BDP(#REF!,Z$2)</f>
        <v>#REF!</v>
      </c>
      <c r="AA884" t="e">
        <f>_xll.BDP(#REF!,AA$2)</f>
        <v>#REF!</v>
      </c>
      <c r="AD884">
        <f>IF(LEFT(_xll.BDP($T884,AD$2),4)="#N/A",-1,_xll.BDP($T884,AD$2))</f>
        <v>-1</v>
      </c>
    </row>
    <row r="885" spans="10:30">
      <c r="J885" s="37"/>
    </row>
    <row r="886" spans="10:30">
      <c r="J886" s="37"/>
    </row>
    <row r="887" spans="10:30">
      <c r="J887" s="37"/>
    </row>
    <row r="888" spans="10:30">
      <c r="J888" s="37"/>
    </row>
    <row r="889" spans="10:30">
      <c r="J889" s="37"/>
    </row>
    <row r="890" spans="10:30">
      <c r="J890" s="37"/>
    </row>
    <row r="891" spans="10:30">
      <c r="J891" s="37"/>
    </row>
    <row r="892" spans="10:30">
      <c r="J892" s="37"/>
    </row>
    <row r="893" spans="10:30">
      <c r="J893" s="37"/>
    </row>
    <row r="894" spans="10:30">
      <c r="J894" s="37"/>
    </row>
    <row r="895" spans="10:30">
      <c r="J895" s="37"/>
    </row>
    <row r="896" spans="10:30">
      <c r="J896" s="37"/>
    </row>
    <row r="897" spans="10:10">
      <c r="J897" s="37"/>
    </row>
    <row r="898" spans="10:10">
      <c r="J898" s="37"/>
    </row>
    <row r="899" spans="10:10">
      <c r="J899" s="37"/>
    </row>
    <row r="900" spans="10:10">
      <c r="J900" s="37"/>
    </row>
    <row r="901" spans="10:10">
      <c r="J901" s="37"/>
    </row>
    <row r="902" spans="10:10">
      <c r="J902" s="37"/>
    </row>
    <row r="903" spans="10:10">
      <c r="J903" s="37"/>
    </row>
    <row r="904" spans="10:10">
      <c r="J904" s="37"/>
    </row>
    <row r="905" spans="10:10">
      <c r="J905" s="37"/>
    </row>
    <row r="906" spans="10:10">
      <c r="J906" s="37"/>
    </row>
    <row r="907" spans="10:10">
      <c r="J907" s="37"/>
    </row>
    <row r="908" spans="10:10">
      <c r="J908" s="37"/>
    </row>
    <row r="909" spans="10:10">
      <c r="J909" s="37"/>
    </row>
    <row r="910" spans="10:10">
      <c r="J910" s="37"/>
    </row>
    <row r="911" spans="10:10">
      <c r="J911" s="37"/>
    </row>
    <row r="912" spans="10:10">
      <c r="J912" s="37"/>
    </row>
    <row r="913" spans="10:10">
      <c r="J913" s="37"/>
    </row>
    <row r="914" spans="10:10">
      <c r="J914" s="37"/>
    </row>
    <row r="915" spans="10:10">
      <c r="J915" s="37"/>
    </row>
    <row r="916" spans="10:10">
      <c r="J916" s="37"/>
    </row>
    <row r="917" spans="10:10">
      <c r="J917" s="37"/>
    </row>
    <row r="918" spans="10:10">
      <c r="J918" s="37"/>
    </row>
    <row r="919" spans="10:10">
      <c r="J919" s="37"/>
    </row>
    <row r="920" spans="10:10">
      <c r="J920" s="37"/>
    </row>
    <row r="921" spans="10:10">
      <c r="J921" s="37"/>
    </row>
    <row r="922" spans="10:10">
      <c r="J922" s="37"/>
    </row>
    <row r="923" spans="10:10">
      <c r="J923" s="37"/>
    </row>
    <row r="924" spans="10:10">
      <c r="J924" s="37"/>
    </row>
    <row r="925" spans="10:10">
      <c r="J925" s="37"/>
    </row>
    <row r="926" spans="10:10">
      <c r="J926" s="37"/>
    </row>
    <row r="927" spans="10:10">
      <c r="J927" s="37"/>
    </row>
    <row r="928" spans="10:10">
      <c r="J928" s="37"/>
    </row>
    <row r="929" spans="10:10">
      <c r="J929" s="37"/>
    </row>
    <row r="930" spans="10:10">
      <c r="J930" s="37"/>
    </row>
    <row r="931" spans="10:10">
      <c r="J931" s="37"/>
    </row>
    <row r="932" spans="10:10">
      <c r="J932" s="37"/>
    </row>
    <row r="933" spans="10:10">
      <c r="J933" s="37"/>
    </row>
    <row r="934" spans="10:10">
      <c r="J934" s="37"/>
    </row>
    <row r="935" spans="10:10">
      <c r="J935" s="37"/>
    </row>
    <row r="936" spans="10:10">
      <c r="J936" s="37"/>
    </row>
    <row r="937" spans="10:10">
      <c r="J937" s="37"/>
    </row>
    <row r="938" spans="10:10">
      <c r="J938" s="37"/>
    </row>
    <row r="939" spans="10:10">
      <c r="J939" s="37"/>
    </row>
    <row r="940" spans="10:10">
      <c r="J940" s="37"/>
    </row>
    <row r="941" spans="10:10">
      <c r="J941" s="37"/>
    </row>
    <row r="942" spans="10:10">
      <c r="J942" s="37"/>
    </row>
    <row r="943" spans="10:10">
      <c r="J943" s="37"/>
    </row>
    <row r="944" spans="10:10">
      <c r="J944" s="37"/>
    </row>
    <row r="945" spans="10:10">
      <c r="J945" s="37"/>
    </row>
    <row r="946" spans="10:10">
      <c r="J946" s="37"/>
    </row>
    <row r="947" spans="10:10">
      <c r="J947" s="37"/>
    </row>
    <row r="948" spans="10:10">
      <c r="J948" s="37"/>
    </row>
    <row r="949" spans="10:10">
      <c r="J949" s="37"/>
    </row>
    <row r="950" spans="10:10">
      <c r="J950" s="37"/>
    </row>
    <row r="951" spans="10:10">
      <c r="J951" s="37"/>
    </row>
    <row r="952" spans="10:10">
      <c r="J952" s="37"/>
    </row>
    <row r="953" spans="10:10">
      <c r="J953" s="37"/>
    </row>
    <row r="954" spans="10:10">
      <c r="J954" s="37"/>
    </row>
    <row r="955" spans="10:10">
      <c r="J955" s="37"/>
    </row>
    <row r="956" spans="10:10">
      <c r="J956" s="37"/>
    </row>
    <row r="957" spans="10:10">
      <c r="J957" s="37"/>
    </row>
    <row r="958" spans="10:10">
      <c r="J958" s="37"/>
    </row>
    <row r="959" spans="10:10">
      <c r="J959" s="37"/>
    </row>
    <row r="960" spans="10:10">
      <c r="J960" s="37"/>
    </row>
    <row r="961" spans="10:10">
      <c r="J961" s="37"/>
    </row>
    <row r="962" spans="10:10">
      <c r="J962" s="37"/>
    </row>
    <row r="963" spans="10:10">
      <c r="J963" s="37"/>
    </row>
    <row r="964" spans="10:10">
      <c r="J964" s="37"/>
    </row>
    <row r="965" spans="10:10">
      <c r="J965" s="37"/>
    </row>
    <row r="966" spans="10:10">
      <c r="J966" s="37"/>
    </row>
    <row r="967" spans="10:10">
      <c r="J967" s="37"/>
    </row>
    <row r="968" spans="10:10">
      <c r="J968" s="37"/>
    </row>
    <row r="969" spans="10:10">
      <c r="J969" s="37"/>
    </row>
    <row r="970" spans="10:10">
      <c r="J970" s="37"/>
    </row>
    <row r="971" spans="10:10">
      <c r="J971" s="37"/>
    </row>
    <row r="972" spans="10:10">
      <c r="J972" s="37"/>
    </row>
    <row r="973" spans="10:10">
      <c r="J973" s="37"/>
    </row>
    <row r="974" spans="10:10">
      <c r="J974" s="37"/>
    </row>
    <row r="975" spans="10:10">
      <c r="J975" s="37"/>
    </row>
    <row r="976" spans="10:10">
      <c r="J976" s="37"/>
    </row>
    <row r="977" spans="10:10">
      <c r="J977" s="37"/>
    </row>
    <row r="978" spans="10:10">
      <c r="J978" s="37"/>
    </row>
    <row r="979" spans="10:10">
      <c r="J979" s="37"/>
    </row>
    <row r="980" spans="10:10">
      <c r="J980" s="37"/>
    </row>
    <row r="981" spans="10:10">
      <c r="J981" s="37"/>
    </row>
    <row r="982" spans="10:10">
      <c r="J982" s="37"/>
    </row>
    <row r="983" spans="10:10">
      <c r="J983" s="37"/>
    </row>
    <row r="984" spans="10:10">
      <c r="J984" s="37"/>
    </row>
    <row r="985" spans="10:10">
      <c r="J985" s="37"/>
    </row>
    <row r="986" spans="10:10">
      <c r="J986" s="37"/>
    </row>
    <row r="987" spans="10:10">
      <c r="J987" s="37"/>
    </row>
    <row r="988" spans="10:10">
      <c r="J988" s="37"/>
    </row>
    <row r="989" spans="10:10">
      <c r="J989" s="37"/>
    </row>
    <row r="990" spans="10:10">
      <c r="J990" s="37"/>
    </row>
    <row r="991" spans="10:10">
      <c r="J991" s="37"/>
    </row>
    <row r="992" spans="10:10">
      <c r="J992" s="37"/>
    </row>
    <row r="993" spans="10:10">
      <c r="J993" s="37"/>
    </row>
    <row r="994" spans="10:10">
      <c r="J994" s="37"/>
    </row>
    <row r="995" spans="10:10">
      <c r="J995" s="37"/>
    </row>
    <row r="996" spans="10:10">
      <c r="J996" s="37"/>
    </row>
    <row r="997" spans="10:10">
      <c r="J997" s="37"/>
    </row>
    <row r="998" spans="10:10">
      <c r="J998" s="37"/>
    </row>
    <row r="999" spans="10:10">
      <c r="J999" s="37"/>
    </row>
    <row r="1000" spans="10:10">
      <c r="J1000" s="37"/>
    </row>
    <row r="1001" spans="10:10">
      <c r="J1001" s="37"/>
    </row>
    <row r="1002" spans="10:10">
      <c r="J1002" s="37"/>
    </row>
    <row r="1003" spans="10:10">
      <c r="J1003" s="37"/>
    </row>
    <row r="1004" spans="10:10">
      <c r="J1004" s="37"/>
    </row>
    <row r="1005" spans="10:10">
      <c r="J1005" s="37"/>
    </row>
    <row r="1006" spans="10:10">
      <c r="J1006" s="37"/>
    </row>
    <row r="1007" spans="10:10">
      <c r="J1007" s="37"/>
    </row>
    <row r="1008" spans="10:10">
      <c r="J1008" s="37"/>
    </row>
    <row r="1009" spans="10:10">
      <c r="J1009" s="37"/>
    </row>
    <row r="1010" spans="10:10">
      <c r="J1010" s="37"/>
    </row>
    <row r="1011" spans="10:10">
      <c r="J1011" s="37"/>
    </row>
    <row r="1012" spans="10:10">
      <c r="J1012" s="37"/>
    </row>
    <row r="1013" spans="10:10">
      <c r="J1013" s="37"/>
    </row>
    <row r="1014" spans="10:10">
      <c r="J1014" s="37"/>
    </row>
    <row r="1015" spans="10:10">
      <c r="J1015" s="37"/>
    </row>
    <row r="1016" spans="10:10">
      <c r="J1016" s="37"/>
    </row>
    <row r="1017" spans="10:10">
      <c r="J1017" s="37"/>
    </row>
    <row r="1018" spans="10:10">
      <c r="J1018" s="37"/>
    </row>
    <row r="1019" spans="10:10">
      <c r="J1019" s="37"/>
    </row>
    <row r="1020" spans="10:10">
      <c r="J1020" s="37"/>
    </row>
    <row r="1021" spans="10:10">
      <c r="J1021" s="37"/>
    </row>
    <row r="1022" spans="10:10">
      <c r="J1022" s="37"/>
    </row>
    <row r="1023" spans="10:10">
      <c r="J1023" s="37"/>
    </row>
    <row r="1024" spans="10:10">
      <c r="J1024" s="37"/>
    </row>
    <row r="1025" spans="10:10">
      <c r="J1025" s="37"/>
    </row>
    <row r="1026" spans="10:10">
      <c r="J1026" s="37"/>
    </row>
    <row r="1027" spans="10:10">
      <c r="J1027" s="37"/>
    </row>
    <row r="1028" spans="10:10">
      <c r="J1028" s="37"/>
    </row>
    <row r="1029" spans="10:10">
      <c r="J1029" s="37"/>
    </row>
    <row r="1030" spans="10:10">
      <c r="J1030" s="37"/>
    </row>
    <row r="1031" spans="10:10">
      <c r="J1031" s="37"/>
    </row>
    <row r="1032" spans="10:10">
      <c r="J1032" s="37"/>
    </row>
    <row r="1033" spans="10:10">
      <c r="J1033" s="37"/>
    </row>
    <row r="1034" spans="10:10">
      <c r="J1034" s="37"/>
    </row>
    <row r="1035" spans="10:10">
      <c r="J1035" s="37"/>
    </row>
    <row r="1036" spans="10:10">
      <c r="J1036" s="37"/>
    </row>
    <row r="1037" spans="10:10">
      <c r="J1037" s="37"/>
    </row>
    <row r="1038" spans="10:10">
      <c r="J1038" s="37"/>
    </row>
    <row r="1039" spans="10:10">
      <c r="J1039" s="37"/>
    </row>
    <row r="1040" spans="10:10">
      <c r="J1040" s="37"/>
    </row>
    <row r="1041" spans="10:10">
      <c r="J1041" s="37"/>
    </row>
    <row r="1042" spans="10:10">
      <c r="J1042" s="37"/>
    </row>
    <row r="1043" spans="10:10">
      <c r="J1043" s="37"/>
    </row>
    <row r="1044" spans="10:10">
      <c r="J1044" s="37"/>
    </row>
    <row r="1045" spans="10:10">
      <c r="J1045" s="37"/>
    </row>
    <row r="1046" spans="10:10">
      <c r="J1046" s="37"/>
    </row>
    <row r="1047" spans="10:10">
      <c r="J1047" s="37"/>
    </row>
    <row r="1048" spans="10:10">
      <c r="J1048" s="37"/>
    </row>
    <row r="1049" spans="10:10">
      <c r="J1049" s="37"/>
    </row>
    <row r="1050" spans="10:10">
      <c r="J1050" s="37"/>
    </row>
    <row r="1051" spans="10:10">
      <c r="J1051" s="37"/>
    </row>
    <row r="1052" spans="10:10">
      <c r="J1052" s="37"/>
    </row>
    <row r="1053" spans="10:10">
      <c r="J1053" s="37"/>
    </row>
    <row r="1054" spans="10:10">
      <c r="J1054" s="37"/>
    </row>
    <row r="1055" spans="10:10">
      <c r="J1055" s="37"/>
    </row>
    <row r="1056" spans="10:10">
      <c r="J1056" s="37"/>
    </row>
    <row r="1057" spans="10:10">
      <c r="J1057" s="37"/>
    </row>
    <row r="1058" spans="10:10">
      <c r="J1058" s="37"/>
    </row>
    <row r="1059" spans="10:10">
      <c r="J1059" s="37"/>
    </row>
    <row r="1060" spans="10:10">
      <c r="J1060" s="37"/>
    </row>
    <row r="1061" spans="10:10">
      <c r="J1061" s="37"/>
    </row>
    <row r="1062" spans="10:10">
      <c r="J1062" s="37"/>
    </row>
    <row r="1063" spans="10:10">
      <c r="J1063" s="37"/>
    </row>
    <row r="1064" spans="10:10">
      <c r="J1064" s="37"/>
    </row>
    <row r="1065" spans="10:10">
      <c r="J1065" s="37"/>
    </row>
    <row r="1066" spans="10:10">
      <c r="J1066" s="37"/>
    </row>
    <row r="1067" spans="10:10">
      <c r="J1067" s="37"/>
    </row>
    <row r="1068" spans="10:10">
      <c r="J1068" s="37"/>
    </row>
    <row r="1069" spans="10:10">
      <c r="J1069" s="37"/>
    </row>
    <row r="1070" spans="10:10">
      <c r="J1070" s="37"/>
    </row>
    <row r="1071" spans="10:10">
      <c r="J1071" s="37"/>
    </row>
    <row r="1072" spans="10:10">
      <c r="J1072" s="37"/>
    </row>
    <row r="1073" spans="10:10">
      <c r="J1073" s="37"/>
    </row>
    <row r="1074" spans="10:10">
      <c r="J1074" s="37"/>
    </row>
    <row r="1075" spans="10:10">
      <c r="J1075" s="37"/>
    </row>
    <row r="1076" spans="10:10">
      <c r="J1076" s="37"/>
    </row>
    <row r="1077" spans="10:10">
      <c r="J1077" s="37"/>
    </row>
    <row r="1078" spans="10:10">
      <c r="J1078" s="37"/>
    </row>
    <row r="1079" spans="10:10">
      <c r="J1079" s="37"/>
    </row>
    <row r="1080" spans="10:10">
      <c r="J1080" s="37"/>
    </row>
    <row r="1081" spans="10:10">
      <c r="J1081" s="37"/>
    </row>
    <row r="1082" spans="10:10">
      <c r="J1082" s="37"/>
    </row>
    <row r="1083" spans="10:10">
      <c r="J1083" s="37"/>
    </row>
    <row r="1084" spans="10:10">
      <c r="J1084" s="37"/>
    </row>
    <row r="1085" spans="10:10">
      <c r="J1085" s="37"/>
    </row>
    <row r="1086" spans="10:10">
      <c r="J1086" s="37"/>
    </row>
    <row r="1087" spans="10:10">
      <c r="J1087" s="37"/>
    </row>
    <row r="1088" spans="10:10">
      <c r="J1088" s="37"/>
    </row>
    <row r="1089" spans="10:10">
      <c r="J1089" s="37"/>
    </row>
    <row r="1090" spans="10:10">
      <c r="J1090" s="37"/>
    </row>
    <row r="1091" spans="10:10">
      <c r="J1091" s="37"/>
    </row>
    <row r="1092" spans="10:10">
      <c r="J1092" s="37"/>
    </row>
    <row r="1093" spans="10:10">
      <c r="J1093" s="37"/>
    </row>
    <row r="1094" spans="10:10">
      <c r="J1094" s="37"/>
    </row>
    <row r="1095" spans="10:10">
      <c r="J1095" s="37"/>
    </row>
    <row r="1096" spans="10:10">
      <c r="J1096" s="37"/>
    </row>
    <row r="1097" spans="10:10">
      <c r="J1097" s="37"/>
    </row>
    <row r="1098" spans="10:10">
      <c r="J1098" s="37"/>
    </row>
    <row r="1099" spans="10:10">
      <c r="J1099" s="37"/>
    </row>
    <row r="1100" spans="10:10">
      <c r="J1100" s="37"/>
    </row>
    <row r="1101" spans="10:10">
      <c r="J1101" s="37"/>
    </row>
    <row r="1102" spans="10:10">
      <c r="J1102" s="37"/>
    </row>
    <row r="1103" spans="10:10">
      <c r="J1103" s="37"/>
    </row>
    <row r="1104" spans="10:10">
      <c r="J1104" s="37"/>
    </row>
    <row r="1105" spans="10:10">
      <c r="J1105" s="37"/>
    </row>
    <row r="1106" spans="10:10">
      <c r="J1106" s="37"/>
    </row>
    <row r="1107" spans="10:10">
      <c r="J1107" s="37"/>
    </row>
    <row r="1108" spans="10:10">
      <c r="J1108" s="37"/>
    </row>
    <row r="1109" spans="10:10">
      <c r="J1109" s="37"/>
    </row>
    <row r="1110" spans="10:10">
      <c r="J1110" s="37"/>
    </row>
    <row r="1111" spans="10:10">
      <c r="J1111" s="37"/>
    </row>
    <row r="1112" spans="10:10">
      <c r="J1112" s="37"/>
    </row>
    <row r="1113" spans="10:10">
      <c r="J1113" s="37"/>
    </row>
    <row r="1114" spans="10:10">
      <c r="J1114" s="37"/>
    </row>
    <row r="1115" spans="10:10">
      <c r="J1115" s="37"/>
    </row>
    <row r="1116" spans="10:10">
      <c r="J1116" s="37"/>
    </row>
    <row r="1117" spans="10:10">
      <c r="J1117" s="37"/>
    </row>
    <row r="1118" spans="10:10">
      <c r="J1118" s="37"/>
    </row>
    <row r="1119" spans="10:10">
      <c r="J1119" s="37"/>
    </row>
    <row r="1120" spans="10:10">
      <c r="J1120" s="37"/>
    </row>
    <row r="1121" spans="10:10">
      <c r="J1121" s="37"/>
    </row>
    <row r="1122" spans="10:10">
      <c r="J1122" s="37"/>
    </row>
    <row r="1123" spans="10:10">
      <c r="J1123" s="37"/>
    </row>
    <row r="1124" spans="10:10">
      <c r="J1124" s="37"/>
    </row>
    <row r="1125" spans="10:10">
      <c r="J1125" s="37"/>
    </row>
    <row r="1126" spans="10:10">
      <c r="J1126" s="37"/>
    </row>
    <row r="1127" spans="10:10">
      <c r="J1127" s="37"/>
    </row>
    <row r="1128" spans="10:10">
      <c r="J1128" s="37"/>
    </row>
    <row r="1129" spans="10:10">
      <c r="J1129" s="37"/>
    </row>
    <row r="1130" spans="10:10">
      <c r="J1130" s="37"/>
    </row>
    <row r="1131" spans="10:10">
      <c r="J1131" s="37"/>
    </row>
    <row r="1132" spans="10:10">
      <c r="J1132" s="37"/>
    </row>
    <row r="1133" spans="10:10">
      <c r="J1133" s="37"/>
    </row>
    <row r="1134" spans="10:10">
      <c r="J1134" s="37"/>
    </row>
    <row r="1135" spans="10:10">
      <c r="J1135" s="37"/>
    </row>
    <row r="1136" spans="10:10">
      <c r="J1136" s="37"/>
    </row>
    <row r="1137" spans="10:10">
      <c r="J1137" s="37"/>
    </row>
    <row r="1138" spans="10:10">
      <c r="J1138" s="37"/>
    </row>
    <row r="1139" spans="10:10">
      <c r="J1139" s="37"/>
    </row>
    <row r="1140" spans="10:10">
      <c r="J1140" s="37"/>
    </row>
    <row r="1141" spans="10:10">
      <c r="J1141" s="37"/>
    </row>
    <row r="1142" spans="10:10">
      <c r="J1142" s="37"/>
    </row>
    <row r="1143" spans="10:10">
      <c r="J1143" s="37"/>
    </row>
    <row r="1144" spans="10:10">
      <c r="J1144" s="37"/>
    </row>
    <row r="1145" spans="10:10">
      <c r="J1145" s="37"/>
    </row>
    <row r="1146" spans="10:10">
      <c r="J1146" s="37"/>
    </row>
    <row r="1147" spans="10:10">
      <c r="J1147" s="37"/>
    </row>
    <row r="1148" spans="10:10">
      <c r="J1148" s="37"/>
    </row>
    <row r="1149" spans="10:10">
      <c r="J1149" s="37"/>
    </row>
    <row r="1150" spans="10:10">
      <c r="J1150" s="37"/>
    </row>
    <row r="1151" spans="10:10">
      <c r="J1151" s="37"/>
    </row>
    <row r="1152" spans="10:10">
      <c r="J1152" s="37"/>
    </row>
    <row r="1153" spans="10:10">
      <c r="J1153" s="37"/>
    </row>
    <row r="1154" spans="10:10">
      <c r="J1154" s="37"/>
    </row>
    <row r="1155" spans="10:10">
      <c r="J1155" s="37"/>
    </row>
    <row r="1156" spans="10:10">
      <c r="J1156" s="37"/>
    </row>
    <row r="1157" spans="10:10">
      <c r="J1157" s="37"/>
    </row>
    <row r="1158" spans="10:10">
      <c r="J1158" s="37"/>
    </row>
    <row r="1159" spans="10:10">
      <c r="J1159" s="37"/>
    </row>
    <row r="1160" spans="10:10">
      <c r="J1160" s="37"/>
    </row>
    <row r="1161" spans="10:10">
      <c r="J1161" s="37"/>
    </row>
    <row r="1162" spans="10:10">
      <c r="J1162" s="37"/>
    </row>
    <row r="1163" spans="10:10">
      <c r="J1163" s="37"/>
    </row>
    <row r="1164" spans="10:10">
      <c r="J1164" s="37"/>
    </row>
    <row r="1165" spans="10:10">
      <c r="J1165" s="37"/>
    </row>
    <row r="1166" spans="10:10">
      <c r="J1166" s="37"/>
    </row>
    <row r="1167" spans="10:10">
      <c r="J1167" s="37"/>
    </row>
    <row r="1168" spans="10:10">
      <c r="J1168" s="37"/>
    </row>
    <row r="1169" spans="10:10">
      <c r="J1169" s="37"/>
    </row>
    <row r="1170" spans="10:10">
      <c r="J1170" s="37"/>
    </row>
    <row r="1171" spans="10:10">
      <c r="J1171" s="37"/>
    </row>
    <row r="1172" spans="10:10">
      <c r="J1172" s="37"/>
    </row>
    <row r="1173" spans="10:10">
      <c r="J1173" s="37"/>
    </row>
    <row r="1174" spans="10:10">
      <c r="J1174" s="37"/>
    </row>
    <row r="1175" spans="10:10">
      <c r="J1175" s="37"/>
    </row>
    <row r="1176" spans="10:10">
      <c r="J1176" s="37"/>
    </row>
    <row r="1177" spans="10:10">
      <c r="J1177" s="37"/>
    </row>
    <row r="1178" spans="10:10">
      <c r="J1178" s="37"/>
    </row>
    <row r="1179" spans="10:10">
      <c r="J1179" s="37"/>
    </row>
    <row r="1180" spans="10:10">
      <c r="J1180" s="37"/>
    </row>
    <row r="1181" spans="10:10">
      <c r="J1181" s="37"/>
    </row>
    <row r="1182" spans="10:10">
      <c r="J1182" s="37"/>
    </row>
    <row r="1183" spans="10:10">
      <c r="J1183" s="37"/>
    </row>
    <row r="1184" spans="10:10">
      <c r="J1184" s="37"/>
    </row>
    <row r="1185" spans="10:10">
      <c r="J1185" s="37"/>
    </row>
    <row r="1186" spans="10:10">
      <c r="J1186" s="37"/>
    </row>
    <row r="1187" spans="10:10">
      <c r="J1187" s="37"/>
    </row>
    <row r="1188" spans="10:10">
      <c r="J1188" s="37"/>
    </row>
    <row r="1189" spans="10:10">
      <c r="J1189" s="37"/>
    </row>
    <row r="1190" spans="10:10">
      <c r="J1190" s="37"/>
    </row>
    <row r="1191" spans="10:10">
      <c r="J1191" s="37"/>
    </row>
    <row r="1192" spans="10:10">
      <c r="J1192" s="37"/>
    </row>
    <row r="1193" spans="10:10">
      <c r="J1193" s="37"/>
    </row>
    <row r="1194" spans="10:10">
      <c r="J1194" s="37"/>
    </row>
    <row r="1195" spans="10:10">
      <c r="J1195" s="37"/>
    </row>
    <row r="1196" spans="10:10">
      <c r="J1196" s="37"/>
    </row>
    <row r="1197" spans="10:10">
      <c r="J1197" s="37"/>
    </row>
    <row r="1198" spans="10:10">
      <c r="J1198" s="37"/>
    </row>
    <row r="1199" spans="10:10">
      <c r="J1199" s="37"/>
    </row>
    <row r="1200" spans="10:10">
      <c r="J1200" s="37"/>
    </row>
    <row r="1201" spans="10:10">
      <c r="J1201" s="37"/>
    </row>
    <row r="1202" spans="10:10">
      <c r="J1202" s="37"/>
    </row>
    <row r="1203" spans="10:10">
      <c r="J1203" s="37"/>
    </row>
    <row r="1204" spans="10:10">
      <c r="J1204" s="37"/>
    </row>
    <row r="1205" spans="10:10">
      <c r="J1205" s="37"/>
    </row>
    <row r="1206" spans="10:10">
      <c r="J1206" s="37"/>
    </row>
    <row r="1207" spans="10:10">
      <c r="J1207" s="37"/>
    </row>
    <row r="1208" spans="10:10">
      <c r="J1208" s="37"/>
    </row>
    <row r="1209" spans="10:10">
      <c r="J1209" s="37"/>
    </row>
    <row r="1210" spans="10:10">
      <c r="J1210" s="37"/>
    </row>
    <row r="1211" spans="10:10">
      <c r="J1211" s="37"/>
    </row>
    <row r="1212" spans="10:10">
      <c r="J1212" s="37"/>
    </row>
    <row r="1213" spans="10:10">
      <c r="J1213" s="37"/>
    </row>
    <row r="1214" spans="10:10">
      <c r="J1214" s="37"/>
    </row>
    <row r="1215" spans="10:10">
      <c r="J1215" s="37"/>
    </row>
    <row r="1216" spans="10:10">
      <c r="J1216" s="37"/>
    </row>
    <row r="1217" spans="10:10">
      <c r="J1217" s="37"/>
    </row>
    <row r="1218" spans="10:10">
      <c r="J1218" s="37"/>
    </row>
    <row r="1219" spans="10:10">
      <c r="J1219" s="37"/>
    </row>
    <row r="1220" spans="10:10">
      <c r="J1220" s="37"/>
    </row>
    <row r="1221" spans="10:10">
      <c r="J1221" s="37"/>
    </row>
    <row r="1222" spans="10:10">
      <c r="J1222" s="37"/>
    </row>
    <row r="1223" spans="10:10">
      <c r="J1223" s="37"/>
    </row>
    <row r="1224" spans="10:10">
      <c r="J1224" s="37"/>
    </row>
    <row r="1225" spans="10:10">
      <c r="J1225" s="37"/>
    </row>
    <row r="1226" spans="10:10">
      <c r="J1226" s="37"/>
    </row>
    <row r="1227" spans="10:10">
      <c r="J1227" s="37"/>
    </row>
    <row r="1228" spans="10:10">
      <c r="J1228" s="37"/>
    </row>
    <row r="1229" spans="10:10">
      <c r="J1229" s="37"/>
    </row>
    <row r="1230" spans="10:10">
      <c r="J1230" s="37"/>
    </row>
    <row r="1231" spans="10:10">
      <c r="J1231" s="37"/>
    </row>
    <row r="1232" spans="10:10">
      <c r="J1232" s="37"/>
    </row>
    <row r="1233" spans="10:10">
      <c r="J1233" s="37"/>
    </row>
    <row r="1234" spans="10:10">
      <c r="J1234" s="37"/>
    </row>
  </sheetData>
  <autoFilter ref="A2:T802" xr:uid="{8424DF92-D2CA-4F4D-A4C7-6B940D662AEE}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D452-21F4-4349-9BF8-50135D709A1F}">
  <sheetPr codeName="Sheet12">
    <tabColor theme="5"/>
  </sheetPr>
  <dimension ref="A1:AA1233"/>
  <sheetViews>
    <sheetView topLeftCell="F1" workbookViewId="0">
      <pane ySplit="1" topLeftCell="A2" activePane="bottomLeft" state="frozen"/>
      <selection pane="bottomLeft" activeCell="N12" sqref="N12"/>
    </sheetView>
  </sheetViews>
  <sheetFormatPr defaultRowHeight="15" outlineLevelCol="1"/>
  <cols>
    <col min="1" max="1" width="7.5703125" hidden="1" customWidth="1" outlineLevel="1"/>
    <col min="2" max="2" width="34.42578125" hidden="1" customWidth="1" outlineLevel="1"/>
    <col min="3" max="3" width="26.28515625" bestFit="1" customWidth="1" collapsed="1"/>
    <col min="4" max="4" width="20.5703125" hidden="1" customWidth="1" outlineLevel="1"/>
    <col min="5" max="5" width="30.5703125" hidden="1" customWidth="1" outlineLevel="1"/>
    <col min="6" max="6" width="27.42578125" bestFit="1" customWidth="1" collapsed="1"/>
    <col min="7" max="7" width="13.140625" hidden="1" customWidth="1" outlineLevel="1"/>
    <col min="8" max="8" width="23.42578125" hidden="1" customWidth="1" outlineLevel="1"/>
    <col min="9" max="9" width="10.7109375" hidden="1" customWidth="1" outlineLevel="1"/>
    <col min="10" max="10" width="10.7109375" bestFit="1" customWidth="1" collapsed="1"/>
    <col min="11" max="11" width="12.7109375" hidden="1" customWidth="1" outlineLevel="1"/>
    <col min="12" max="12" width="13.140625" hidden="1" customWidth="1" outlineLevel="1"/>
    <col min="13" max="13" width="71.140625" bestFit="1" customWidth="1" collapsed="1"/>
    <col min="14" max="14" width="19.42578125" bestFit="1" customWidth="1"/>
    <col min="15" max="15" width="24.5703125" bestFit="1" customWidth="1"/>
    <col min="16" max="16" width="6.28515625" hidden="1" customWidth="1" outlineLevel="1"/>
    <col min="17" max="17" width="4.5703125" hidden="1" customWidth="1" outlineLevel="1"/>
    <col min="18" max="18" width="15.7109375" bestFit="1" customWidth="1" collapsed="1"/>
    <col min="19" max="19" width="3.85546875" hidden="1" customWidth="1" outlineLevel="1"/>
    <col min="20" max="20" width="27.5703125" bestFit="1" customWidth="1" collapsed="1"/>
    <col min="21" max="34" width="20.7109375" customWidth="1"/>
  </cols>
  <sheetData>
    <row r="1" spans="1:27" s="42" customFormat="1" ht="24">
      <c r="A1" s="42" t="s">
        <v>124</v>
      </c>
      <c r="B1" s="42" t="s">
        <v>125</v>
      </c>
      <c r="C1" s="42" t="s">
        <v>126</v>
      </c>
      <c r="D1" s="42" t="s">
        <v>127</v>
      </c>
      <c r="E1" s="42" t="s">
        <v>128</v>
      </c>
      <c r="F1" s="42" t="s">
        <v>129</v>
      </c>
      <c r="G1" s="42" t="s">
        <v>130</v>
      </c>
      <c r="H1" s="42" t="s">
        <v>131</v>
      </c>
      <c r="I1" s="42" t="s">
        <v>132</v>
      </c>
      <c r="J1" s="43" t="s">
        <v>133</v>
      </c>
      <c r="K1" s="42" t="s">
        <v>134</v>
      </c>
      <c r="L1" s="42" t="s">
        <v>135</v>
      </c>
      <c r="M1" s="42" t="s">
        <v>136</v>
      </c>
      <c r="N1" s="42" t="s">
        <v>137</v>
      </c>
      <c r="O1" s="42" t="s">
        <v>138</v>
      </c>
      <c r="P1" s="42" t="s">
        <v>139</v>
      </c>
      <c r="Q1" s="42" t="s">
        <v>140</v>
      </c>
      <c r="R1" s="44" t="s">
        <v>141</v>
      </c>
      <c r="S1" s="44" t="s">
        <v>142</v>
      </c>
      <c r="T1" s="44" t="s">
        <v>119</v>
      </c>
      <c r="U1" s="40" t="s">
        <v>155</v>
      </c>
      <c r="V1" s="40" t="s">
        <v>156</v>
      </c>
      <c r="W1" s="40" t="s">
        <v>157</v>
      </c>
      <c r="X1" s="40" t="s">
        <v>158</v>
      </c>
      <c r="Y1" s="40" t="s">
        <v>159</v>
      </c>
      <c r="Z1" s="40" t="s">
        <v>160</v>
      </c>
      <c r="AA1" s="40" t="s">
        <v>161</v>
      </c>
    </row>
    <row r="2" spans="1:27">
      <c r="A2">
        <v>172</v>
      </c>
      <c r="B2" t="s">
        <v>143</v>
      </c>
      <c r="C2" t="s">
        <v>144</v>
      </c>
      <c r="D2">
        <v>73630</v>
      </c>
      <c r="E2" t="s">
        <v>145</v>
      </c>
      <c r="F2" t="s">
        <v>146</v>
      </c>
      <c r="G2">
        <v>147</v>
      </c>
      <c r="H2" t="s">
        <v>147</v>
      </c>
      <c r="I2" t="s">
        <v>152</v>
      </c>
      <c r="J2" s="37">
        <v>44428</v>
      </c>
      <c r="K2">
        <v>633</v>
      </c>
      <c r="L2" t="s">
        <v>148</v>
      </c>
      <c r="M2" t="s">
        <v>149</v>
      </c>
      <c r="N2" t="s">
        <v>150</v>
      </c>
      <c r="O2" t="s">
        <v>151</v>
      </c>
      <c r="P2" t="s">
        <v>120</v>
      </c>
      <c r="Q2" t="s">
        <v>120</v>
      </c>
      <c r="R2" t="s">
        <v>122</v>
      </c>
      <c r="S2" t="s">
        <v>120</v>
      </c>
      <c r="T2" t="s">
        <v>123</v>
      </c>
      <c r="U2" t="s">
        <v>120</v>
      </c>
      <c r="V2" t="s">
        <v>120</v>
      </c>
      <c r="W2" t="s">
        <v>120</v>
      </c>
      <c r="X2" t="s">
        <v>120</v>
      </c>
      <c r="Y2" t="s">
        <v>120</v>
      </c>
      <c r="Z2" t="s">
        <v>120</v>
      </c>
      <c r="AA2" t="s">
        <v>120</v>
      </c>
    </row>
    <row r="3" spans="1:27">
      <c r="J3" s="37"/>
    </row>
    <row r="4" spans="1:27">
      <c r="J4" s="37"/>
    </row>
    <row r="5" spans="1:27">
      <c r="J5" s="37"/>
    </row>
    <row r="6" spans="1:27">
      <c r="J6" s="37"/>
    </row>
    <row r="7" spans="1:27">
      <c r="J7" s="37"/>
    </row>
    <row r="8" spans="1:27">
      <c r="J8" s="37"/>
    </row>
    <row r="9" spans="1:27">
      <c r="J9" s="37"/>
    </row>
    <row r="10" spans="1:27">
      <c r="J10" s="37"/>
    </row>
    <row r="11" spans="1:27">
      <c r="J11" s="37"/>
    </row>
    <row r="12" spans="1:27">
      <c r="J12" s="37"/>
    </row>
    <row r="13" spans="1:27">
      <c r="J13" s="37"/>
    </row>
    <row r="14" spans="1:27">
      <c r="J14" s="37"/>
    </row>
    <row r="15" spans="1:27">
      <c r="J15" s="37"/>
    </row>
    <row r="16" spans="1:27">
      <c r="J16" s="37"/>
    </row>
    <row r="17" spans="10:10">
      <c r="J17" s="37"/>
    </row>
    <row r="18" spans="10:10">
      <c r="J18" s="37"/>
    </row>
    <row r="19" spans="10:10">
      <c r="J19" s="37"/>
    </row>
    <row r="20" spans="10:10">
      <c r="J20" s="37"/>
    </row>
    <row r="21" spans="10:10">
      <c r="J21" s="37"/>
    </row>
    <row r="22" spans="10:10">
      <c r="J22" s="37"/>
    </row>
    <row r="23" spans="10:10">
      <c r="J23" s="37"/>
    </row>
    <row r="24" spans="10:10">
      <c r="J24" s="37"/>
    </row>
    <row r="25" spans="10:10">
      <c r="J25" s="37"/>
    </row>
    <row r="26" spans="10:10">
      <c r="J26" s="37"/>
    </row>
    <row r="27" spans="10:10">
      <c r="J27" s="37"/>
    </row>
    <row r="28" spans="10:10">
      <c r="J28" s="37"/>
    </row>
    <row r="29" spans="10:10">
      <c r="J29" s="37"/>
    </row>
    <row r="30" spans="10:10">
      <c r="J30" s="37"/>
    </row>
    <row r="31" spans="10:10">
      <c r="J31" s="37"/>
    </row>
    <row r="32" spans="10:10">
      <c r="J32" s="37"/>
    </row>
    <row r="33" spans="10:10">
      <c r="J33" s="37"/>
    </row>
    <row r="34" spans="10:10">
      <c r="J34" s="37"/>
    </row>
    <row r="35" spans="10:10">
      <c r="J35" s="37"/>
    </row>
    <row r="36" spans="10:10">
      <c r="J36" s="37"/>
    </row>
    <row r="37" spans="10:10">
      <c r="J37" s="37"/>
    </row>
    <row r="38" spans="10:10">
      <c r="J38" s="37"/>
    </row>
    <row r="39" spans="10:10">
      <c r="J39" s="37"/>
    </row>
    <row r="40" spans="10:10">
      <c r="J40" s="37"/>
    </row>
    <row r="41" spans="10:10">
      <c r="J41" s="37"/>
    </row>
    <row r="42" spans="10:10">
      <c r="J42" s="37"/>
    </row>
    <row r="43" spans="10:10">
      <c r="J43" s="37"/>
    </row>
    <row r="44" spans="10:10">
      <c r="J44" s="37"/>
    </row>
    <row r="45" spans="10:10">
      <c r="J45" s="37"/>
    </row>
    <row r="46" spans="10:10">
      <c r="J46" s="37"/>
    </row>
    <row r="47" spans="10:10">
      <c r="J47" s="37"/>
    </row>
    <row r="48" spans="10:10">
      <c r="J48" s="37"/>
    </row>
    <row r="49" spans="10:10">
      <c r="J49" s="37"/>
    </row>
    <row r="50" spans="10:10">
      <c r="J50" s="37"/>
    </row>
    <row r="51" spans="10:10">
      <c r="J51" s="37"/>
    </row>
    <row r="52" spans="10:10">
      <c r="J52" s="37"/>
    </row>
    <row r="53" spans="10:10">
      <c r="J53" s="37"/>
    </row>
    <row r="54" spans="10:10">
      <c r="J54" s="37"/>
    </row>
    <row r="55" spans="10:10">
      <c r="J55" s="37"/>
    </row>
    <row r="56" spans="10:10">
      <c r="J56" s="37"/>
    </row>
    <row r="57" spans="10:10">
      <c r="J57" s="37"/>
    </row>
    <row r="58" spans="10:10">
      <c r="J58" s="37"/>
    </row>
    <row r="59" spans="10:10">
      <c r="J59" s="37"/>
    </row>
    <row r="60" spans="10:10">
      <c r="J60" s="37"/>
    </row>
    <row r="61" spans="10:10">
      <c r="J61" s="37"/>
    </row>
    <row r="62" spans="10:10">
      <c r="J62" s="37"/>
    </row>
    <row r="63" spans="10:10">
      <c r="J63" s="37"/>
    </row>
    <row r="64" spans="10:10">
      <c r="J64" s="37"/>
    </row>
    <row r="65" spans="10:10">
      <c r="J65" s="37"/>
    </row>
    <row r="66" spans="10:10">
      <c r="J66" s="37"/>
    </row>
    <row r="67" spans="10:10">
      <c r="J67" s="37"/>
    </row>
    <row r="68" spans="10:10">
      <c r="J68" s="37"/>
    </row>
    <row r="69" spans="10:10">
      <c r="J69" s="37"/>
    </row>
    <row r="70" spans="10:10">
      <c r="J70" s="37"/>
    </row>
    <row r="71" spans="10:10">
      <c r="J71" s="37"/>
    </row>
    <row r="72" spans="10:10">
      <c r="J72" s="37"/>
    </row>
    <row r="73" spans="10:10">
      <c r="J73" s="37"/>
    </row>
    <row r="74" spans="10:10">
      <c r="J74" s="37"/>
    </row>
    <row r="75" spans="10:10">
      <c r="J75" s="37"/>
    </row>
    <row r="76" spans="10:10">
      <c r="J76" s="37"/>
    </row>
    <row r="77" spans="10:10">
      <c r="J77" s="37"/>
    </row>
    <row r="78" spans="10:10">
      <c r="J78" s="37"/>
    </row>
    <row r="79" spans="10:10">
      <c r="J79" s="37"/>
    </row>
    <row r="80" spans="10:10">
      <c r="J80" s="37"/>
    </row>
    <row r="81" spans="10:10">
      <c r="J81" s="37"/>
    </row>
    <row r="82" spans="10:10">
      <c r="J82" s="37"/>
    </row>
    <row r="83" spans="10:10">
      <c r="J83" s="37"/>
    </row>
    <row r="84" spans="10:10">
      <c r="J84" s="37"/>
    </row>
    <row r="85" spans="10:10">
      <c r="J85" s="37"/>
    </row>
    <row r="86" spans="10:10">
      <c r="J86" s="37"/>
    </row>
    <row r="87" spans="10:10">
      <c r="J87" s="37"/>
    </row>
    <row r="88" spans="10:10">
      <c r="J88" s="37"/>
    </row>
    <row r="89" spans="10:10">
      <c r="J89" s="37"/>
    </row>
    <row r="90" spans="10:10">
      <c r="J90" s="37"/>
    </row>
    <row r="91" spans="10:10">
      <c r="J91" s="37"/>
    </row>
    <row r="92" spans="10:10">
      <c r="J92" s="37"/>
    </row>
    <row r="93" spans="10:10">
      <c r="J93" s="37"/>
    </row>
    <row r="94" spans="10:10">
      <c r="J94" s="37"/>
    </row>
    <row r="95" spans="10:10">
      <c r="J95" s="37"/>
    </row>
    <row r="96" spans="10:10">
      <c r="J96" s="37"/>
    </row>
    <row r="97" spans="10:10">
      <c r="J97" s="37"/>
    </row>
    <row r="98" spans="10:10">
      <c r="J98" s="37"/>
    </row>
    <row r="99" spans="10:10">
      <c r="J99" s="37"/>
    </row>
    <row r="100" spans="10:10">
      <c r="J100" s="37"/>
    </row>
    <row r="101" spans="10:10">
      <c r="J101" s="37"/>
    </row>
    <row r="102" spans="10:10">
      <c r="J102" s="37"/>
    </row>
    <row r="103" spans="10:10">
      <c r="J103" s="37"/>
    </row>
    <row r="104" spans="10:10">
      <c r="J104" s="37"/>
    </row>
    <row r="105" spans="10:10">
      <c r="J105" s="37"/>
    </row>
    <row r="106" spans="10:10">
      <c r="J106" s="37"/>
    </row>
    <row r="107" spans="10:10">
      <c r="J107" s="37"/>
    </row>
    <row r="108" spans="10:10">
      <c r="J108" s="37"/>
    </row>
    <row r="109" spans="10:10">
      <c r="J109" s="37"/>
    </row>
    <row r="110" spans="10:10">
      <c r="J110" s="37"/>
    </row>
    <row r="111" spans="10:10">
      <c r="J111" s="37"/>
    </row>
    <row r="112" spans="10:10">
      <c r="J112" s="37"/>
    </row>
    <row r="113" spans="10:10">
      <c r="J113" s="37"/>
    </row>
    <row r="114" spans="10:10">
      <c r="J114" s="37"/>
    </row>
    <row r="115" spans="10:10">
      <c r="J115" s="37"/>
    </row>
    <row r="116" spans="10:10">
      <c r="J116" s="37"/>
    </row>
    <row r="117" spans="10:10">
      <c r="J117" s="37"/>
    </row>
    <row r="118" spans="10:10">
      <c r="J118" s="37"/>
    </row>
    <row r="119" spans="10:10">
      <c r="J119" s="37"/>
    </row>
    <row r="120" spans="10:10">
      <c r="J120" s="37"/>
    </row>
    <row r="121" spans="10:10">
      <c r="J121" s="37"/>
    </row>
    <row r="122" spans="10:10">
      <c r="J122" s="37"/>
    </row>
    <row r="123" spans="10:10">
      <c r="J123" s="37"/>
    </row>
    <row r="124" spans="10:10">
      <c r="J124" s="37"/>
    </row>
    <row r="125" spans="10:10">
      <c r="J125" s="37"/>
    </row>
    <row r="126" spans="10:10">
      <c r="J126" s="37"/>
    </row>
    <row r="127" spans="10:10">
      <c r="J127" s="37"/>
    </row>
    <row r="128" spans="10:10">
      <c r="J128" s="37"/>
    </row>
    <row r="129" spans="10:10">
      <c r="J129" s="37"/>
    </row>
    <row r="130" spans="10:10">
      <c r="J130" s="37"/>
    </row>
    <row r="131" spans="10:10">
      <c r="J131" s="37"/>
    </row>
    <row r="132" spans="10:10">
      <c r="J132" s="37"/>
    </row>
    <row r="133" spans="10:10">
      <c r="J133" s="37"/>
    </row>
    <row r="134" spans="10:10">
      <c r="J134" s="37"/>
    </row>
    <row r="135" spans="10:10">
      <c r="J135" s="37"/>
    </row>
    <row r="136" spans="10:10">
      <c r="J136" s="37"/>
    </row>
    <row r="137" spans="10:10">
      <c r="J137" s="37"/>
    </row>
    <row r="138" spans="10:10">
      <c r="J138" s="37"/>
    </row>
    <row r="139" spans="10:10">
      <c r="J139" s="37"/>
    </row>
    <row r="140" spans="10:10">
      <c r="J140" s="37"/>
    </row>
    <row r="141" spans="10:10">
      <c r="J141" s="37"/>
    </row>
    <row r="142" spans="10:10">
      <c r="J142" s="37"/>
    </row>
    <row r="143" spans="10:10">
      <c r="J143" s="37"/>
    </row>
    <row r="144" spans="10:10">
      <c r="J144" s="37"/>
    </row>
    <row r="145" spans="10:10">
      <c r="J145" s="37"/>
    </row>
    <row r="146" spans="10:10">
      <c r="J146" s="37"/>
    </row>
    <row r="147" spans="10:10">
      <c r="J147" s="37"/>
    </row>
    <row r="148" spans="10:10">
      <c r="J148" s="37"/>
    </row>
    <row r="149" spans="10:10">
      <c r="J149" s="37"/>
    </row>
    <row r="150" spans="10:10">
      <c r="J150" s="37"/>
    </row>
    <row r="151" spans="10:10">
      <c r="J151" s="37"/>
    </row>
    <row r="152" spans="10:10">
      <c r="J152" s="37"/>
    </row>
    <row r="153" spans="10:10">
      <c r="J153" s="37"/>
    </row>
    <row r="154" spans="10:10">
      <c r="J154" s="37"/>
    </row>
    <row r="155" spans="10:10">
      <c r="J155" s="37"/>
    </row>
    <row r="156" spans="10:10">
      <c r="J156" s="37"/>
    </row>
    <row r="157" spans="10:10">
      <c r="J157" s="37"/>
    </row>
    <row r="158" spans="10:10">
      <c r="J158" s="37"/>
    </row>
    <row r="159" spans="10:10">
      <c r="J159" s="37"/>
    </row>
    <row r="160" spans="10:10">
      <c r="J160" s="37"/>
    </row>
    <row r="161" spans="10:10">
      <c r="J161" s="37"/>
    </row>
    <row r="162" spans="10:10">
      <c r="J162" s="37"/>
    </row>
    <row r="163" spans="10:10">
      <c r="J163" s="37"/>
    </row>
    <row r="164" spans="10:10">
      <c r="J164" s="37"/>
    </row>
    <row r="165" spans="10:10">
      <c r="J165" s="37"/>
    </row>
    <row r="166" spans="10:10">
      <c r="J166" s="37"/>
    </row>
    <row r="167" spans="10:10">
      <c r="J167" s="37"/>
    </row>
    <row r="168" spans="10:10">
      <c r="J168" s="37"/>
    </row>
    <row r="169" spans="10:10">
      <c r="J169" s="37"/>
    </row>
    <row r="170" spans="10:10">
      <c r="J170" s="37"/>
    </row>
    <row r="171" spans="10:10">
      <c r="J171" s="37"/>
    </row>
    <row r="172" spans="10:10">
      <c r="J172" s="37"/>
    </row>
    <row r="173" spans="10:10">
      <c r="J173" s="37"/>
    </row>
    <row r="174" spans="10:10">
      <c r="J174" s="37"/>
    </row>
    <row r="175" spans="10:10">
      <c r="J175" s="37"/>
    </row>
    <row r="176" spans="10:10">
      <c r="J176" s="37"/>
    </row>
    <row r="177" spans="10:10">
      <c r="J177" s="37"/>
    </row>
    <row r="178" spans="10:10">
      <c r="J178" s="37"/>
    </row>
    <row r="179" spans="10:10">
      <c r="J179" s="37"/>
    </row>
    <row r="180" spans="10:10">
      <c r="J180" s="37"/>
    </row>
    <row r="181" spans="10:10">
      <c r="J181" s="37"/>
    </row>
    <row r="182" spans="10:10">
      <c r="J182" s="37"/>
    </row>
    <row r="183" spans="10:10">
      <c r="J183" s="37"/>
    </row>
    <row r="184" spans="10:10">
      <c r="J184" s="37"/>
    </row>
    <row r="185" spans="10:10">
      <c r="J185" s="37"/>
    </row>
    <row r="186" spans="10:10">
      <c r="J186" s="37"/>
    </row>
    <row r="187" spans="10:10">
      <c r="J187" s="37"/>
    </row>
    <row r="188" spans="10:10">
      <c r="J188" s="37"/>
    </row>
    <row r="189" spans="10:10">
      <c r="J189" s="37"/>
    </row>
    <row r="190" spans="10:10">
      <c r="J190" s="37"/>
    </row>
    <row r="191" spans="10:10">
      <c r="J191" s="37"/>
    </row>
    <row r="192" spans="10:10">
      <c r="J192" s="37"/>
    </row>
    <row r="193" spans="10:10">
      <c r="J193" s="37"/>
    </row>
    <row r="194" spans="10:10">
      <c r="J194" s="37"/>
    </row>
    <row r="195" spans="10:10">
      <c r="J195" s="37"/>
    </row>
    <row r="196" spans="10:10">
      <c r="J196" s="37"/>
    </row>
    <row r="197" spans="10:10">
      <c r="J197" s="37"/>
    </row>
    <row r="198" spans="10:10">
      <c r="J198" s="37"/>
    </row>
    <row r="199" spans="10:10">
      <c r="J199" s="37"/>
    </row>
    <row r="200" spans="10:10">
      <c r="J200" s="37"/>
    </row>
    <row r="201" spans="10:10">
      <c r="J201" s="37"/>
    </row>
    <row r="202" spans="10:10">
      <c r="J202" s="37"/>
    </row>
    <row r="203" spans="10:10">
      <c r="J203" s="37"/>
    </row>
    <row r="204" spans="10:10">
      <c r="J204" s="37"/>
    </row>
    <row r="205" spans="10:10">
      <c r="J205" s="37"/>
    </row>
    <row r="206" spans="10:10">
      <c r="J206" s="37"/>
    </row>
    <row r="207" spans="10:10">
      <c r="J207" s="37"/>
    </row>
    <row r="208" spans="10:10">
      <c r="J208" s="37"/>
    </row>
    <row r="209" spans="10:10">
      <c r="J209" s="37"/>
    </row>
    <row r="210" spans="10:10">
      <c r="J210" s="37"/>
    </row>
    <row r="211" spans="10:10">
      <c r="J211" s="37"/>
    </row>
    <row r="212" spans="10:10">
      <c r="J212" s="37"/>
    </row>
    <row r="213" spans="10:10">
      <c r="J213" s="37"/>
    </row>
    <row r="214" spans="10:10">
      <c r="J214" s="37"/>
    </row>
    <row r="215" spans="10:10">
      <c r="J215" s="37"/>
    </row>
    <row r="216" spans="10:10">
      <c r="J216" s="37"/>
    </row>
    <row r="217" spans="10:10">
      <c r="J217" s="37"/>
    </row>
    <row r="218" spans="10:10">
      <c r="J218" s="37"/>
    </row>
    <row r="219" spans="10:10">
      <c r="J219" s="37"/>
    </row>
    <row r="220" spans="10:10">
      <c r="J220" s="37"/>
    </row>
    <row r="221" spans="10:10">
      <c r="J221" s="37"/>
    </row>
    <row r="222" spans="10:10">
      <c r="J222" s="37"/>
    </row>
    <row r="223" spans="10:10">
      <c r="J223" s="37"/>
    </row>
    <row r="224" spans="10:10">
      <c r="J224" s="37"/>
    </row>
    <row r="225" spans="10:10">
      <c r="J225" s="37"/>
    </row>
    <row r="226" spans="10:10">
      <c r="J226" s="37"/>
    </row>
    <row r="227" spans="10:10">
      <c r="J227" s="37"/>
    </row>
    <row r="228" spans="10:10">
      <c r="J228" s="37"/>
    </row>
    <row r="229" spans="10:10">
      <c r="J229" s="37"/>
    </row>
    <row r="230" spans="10:10">
      <c r="J230" s="37"/>
    </row>
    <row r="231" spans="10:10">
      <c r="J231" s="37"/>
    </row>
    <row r="232" spans="10:10">
      <c r="J232" s="37"/>
    </row>
    <row r="233" spans="10:10">
      <c r="J233" s="37"/>
    </row>
    <row r="234" spans="10:10">
      <c r="J234" s="37"/>
    </row>
    <row r="235" spans="10:10">
      <c r="J235" s="37"/>
    </row>
    <row r="236" spans="10:10">
      <c r="J236" s="37"/>
    </row>
    <row r="237" spans="10:10">
      <c r="J237" s="37"/>
    </row>
    <row r="238" spans="10:10">
      <c r="J238" s="37"/>
    </row>
    <row r="239" spans="10:10">
      <c r="J239" s="37"/>
    </row>
    <row r="240" spans="10:10">
      <c r="J240" s="37"/>
    </row>
    <row r="241" spans="10:10">
      <c r="J241" s="37"/>
    </row>
    <row r="242" spans="10:10">
      <c r="J242" s="37"/>
    </row>
    <row r="243" spans="10:10">
      <c r="J243" s="37"/>
    </row>
    <row r="244" spans="10:10">
      <c r="J244" s="37"/>
    </row>
    <row r="245" spans="10:10">
      <c r="J245" s="37"/>
    </row>
    <row r="246" spans="10:10">
      <c r="J246" s="37"/>
    </row>
    <row r="247" spans="10:10">
      <c r="J247" s="37"/>
    </row>
    <row r="248" spans="10:10">
      <c r="J248" s="37"/>
    </row>
    <row r="249" spans="10:10">
      <c r="J249" s="37"/>
    </row>
    <row r="250" spans="10:10">
      <c r="J250" s="37"/>
    </row>
    <row r="251" spans="10:10">
      <c r="J251" s="37"/>
    </row>
    <row r="252" spans="10:10">
      <c r="J252" s="37"/>
    </row>
    <row r="253" spans="10:10">
      <c r="J253" s="37"/>
    </row>
    <row r="254" spans="10:10">
      <c r="J254" s="37"/>
    </row>
    <row r="255" spans="10:10">
      <c r="J255" s="37"/>
    </row>
    <row r="256" spans="10:10">
      <c r="J256" s="37"/>
    </row>
    <row r="257" spans="10:10">
      <c r="J257" s="37"/>
    </row>
    <row r="258" spans="10:10">
      <c r="J258" s="37"/>
    </row>
    <row r="259" spans="10:10">
      <c r="J259" s="37"/>
    </row>
    <row r="260" spans="10:10">
      <c r="J260" s="37"/>
    </row>
    <row r="261" spans="10:10">
      <c r="J261" s="37"/>
    </row>
    <row r="262" spans="10:10">
      <c r="J262" s="37"/>
    </row>
    <row r="263" spans="10:10">
      <c r="J263" s="37"/>
    </row>
    <row r="264" spans="10:10">
      <c r="J264" s="37"/>
    </row>
    <row r="265" spans="10:10">
      <c r="J265" s="37"/>
    </row>
    <row r="266" spans="10:10">
      <c r="J266" s="37"/>
    </row>
    <row r="267" spans="10:10">
      <c r="J267" s="37"/>
    </row>
    <row r="268" spans="10:10">
      <c r="J268" s="37"/>
    </row>
    <row r="269" spans="10:10">
      <c r="J269" s="37"/>
    </row>
    <row r="270" spans="10:10">
      <c r="J270" s="37"/>
    </row>
    <row r="271" spans="10:10">
      <c r="J271" s="37"/>
    </row>
    <row r="272" spans="10:10">
      <c r="J272" s="37"/>
    </row>
    <row r="273" spans="10:10">
      <c r="J273" s="37"/>
    </row>
    <row r="274" spans="10:10">
      <c r="J274" s="37"/>
    </row>
    <row r="275" spans="10:10">
      <c r="J275" s="37"/>
    </row>
    <row r="276" spans="10:10">
      <c r="J276" s="37"/>
    </row>
    <row r="277" spans="10:10">
      <c r="J277" s="37"/>
    </row>
    <row r="278" spans="10:10">
      <c r="J278" s="37"/>
    </row>
    <row r="279" spans="10:10">
      <c r="J279" s="37"/>
    </row>
    <row r="280" spans="10:10">
      <c r="J280" s="37"/>
    </row>
    <row r="281" spans="10:10">
      <c r="J281" s="37"/>
    </row>
    <row r="282" spans="10:10">
      <c r="J282" s="37"/>
    </row>
    <row r="283" spans="10:10">
      <c r="J283" s="37"/>
    </row>
    <row r="284" spans="10:10">
      <c r="J284" s="37"/>
    </row>
    <row r="285" spans="10:10">
      <c r="J285" s="37"/>
    </row>
    <row r="286" spans="10:10">
      <c r="J286" s="37"/>
    </row>
    <row r="287" spans="10:10">
      <c r="J287" s="37"/>
    </row>
    <row r="288" spans="10:10">
      <c r="J288" s="37"/>
    </row>
    <row r="289" spans="10:10">
      <c r="J289" s="37"/>
    </row>
    <row r="290" spans="10:10">
      <c r="J290" s="37"/>
    </row>
    <row r="291" spans="10:10">
      <c r="J291" s="37"/>
    </row>
    <row r="292" spans="10:10">
      <c r="J292" s="37"/>
    </row>
    <row r="293" spans="10:10">
      <c r="J293" s="37"/>
    </row>
    <row r="294" spans="10:10">
      <c r="J294" s="37"/>
    </row>
    <row r="295" spans="10:10">
      <c r="J295" s="37"/>
    </row>
    <row r="296" spans="10:10">
      <c r="J296" s="37"/>
    </row>
    <row r="297" spans="10:10">
      <c r="J297" s="37"/>
    </row>
    <row r="298" spans="10:10">
      <c r="J298" s="37"/>
    </row>
    <row r="299" spans="10:10">
      <c r="J299" s="37"/>
    </row>
    <row r="300" spans="10:10">
      <c r="J300" s="37"/>
    </row>
    <row r="301" spans="10:10">
      <c r="J301" s="37"/>
    </row>
    <row r="302" spans="10:10">
      <c r="J302" s="37"/>
    </row>
    <row r="303" spans="10:10">
      <c r="J303" s="37"/>
    </row>
    <row r="304" spans="10:10">
      <c r="J304" s="37"/>
    </row>
    <row r="305" spans="10:10">
      <c r="J305" s="37"/>
    </row>
    <row r="306" spans="10:10">
      <c r="J306" s="37"/>
    </row>
    <row r="307" spans="10:10">
      <c r="J307" s="37"/>
    </row>
    <row r="308" spans="10:10">
      <c r="J308" s="37"/>
    </row>
    <row r="309" spans="10:10">
      <c r="J309" s="37"/>
    </row>
    <row r="310" spans="10:10">
      <c r="J310" s="37"/>
    </row>
    <row r="311" spans="10:10">
      <c r="J311" s="37"/>
    </row>
    <row r="312" spans="10:10">
      <c r="J312" s="37"/>
    </row>
    <row r="313" spans="10:10">
      <c r="J313" s="37"/>
    </row>
    <row r="314" spans="10:10">
      <c r="J314" s="37"/>
    </row>
    <row r="315" spans="10:10">
      <c r="J315" s="37"/>
    </row>
    <row r="316" spans="10:10">
      <c r="J316" s="37"/>
    </row>
    <row r="317" spans="10:10">
      <c r="J317" s="37"/>
    </row>
    <row r="318" spans="10:10">
      <c r="J318" s="37"/>
    </row>
    <row r="319" spans="10:10">
      <c r="J319" s="37"/>
    </row>
    <row r="320" spans="10:10">
      <c r="J320" s="37"/>
    </row>
    <row r="321" spans="10:10">
      <c r="J321" s="37"/>
    </row>
    <row r="322" spans="10:10">
      <c r="J322" s="37"/>
    </row>
    <row r="323" spans="10:10">
      <c r="J323" s="37"/>
    </row>
    <row r="324" spans="10:10">
      <c r="J324" s="37"/>
    </row>
    <row r="325" spans="10:10">
      <c r="J325" s="37"/>
    </row>
    <row r="326" spans="10:10">
      <c r="J326" s="37"/>
    </row>
    <row r="327" spans="10:10">
      <c r="J327" s="37"/>
    </row>
    <row r="328" spans="10:10">
      <c r="J328" s="37"/>
    </row>
    <row r="329" spans="10:10">
      <c r="J329" s="37"/>
    </row>
    <row r="330" spans="10:10">
      <c r="J330" s="37"/>
    </row>
    <row r="331" spans="10:10">
      <c r="J331" s="37"/>
    </row>
    <row r="332" spans="10:10">
      <c r="J332" s="37"/>
    </row>
    <row r="333" spans="10:10">
      <c r="J333" s="37"/>
    </row>
    <row r="334" spans="10:10">
      <c r="J334" s="37"/>
    </row>
    <row r="335" spans="10:10">
      <c r="J335" s="37"/>
    </row>
    <row r="336" spans="10:10">
      <c r="J336" s="37"/>
    </row>
    <row r="337" spans="10:10">
      <c r="J337" s="37"/>
    </row>
    <row r="338" spans="10:10">
      <c r="J338" s="37"/>
    </row>
    <row r="339" spans="10:10">
      <c r="J339" s="37"/>
    </row>
    <row r="340" spans="10:10">
      <c r="J340" s="37"/>
    </row>
    <row r="341" spans="10:10">
      <c r="J341" s="37"/>
    </row>
    <row r="342" spans="10:10">
      <c r="J342" s="37"/>
    </row>
    <row r="343" spans="10:10">
      <c r="J343" s="37"/>
    </row>
    <row r="344" spans="10:10">
      <c r="J344" s="37"/>
    </row>
    <row r="345" spans="10:10">
      <c r="J345" s="37"/>
    </row>
    <row r="346" spans="10:10">
      <c r="J346" s="37"/>
    </row>
    <row r="347" spans="10:10">
      <c r="J347" s="37"/>
    </row>
    <row r="348" spans="10:10">
      <c r="J348" s="37"/>
    </row>
    <row r="349" spans="10:10">
      <c r="J349" s="37"/>
    </row>
    <row r="350" spans="10:10">
      <c r="J350" s="37"/>
    </row>
    <row r="351" spans="10:10">
      <c r="J351" s="37"/>
    </row>
    <row r="352" spans="10:10">
      <c r="J352" s="37"/>
    </row>
    <row r="353" spans="10:10">
      <c r="J353" s="37"/>
    </row>
    <row r="354" spans="10:10">
      <c r="J354" s="37"/>
    </row>
    <row r="355" spans="10:10">
      <c r="J355" s="37"/>
    </row>
    <row r="356" spans="10:10">
      <c r="J356" s="37"/>
    </row>
    <row r="357" spans="10:10">
      <c r="J357" s="37"/>
    </row>
    <row r="358" spans="10:10">
      <c r="J358" s="37"/>
    </row>
    <row r="359" spans="10:10">
      <c r="J359" s="37"/>
    </row>
    <row r="360" spans="10:10">
      <c r="J360" s="37"/>
    </row>
    <row r="361" spans="10:10">
      <c r="J361" s="37"/>
    </row>
    <row r="362" spans="10:10">
      <c r="J362" s="37"/>
    </row>
    <row r="363" spans="10:10">
      <c r="J363" s="37"/>
    </row>
    <row r="364" spans="10:10">
      <c r="J364" s="37"/>
    </row>
    <row r="365" spans="10:10">
      <c r="J365" s="37"/>
    </row>
    <row r="366" spans="10:10">
      <c r="J366" s="37"/>
    </row>
    <row r="367" spans="10:10">
      <c r="J367" s="37"/>
    </row>
    <row r="368" spans="10:10">
      <c r="J368" s="37"/>
    </row>
    <row r="369" spans="10:10">
      <c r="J369" s="37"/>
    </row>
    <row r="370" spans="10:10">
      <c r="J370" s="37"/>
    </row>
    <row r="371" spans="10:10">
      <c r="J371" s="37"/>
    </row>
    <row r="372" spans="10:10">
      <c r="J372" s="37"/>
    </row>
    <row r="373" spans="10:10">
      <c r="J373" s="37"/>
    </row>
    <row r="374" spans="10:10">
      <c r="J374" s="37"/>
    </row>
    <row r="375" spans="10:10">
      <c r="J375" s="37"/>
    </row>
    <row r="376" spans="10:10">
      <c r="J376" s="37"/>
    </row>
    <row r="377" spans="10:10">
      <c r="J377" s="37"/>
    </row>
    <row r="378" spans="10:10">
      <c r="J378" s="37"/>
    </row>
    <row r="379" spans="10:10">
      <c r="J379" s="37"/>
    </row>
    <row r="380" spans="10:10">
      <c r="J380" s="37"/>
    </row>
    <row r="381" spans="10:10">
      <c r="J381" s="37"/>
    </row>
    <row r="382" spans="10:10">
      <c r="J382" s="37"/>
    </row>
    <row r="383" spans="10:10">
      <c r="J383" s="37"/>
    </row>
    <row r="384" spans="10:10">
      <c r="J384" s="37"/>
    </row>
    <row r="385" spans="10:10">
      <c r="J385" s="37"/>
    </row>
    <row r="386" spans="10:10">
      <c r="J386" s="37"/>
    </row>
    <row r="387" spans="10:10">
      <c r="J387" s="37"/>
    </row>
    <row r="388" spans="10:10">
      <c r="J388" s="37"/>
    </row>
    <row r="389" spans="10:10">
      <c r="J389" s="37"/>
    </row>
    <row r="390" spans="10:10">
      <c r="J390" s="37"/>
    </row>
    <row r="391" spans="10:10">
      <c r="J391" s="37"/>
    </row>
    <row r="392" spans="10:10">
      <c r="J392" s="37"/>
    </row>
    <row r="393" spans="10:10">
      <c r="J393" s="37"/>
    </row>
    <row r="394" spans="10:10">
      <c r="J394" s="37"/>
    </row>
    <row r="395" spans="10:10">
      <c r="J395" s="37"/>
    </row>
    <row r="396" spans="10:10">
      <c r="J396" s="37"/>
    </row>
    <row r="397" spans="10:10">
      <c r="J397" s="37"/>
    </row>
    <row r="398" spans="10:10">
      <c r="J398" s="37"/>
    </row>
    <row r="399" spans="10:10">
      <c r="J399" s="37"/>
    </row>
    <row r="400" spans="10:10">
      <c r="J400" s="37"/>
    </row>
    <row r="401" spans="10:10">
      <c r="J401" s="37"/>
    </row>
    <row r="402" spans="10:10">
      <c r="J402" s="37"/>
    </row>
    <row r="403" spans="10:10">
      <c r="J403" s="37"/>
    </row>
    <row r="404" spans="10:10">
      <c r="J404" s="37"/>
    </row>
    <row r="405" spans="10:10">
      <c r="J405" s="37"/>
    </row>
    <row r="406" spans="10:10">
      <c r="J406" s="37"/>
    </row>
    <row r="407" spans="10:10">
      <c r="J407" s="37"/>
    </row>
    <row r="408" spans="10:10">
      <c r="J408" s="37"/>
    </row>
    <row r="409" spans="10:10">
      <c r="J409" s="37"/>
    </row>
    <row r="410" spans="10:10">
      <c r="J410" s="37"/>
    </row>
    <row r="411" spans="10:10">
      <c r="J411" s="37"/>
    </row>
    <row r="412" spans="10:10">
      <c r="J412" s="37"/>
    </row>
    <row r="413" spans="10:10">
      <c r="J413" s="37"/>
    </row>
    <row r="414" spans="10:10">
      <c r="J414" s="37"/>
    </row>
    <row r="415" spans="10:10">
      <c r="J415" s="37"/>
    </row>
    <row r="416" spans="10:10">
      <c r="J416" s="37"/>
    </row>
    <row r="417" spans="10:10">
      <c r="J417" s="37"/>
    </row>
    <row r="418" spans="10:10">
      <c r="J418" s="37"/>
    </row>
    <row r="419" spans="10:10">
      <c r="J419" s="37"/>
    </row>
    <row r="420" spans="10:10">
      <c r="J420" s="37"/>
    </row>
    <row r="421" spans="10:10">
      <c r="J421" s="37"/>
    </row>
    <row r="422" spans="10:10">
      <c r="J422" s="37"/>
    </row>
    <row r="423" spans="10:10">
      <c r="J423" s="37"/>
    </row>
    <row r="424" spans="10:10">
      <c r="J424" s="37"/>
    </row>
    <row r="425" spans="10:10">
      <c r="J425" s="37"/>
    </row>
    <row r="426" spans="10:10">
      <c r="J426" s="37"/>
    </row>
    <row r="427" spans="10:10">
      <c r="J427" s="37"/>
    </row>
    <row r="428" spans="10:10">
      <c r="J428" s="37"/>
    </row>
    <row r="429" spans="10:10">
      <c r="J429" s="37"/>
    </row>
    <row r="430" spans="10:10">
      <c r="J430" s="37"/>
    </row>
    <row r="431" spans="10:10">
      <c r="J431" s="37"/>
    </row>
    <row r="432" spans="10:10">
      <c r="J432" s="37"/>
    </row>
    <row r="433" spans="10:10">
      <c r="J433" s="37"/>
    </row>
    <row r="434" spans="10:10">
      <c r="J434" s="37"/>
    </row>
    <row r="435" spans="10:10">
      <c r="J435" s="37"/>
    </row>
    <row r="436" spans="10:10">
      <c r="J436" s="37"/>
    </row>
    <row r="437" spans="10:10">
      <c r="J437" s="37"/>
    </row>
    <row r="438" spans="10:10">
      <c r="J438" s="37"/>
    </row>
    <row r="439" spans="10:10">
      <c r="J439" s="37"/>
    </row>
    <row r="440" spans="10:10">
      <c r="J440" s="37"/>
    </row>
    <row r="441" spans="10:10">
      <c r="J441" s="37"/>
    </row>
    <row r="442" spans="10:10">
      <c r="J442" s="37"/>
    </row>
    <row r="443" spans="10:10">
      <c r="J443" s="37"/>
    </row>
    <row r="444" spans="10:10">
      <c r="J444" s="37"/>
    </row>
    <row r="445" spans="10:10">
      <c r="J445" s="37"/>
    </row>
    <row r="446" spans="10:10">
      <c r="J446" s="37"/>
    </row>
    <row r="447" spans="10:10">
      <c r="J447" s="37"/>
    </row>
    <row r="448" spans="10:10">
      <c r="J448" s="37"/>
    </row>
    <row r="449" spans="10:10">
      <c r="J449" s="37"/>
    </row>
    <row r="450" spans="10:10">
      <c r="J450" s="37"/>
    </row>
    <row r="451" spans="10:10">
      <c r="J451" s="37"/>
    </row>
    <row r="452" spans="10:10">
      <c r="J452" s="37"/>
    </row>
    <row r="453" spans="10:10">
      <c r="J453" s="37"/>
    </row>
    <row r="454" spans="10:10">
      <c r="J454" s="37"/>
    </row>
    <row r="455" spans="10:10">
      <c r="J455" s="37"/>
    </row>
    <row r="456" spans="10:10">
      <c r="J456" s="37"/>
    </row>
    <row r="457" spans="10:10">
      <c r="J457" s="37"/>
    </row>
    <row r="458" spans="10:10">
      <c r="J458" s="37"/>
    </row>
    <row r="459" spans="10:10">
      <c r="J459" s="37"/>
    </row>
    <row r="460" spans="10:10">
      <c r="J460" s="37"/>
    </row>
    <row r="461" spans="10:10">
      <c r="J461" s="37"/>
    </row>
    <row r="462" spans="10:10">
      <c r="J462" s="37"/>
    </row>
    <row r="463" spans="10:10">
      <c r="J463" s="37"/>
    </row>
    <row r="464" spans="10:10">
      <c r="J464" s="37"/>
    </row>
    <row r="465" spans="10:10">
      <c r="J465" s="37"/>
    </row>
    <row r="466" spans="10:10">
      <c r="J466" s="37"/>
    </row>
    <row r="467" spans="10:10">
      <c r="J467" s="37"/>
    </row>
    <row r="468" spans="10:10">
      <c r="J468" s="37"/>
    </row>
    <row r="469" spans="10:10">
      <c r="J469" s="37"/>
    </row>
    <row r="470" spans="10:10">
      <c r="J470" s="37"/>
    </row>
    <row r="471" spans="10:10">
      <c r="J471" s="37"/>
    </row>
    <row r="472" spans="10:10">
      <c r="J472" s="37"/>
    </row>
    <row r="473" spans="10:10">
      <c r="J473" s="37"/>
    </row>
    <row r="474" spans="10:10">
      <c r="J474" s="37"/>
    </row>
    <row r="475" spans="10:10">
      <c r="J475" s="37"/>
    </row>
    <row r="476" spans="10:10">
      <c r="J476" s="37"/>
    </row>
    <row r="477" spans="10:10">
      <c r="J477" s="37"/>
    </row>
    <row r="478" spans="10:10">
      <c r="J478" s="37"/>
    </row>
    <row r="479" spans="10:10">
      <c r="J479" s="37"/>
    </row>
    <row r="480" spans="10:10">
      <c r="J480" s="37"/>
    </row>
    <row r="481" spans="10:10">
      <c r="J481" s="37"/>
    </row>
    <row r="482" spans="10:10">
      <c r="J482" s="37"/>
    </row>
    <row r="483" spans="10:10">
      <c r="J483" s="37"/>
    </row>
    <row r="484" spans="10:10">
      <c r="J484" s="37"/>
    </row>
    <row r="485" spans="10:10">
      <c r="J485" s="37"/>
    </row>
    <row r="486" spans="10:10">
      <c r="J486" s="37"/>
    </row>
    <row r="487" spans="10:10">
      <c r="J487" s="37"/>
    </row>
    <row r="488" spans="10:10">
      <c r="J488" s="37"/>
    </row>
    <row r="489" spans="10:10">
      <c r="J489" s="37"/>
    </row>
    <row r="490" spans="10:10">
      <c r="J490" s="37"/>
    </row>
    <row r="491" spans="10:10">
      <c r="J491" s="37"/>
    </row>
    <row r="492" spans="10:10">
      <c r="J492" s="37"/>
    </row>
    <row r="493" spans="10:10">
      <c r="J493" s="37"/>
    </row>
    <row r="494" spans="10:10">
      <c r="J494" s="37"/>
    </row>
    <row r="495" spans="10:10">
      <c r="J495" s="37"/>
    </row>
    <row r="496" spans="10:10">
      <c r="J496" s="37"/>
    </row>
    <row r="497" spans="10:10">
      <c r="J497" s="37"/>
    </row>
    <row r="498" spans="10:10">
      <c r="J498" s="37"/>
    </row>
    <row r="499" spans="10:10">
      <c r="J499" s="37"/>
    </row>
    <row r="500" spans="10:10">
      <c r="J500" s="37"/>
    </row>
    <row r="501" spans="10:10">
      <c r="J501" s="37"/>
    </row>
    <row r="502" spans="10:10">
      <c r="J502" s="37"/>
    </row>
    <row r="503" spans="10:10">
      <c r="J503" s="37"/>
    </row>
    <row r="504" spans="10:10">
      <c r="J504" s="37"/>
    </row>
    <row r="505" spans="10:10">
      <c r="J505" s="37"/>
    </row>
    <row r="506" spans="10:10">
      <c r="J506" s="37"/>
    </row>
    <row r="507" spans="10:10">
      <c r="J507" s="37"/>
    </row>
    <row r="508" spans="10:10">
      <c r="J508" s="37"/>
    </row>
    <row r="509" spans="10:10">
      <c r="J509" s="37"/>
    </row>
    <row r="510" spans="10:10">
      <c r="J510" s="37"/>
    </row>
    <row r="511" spans="10:10">
      <c r="J511" s="37"/>
    </row>
    <row r="512" spans="10:10">
      <c r="J512" s="37"/>
    </row>
    <row r="513" spans="10:10">
      <c r="J513" s="37"/>
    </row>
    <row r="514" spans="10:10">
      <c r="J514" s="37"/>
    </row>
    <row r="515" spans="10:10">
      <c r="J515" s="37"/>
    </row>
    <row r="516" spans="10:10">
      <c r="J516" s="37"/>
    </row>
    <row r="517" spans="10:10">
      <c r="J517" s="37"/>
    </row>
    <row r="518" spans="10:10">
      <c r="J518" s="37"/>
    </row>
    <row r="519" spans="10:10">
      <c r="J519" s="37"/>
    </row>
    <row r="520" spans="10:10">
      <c r="J520" s="37"/>
    </row>
    <row r="521" spans="10:10">
      <c r="J521" s="37"/>
    </row>
    <row r="522" spans="10:10">
      <c r="J522" s="37"/>
    </row>
    <row r="523" spans="10:10">
      <c r="J523" s="37"/>
    </row>
    <row r="524" spans="10:10">
      <c r="J524" s="37"/>
    </row>
    <row r="525" spans="10:10">
      <c r="J525" s="37"/>
    </row>
    <row r="526" spans="10:10">
      <c r="J526" s="37"/>
    </row>
    <row r="527" spans="10:10">
      <c r="J527" s="37"/>
    </row>
    <row r="528" spans="10:10">
      <c r="J528" s="37"/>
    </row>
    <row r="529" spans="10:10">
      <c r="J529" s="37"/>
    </row>
    <row r="530" spans="10:10">
      <c r="J530" s="37"/>
    </row>
    <row r="531" spans="10:10">
      <c r="J531" s="37"/>
    </row>
    <row r="532" spans="10:10">
      <c r="J532" s="37"/>
    </row>
    <row r="533" spans="10:10">
      <c r="J533" s="37"/>
    </row>
    <row r="534" spans="10:10">
      <c r="J534" s="37"/>
    </row>
    <row r="535" spans="10:10">
      <c r="J535" s="37"/>
    </row>
    <row r="536" spans="10:10">
      <c r="J536" s="37"/>
    </row>
    <row r="537" spans="10:10">
      <c r="J537" s="37"/>
    </row>
    <row r="538" spans="10:10">
      <c r="J538" s="37"/>
    </row>
    <row r="539" spans="10:10">
      <c r="J539" s="37"/>
    </row>
    <row r="540" spans="10:10">
      <c r="J540" s="37"/>
    </row>
    <row r="541" spans="10:10">
      <c r="J541" s="37"/>
    </row>
    <row r="542" spans="10:10">
      <c r="J542" s="37"/>
    </row>
    <row r="543" spans="10:10">
      <c r="J543" s="37"/>
    </row>
    <row r="544" spans="10:10">
      <c r="J544" s="37"/>
    </row>
    <row r="545" spans="10:10">
      <c r="J545" s="37"/>
    </row>
    <row r="546" spans="10:10">
      <c r="J546" s="37"/>
    </row>
    <row r="547" spans="10:10">
      <c r="J547" s="37"/>
    </row>
    <row r="548" spans="10:10">
      <c r="J548" s="37"/>
    </row>
    <row r="549" spans="10:10">
      <c r="J549" s="37"/>
    </row>
    <row r="550" spans="10:10">
      <c r="J550" s="37"/>
    </row>
    <row r="551" spans="10:10">
      <c r="J551" s="37"/>
    </row>
    <row r="552" spans="10:10">
      <c r="J552" s="37"/>
    </row>
    <row r="553" spans="10:10">
      <c r="J553" s="37"/>
    </row>
    <row r="554" spans="10:10">
      <c r="J554" s="37"/>
    </row>
    <row r="555" spans="10:10">
      <c r="J555" s="37"/>
    </row>
    <row r="556" spans="10:10">
      <c r="J556" s="37"/>
    </row>
    <row r="557" spans="10:10">
      <c r="J557" s="37"/>
    </row>
    <row r="558" spans="10:10">
      <c r="J558" s="37"/>
    </row>
    <row r="559" spans="10:10">
      <c r="J559" s="37"/>
    </row>
    <row r="560" spans="10:10">
      <c r="J560" s="37"/>
    </row>
    <row r="561" spans="10:10">
      <c r="J561" s="37"/>
    </row>
    <row r="562" spans="10:10">
      <c r="J562" s="37"/>
    </row>
    <row r="563" spans="10:10">
      <c r="J563" s="37"/>
    </row>
    <row r="564" spans="10:10">
      <c r="J564" s="37"/>
    </row>
    <row r="565" spans="10:10">
      <c r="J565" s="37"/>
    </row>
    <row r="566" spans="10:10">
      <c r="J566" s="37"/>
    </row>
    <row r="567" spans="10:10">
      <c r="J567" s="37"/>
    </row>
    <row r="568" spans="10:10">
      <c r="J568" s="37"/>
    </row>
    <row r="569" spans="10:10">
      <c r="J569" s="37"/>
    </row>
    <row r="570" spans="10:10">
      <c r="J570" s="37"/>
    </row>
    <row r="571" spans="10:10">
      <c r="J571" s="37"/>
    </row>
    <row r="572" spans="10:10">
      <c r="J572" s="37"/>
    </row>
    <row r="573" spans="10:10">
      <c r="J573" s="37"/>
    </row>
    <row r="574" spans="10:10">
      <c r="J574" s="37"/>
    </row>
    <row r="575" spans="10:10">
      <c r="J575" s="37"/>
    </row>
    <row r="576" spans="10:10">
      <c r="J576" s="37"/>
    </row>
    <row r="577" spans="10:10">
      <c r="J577" s="37"/>
    </row>
    <row r="578" spans="10:10">
      <c r="J578" s="37"/>
    </row>
    <row r="579" spans="10:10">
      <c r="J579" s="37"/>
    </row>
    <row r="580" spans="10:10">
      <c r="J580" s="37"/>
    </row>
    <row r="581" spans="10:10">
      <c r="J581" s="37"/>
    </row>
    <row r="582" spans="10:10">
      <c r="J582" s="37"/>
    </row>
    <row r="583" spans="10:10">
      <c r="J583" s="37"/>
    </row>
    <row r="584" spans="10:10">
      <c r="J584" s="37"/>
    </row>
    <row r="585" spans="10:10">
      <c r="J585" s="37"/>
    </row>
    <row r="586" spans="10:10">
      <c r="J586" s="37"/>
    </row>
    <row r="587" spans="10:10">
      <c r="J587" s="37"/>
    </row>
    <row r="588" spans="10:10">
      <c r="J588" s="37"/>
    </row>
    <row r="589" spans="10:10">
      <c r="J589" s="37"/>
    </row>
    <row r="590" spans="10:10">
      <c r="J590" s="37"/>
    </row>
    <row r="591" spans="10:10">
      <c r="J591" s="37"/>
    </row>
    <row r="592" spans="10:10">
      <c r="J592" s="37"/>
    </row>
    <row r="593" spans="10:10">
      <c r="J593" s="37"/>
    </row>
    <row r="594" spans="10:10">
      <c r="J594" s="37"/>
    </row>
    <row r="595" spans="10:10">
      <c r="J595" s="37"/>
    </row>
    <row r="596" spans="10:10">
      <c r="J596" s="37"/>
    </row>
    <row r="597" spans="10:10">
      <c r="J597" s="37"/>
    </row>
    <row r="598" spans="10:10">
      <c r="J598" s="37"/>
    </row>
    <row r="599" spans="10:10">
      <c r="J599" s="37"/>
    </row>
    <row r="600" spans="10:10">
      <c r="J600" s="37"/>
    </row>
    <row r="601" spans="10:10">
      <c r="J601" s="37"/>
    </row>
    <row r="602" spans="10:10">
      <c r="J602" s="37"/>
    </row>
    <row r="603" spans="10:10">
      <c r="J603" s="37"/>
    </row>
    <row r="604" spans="10:10">
      <c r="J604" s="37"/>
    </row>
    <row r="605" spans="10:10">
      <c r="J605" s="37"/>
    </row>
    <row r="606" spans="10:10">
      <c r="J606" s="37"/>
    </row>
    <row r="607" spans="10:10">
      <c r="J607" s="37"/>
    </row>
    <row r="608" spans="10:10">
      <c r="J608" s="37"/>
    </row>
    <row r="609" spans="10:10">
      <c r="J609" s="37"/>
    </row>
    <row r="610" spans="10:10">
      <c r="J610" s="37"/>
    </row>
    <row r="611" spans="10:10">
      <c r="J611" s="37"/>
    </row>
    <row r="612" spans="10:10">
      <c r="J612" s="37"/>
    </row>
    <row r="613" spans="10:10">
      <c r="J613" s="37"/>
    </row>
    <row r="614" spans="10:10">
      <c r="J614" s="37"/>
    </row>
    <row r="615" spans="10:10">
      <c r="J615" s="37"/>
    </row>
    <row r="616" spans="10:10">
      <c r="J616" s="37"/>
    </row>
    <row r="617" spans="10:10">
      <c r="J617" s="37"/>
    </row>
    <row r="618" spans="10:10">
      <c r="J618" s="37"/>
    </row>
    <row r="619" spans="10:10">
      <c r="J619" s="37"/>
    </row>
    <row r="620" spans="10:10">
      <c r="J620" s="37"/>
    </row>
    <row r="621" spans="10:10">
      <c r="J621" s="37"/>
    </row>
    <row r="622" spans="10:10">
      <c r="J622" s="37"/>
    </row>
    <row r="623" spans="10:10">
      <c r="J623" s="37"/>
    </row>
    <row r="624" spans="10:10">
      <c r="J624" s="37"/>
    </row>
    <row r="625" spans="10:10">
      <c r="J625" s="37"/>
    </row>
    <row r="626" spans="10:10">
      <c r="J626" s="37"/>
    </row>
    <row r="627" spans="10:10">
      <c r="J627" s="37"/>
    </row>
    <row r="628" spans="10:10">
      <c r="J628" s="37"/>
    </row>
    <row r="629" spans="10:10">
      <c r="J629" s="37"/>
    </row>
    <row r="630" spans="10:10">
      <c r="J630" s="37"/>
    </row>
    <row r="631" spans="10:10">
      <c r="J631" s="37"/>
    </row>
    <row r="632" spans="10:10">
      <c r="J632" s="37"/>
    </row>
    <row r="633" spans="10:10">
      <c r="J633" s="37"/>
    </row>
    <row r="634" spans="10:10">
      <c r="J634" s="37"/>
    </row>
    <row r="635" spans="10:10">
      <c r="J635" s="37"/>
    </row>
    <row r="636" spans="10:10">
      <c r="J636" s="37"/>
    </row>
    <row r="637" spans="10:10">
      <c r="J637" s="37"/>
    </row>
    <row r="638" spans="10:10">
      <c r="J638" s="37"/>
    </row>
    <row r="639" spans="10:10">
      <c r="J639" s="37"/>
    </row>
    <row r="640" spans="10:10">
      <c r="J640" s="37"/>
    </row>
    <row r="641" spans="10:10">
      <c r="J641" s="37"/>
    </row>
    <row r="642" spans="10:10">
      <c r="J642" s="37"/>
    </row>
    <row r="643" spans="10:10">
      <c r="J643" s="37"/>
    </row>
    <row r="644" spans="10:10">
      <c r="J644" s="37"/>
    </row>
    <row r="645" spans="10:10">
      <c r="J645" s="37"/>
    </row>
    <row r="646" spans="10:10">
      <c r="J646" s="37"/>
    </row>
    <row r="647" spans="10:10">
      <c r="J647" s="37"/>
    </row>
    <row r="648" spans="10:10">
      <c r="J648" s="37"/>
    </row>
    <row r="649" spans="10:10">
      <c r="J649" s="37"/>
    </row>
    <row r="650" spans="10:10">
      <c r="J650" s="37"/>
    </row>
    <row r="651" spans="10:10">
      <c r="J651" s="37"/>
    </row>
    <row r="652" spans="10:10">
      <c r="J652" s="37"/>
    </row>
    <row r="653" spans="10:10">
      <c r="J653" s="37"/>
    </row>
    <row r="654" spans="10:10">
      <c r="J654" s="37"/>
    </row>
    <row r="655" spans="10:10">
      <c r="J655" s="37"/>
    </row>
    <row r="656" spans="10:10">
      <c r="J656" s="37"/>
    </row>
    <row r="657" spans="10:10">
      <c r="J657" s="37"/>
    </row>
    <row r="658" spans="10:10">
      <c r="J658" s="37"/>
    </row>
    <row r="659" spans="10:10">
      <c r="J659" s="37"/>
    </row>
    <row r="660" spans="10:10">
      <c r="J660" s="37"/>
    </row>
    <row r="661" spans="10:10">
      <c r="J661" s="37"/>
    </row>
    <row r="662" spans="10:10">
      <c r="J662" s="37"/>
    </row>
    <row r="663" spans="10:10">
      <c r="J663" s="37"/>
    </row>
    <row r="664" spans="10:10">
      <c r="J664" s="37"/>
    </row>
    <row r="665" spans="10:10">
      <c r="J665" s="37"/>
    </row>
    <row r="666" spans="10:10">
      <c r="J666" s="37"/>
    </row>
    <row r="667" spans="10:10">
      <c r="J667" s="37"/>
    </row>
    <row r="668" spans="10:10">
      <c r="J668" s="37"/>
    </row>
    <row r="669" spans="10:10">
      <c r="J669" s="37"/>
    </row>
    <row r="670" spans="10:10">
      <c r="J670" s="37"/>
    </row>
    <row r="671" spans="10:10">
      <c r="J671" s="37"/>
    </row>
    <row r="672" spans="10:10">
      <c r="J672" s="37"/>
    </row>
    <row r="673" spans="10:10">
      <c r="J673" s="37"/>
    </row>
    <row r="674" spans="10:10">
      <c r="J674" s="37"/>
    </row>
    <row r="675" spans="10:10">
      <c r="J675" s="37"/>
    </row>
    <row r="676" spans="10:10">
      <c r="J676" s="37"/>
    </row>
    <row r="677" spans="10:10">
      <c r="J677" s="37"/>
    </row>
    <row r="678" spans="10:10">
      <c r="J678" s="37"/>
    </row>
    <row r="679" spans="10:10">
      <c r="J679" s="37"/>
    </row>
    <row r="680" spans="10:10">
      <c r="J680" s="37"/>
    </row>
    <row r="681" spans="10:10">
      <c r="J681" s="37"/>
    </row>
    <row r="682" spans="10:10">
      <c r="J682" s="37"/>
    </row>
    <row r="683" spans="10:10">
      <c r="J683" s="37"/>
    </row>
    <row r="684" spans="10:10">
      <c r="J684" s="37"/>
    </row>
    <row r="685" spans="10:10">
      <c r="J685" s="37"/>
    </row>
    <row r="686" spans="10:10">
      <c r="J686" s="37"/>
    </row>
    <row r="687" spans="10:10">
      <c r="J687" s="37"/>
    </row>
    <row r="688" spans="10:10">
      <c r="J688" s="37"/>
    </row>
    <row r="689" spans="10:10">
      <c r="J689" s="37"/>
    </row>
    <row r="690" spans="10:10">
      <c r="J690" s="37"/>
    </row>
    <row r="691" spans="10:10">
      <c r="J691" s="37"/>
    </row>
    <row r="692" spans="10:10">
      <c r="J692" s="37"/>
    </row>
    <row r="693" spans="10:10">
      <c r="J693" s="37"/>
    </row>
    <row r="694" spans="10:10">
      <c r="J694" s="37"/>
    </row>
    <row r="695" spans="10:10">
      <c r="J695" s="37"/>
    </row>
    <row r="696" spans="10:10">
      <c r="J696" s="37"/>
    </row>
    <row r="697" spans="10:10">
      <c r="J697" s="37"/>
    </row>
    <row r="698" spans="10:10">
      <c r="J698" s="37"/>
    </row>
    <row r="699" spans="10:10">
      <c r="J699" s="37"/>
    </row>
    <row r="700" spans="10:10">
      <c r="J700" s="37"/>
    </row>
    <row r="701" spans="10:10">
      <c r="J701" s="37"/>
    </row>
    <row r="702" spans="10:10">
      <c r="J702" s="37"/>
    </row>
    <row r="703" spans="10:10">
      <c r="J703" s="37"/>
    </row>
    <row r="704" spans="10:10">
      <c r="J704" s="37"/>
    </row>
    <row r="705" spans="10:10">
      <c r="J705" s="37"/>
    </row>
    <row r="706" spans="10:10">
      <c r="J706" s="37"/>
    </row>
    <row r="707" spans="10:10">
      <c r="J707" s="37"/>
    </row>
    <row r="708" spans="10:10">
      <c r="J708" s="37"/>
    </row>
    <row r="709" spans="10:10">
      <c r="J709" s="37"/>
    </row>
    <row r="710" spans="10:10">
      <c r="J710" s="37"/>
    </row>
    <row r="711" spans="10:10">
      <c r="J711" s="37"/>
    </row>
    <row r="712" spans="10:10">
      <c r="J712" s="37"/>
    </row>
    <row r="713" spans="10:10">
      <c r="J713" s="37"/>
    </row>
    <row r="714" spans="10:10">
      <c r="J714" s="37"/>
    </row>
    <row r="715" spans="10:10">
      <c r="J715" s="37"/>
    </row>
    <row r="716" spans="10:10">
      <c r="J716" s="37"/>
    </row>
    <row r="717" spans="10:10">
      <c r="J717" s="37"/>
    </row>
    <row r="718" spans="10:10">
      <c r="J718" s="37"/>
    </row>
    <row r="719" spans="10:10">
      <c r="J719" s="37"/>
    </row>
    <row r="720" spans="10:10">
      <c r="J720" s="37"/>
    </row>
    <row r="721" spans="10:10">
      <c r="J721" s="37"/>
    </row>
    <row r="722" spans="10:10">
      <c r="J722" s="37"/>
    </row>
    <row r="723" spans="10:10">
      <c r="J723" s="37"/>
    </row>
    <row r="724" spans="10:10">
      <c r="J724" s="37"/>
    </row>
    <row r="725" spans="10:10">
      <c r="J725" s="37"/>
    </row>
    <row r="726" spans="10:10">
      <c r="J726" s="37"/>
    </row>
    <row r="727" spans="10:10">
      <c r="J727" s="37"/>
    </row>
    <row r="728" spans="10:10">
      <c r="J728" s="37"/>
    </row>
    <row r="729" spans="10:10">
      <c r="J729" s="37"/>
    </row>
    <row r="730" spans="10:10">
      <c r="J730" s="37"/>
    </row>
    <row r="731" spans="10:10">
      <c r="J731" s="37"/>
    </row>
    <row r="732" spans="10:10">
      <c r="J732" s="37"/>
    </row>
    <row r="733" spans="10:10">
      <c r="J733" s="37"/>
    </row>
    <row r="734" spans="10:10">
      <c r="J734" s="37"/>
    </row>
    <row r="735" spans="10:10">
      <c r="J735" s="37"/>
    </row>
    <row r="736" spans="10:10">
      <c r="J736" s="37"/>
    </row>
    <row r="737" spans="10:10">
      <c r="J737" s="37"/>
    </row>
    <row r="738" spans="10:10">
      <c r="J738" s="37"/>
    </row>
    <row r="739" spans="10:10">
      <c r="J739" s="37"/>
    </row>
    <row r="740" spans="10:10">
      <c r="J740" s="37"/>
    </row>
    <row r="741" spans="10:10">
      <c r="J741" s="37"/>
    </row>
    <row r="742" spans="10:10">
      <c r="J742" s="37"/>
    </row>
    <row r="743" spans="10:10">
      <c r="J743" s="37"/>
    </row>
    <row r="744" spans="10:10">
      <c r="J744" s="37"/>
    </row>
    <row r="745" spans="10:10">
      <c r="J745" s="37"/>
    </row>
    <row r="746" spans="10:10">
      <c r="J746" s="37"/>
    </row>
    <row r="747" spans="10:10">
      <c r="J747" s="37"/>
    </row>
    <row r="748" spans="10:10">
      <c r="J748" s="37"/>
    </row>
    <row r="749" spans="10:10">
      <c r="J749" s="37"/>
    </row>
    <row r="750" spans="10:10">
      <c r="J750" s="37"/>
    </row>
    <row r="751" spans="10:10">
      <c r="J751" s="37"/>
    </row>
    <row r="752" spans="10:10">
      <c r="J752" s="37"/>
    </row>
    <row r="753" spans="10:10">
      <c r="J753" s="37"/>
    </row>
    <row r="754" spans="10:10">
      <c r="J754" s="37"/>
    </row>
    <row r="755" spans="10:10">
      <c r="J755" s="37"/>
    </row>
    <row r="756" spans="10:10">
      <c r="J756" s="37"/>
    </row>
    <row r="757" spans="10:10">
      <c r="J757" s="37"/>
    </row>
    <row r="758" spans="10:10">
      <c r="J758" s="37"/>
    </row>
    <row r="759" spans="10:10">
      <c r="J759" s="37"/>
    </row>
    <row r="760" spans="10:10">
      <c r="J760" s="37"/>
    </row>
    <row r="761" spans="10:10">
      <c r="J761" s="37"/>
    </row>
    <row r="762" spans="10:10">
      <c r="J762" s="37"/>
    </row>
    <row r="763" spans="10:10">
      <c r="J763" s="37"/>
    </row>
    <row r="764" spans="10:10">
      <c r="J764" s="37"/>
    </row>
    <row r="765" spans="10:10">
      <c r="J765" s="37"/>
    </row>
    <row r="766" spans="10:10">
      <c r="J766" s="37"/>
    </row>
    <row r="767" spans="10:10">
      <c r="J767" s="37"/>
    </row>
    <row r="768" spans="10:10">
      <c r="J768" s="37"/>
    </row>
    <row r="769" spans="10:10">
      <c r="J769" s="37"/>
    </row>
    <row r="770" spans="10:10">
      <c r="J770" s="37"/>
    </row>
    <row r="771" spans="10:10">
      <c r="J771" s="37"/>
    </row>
    <row r="772" spans="10:10">
      <c r="J772" s="37"/>
    </row>
    <row r="773" spans="10:10">
      <c r="J773" s="37"/>
    </row>
    <row r="774" spans="10:10">
      <c r="J774" s="37"/>
    </row>
    <row r="775" spans="10:10">
      <c r="J775" s="37"/>
    </row>
    <row r="776" spans="10:10">
      <c r="J776" s="37"/>
    </row>
    <row r="777" spans="10:10">
      <c r="J777" s="37"/>
    </row>
    <row r="778" spans="10:10">
      <c r="J778" s="37"/>
    </row>
    <row r="779" spans="10:10">
      <c r="J779" s="37"/>
    </row>
    <row r="780" spans="10:10">
      <c r="J780" s="37"/>
    </row>
    <row r="781" spans="10:10">
      <c r="J781" s="37"/>
    </row>
    <row r="782" spans="10:10">
      <c r="J782" s="37"/>
    </row>
    <row r="783" spans="10:10">
      <c r="J783" s="37"/>
    </row>
    <row r="784" spans="10:10">
      <c r="J784" s="37"/>
    </row>
    <row r="785" spans="10:10">
      <c r="J785" s="37"/>
    </row>
    <row r="786" spans="10:10">
      <c r="J786" s="37"/>
    </row>
    <row r="787" spans="10:10">
      <c r="J787" s="37"/>
    </row>
    <row r="788" spans="10:10">
      <c r="J788" s="37"/>
    </row>
    <row r="789" spans="10:10">
      <c r="J789" s="37"/>
    </row>
    <row r="790" spans="10:10">
      <c r="J790" s="37"/>
    </row>
    <row r="791" spans="10:10">
      <c r="J791" s="37"/>
    </row>
    <row r="792" spans="10:10">
      <c r="J792" s="37"/>
    </row>
    <row r="793" spans="10:10">
      <c r="J793" s="37"/>
    </row>
    <row r="794" spans="10:10">
      <c r="J794" s="37"/>
    </row>
    <row r="795" spans="10:10">
      <c r="J795" s="37"/>
    </row>
    <row r="796" spans="10:10">
      <c r="J796" s="37"/>
    </row>
    <row r="797" spans="10:10">
      <c r="J797" s="37"/>
    </row>
    <row r="798" spans="10:10">
      <c r="J798" s="37"/>
    </row>
    <row r="799" spans="10:10">
      <c r="J799" s="37"/>
    </row>
    <row r="800" spans="10:10">
      <c r="J800" s="37"/>
    </row>
    <row r="801" spans="10:10">
      <c r="J801" s="37"/>
    </row>
    <row r="802" spans="10:10">
      <c r="J802" s="37"/>
    </row>
    <row r="803" spans="10:10">
      <c r="J803" s="37"/>
    </row>
    <row r="804" spans="10:10">
      <c r="J804" s="37"/>
    </row>
    <row r="805" spans="10:10">
      <c r="J805" s="37"/>
    </row>
    <row r="806" spans="10:10">
      <c r="J806" s="37"/>
    </row>
    <row r="807" spans="10:10">
      <c r="J807" s="37"/>
    </row>
    <row r="808" spans="10:10">
      <c r="J808" s="37"/>
    </row>
    <row r="809" spans="10:10">
      <c r="J809" s="37"/>
    </row>
    <row r="810" spans="10:10">
      <c r="J810" s="37"/>
    </row>
    <row r="811" spans="10:10">
      <c r="J811" s="37"/>
    </row>
    <row r="812" spans="10:10">
      <c r="J812" s="37"/>
    </row>
    <row r="813" spans="10:10">
      <c r="J813" s="37"/>
    </row>
    <row r="814" spans="10:10">
      <c r="J814" s="37"/>
    </row>
    <row r="815" spans="10:10">
      <c r="J815" s="37"/>
    </row>
    <row r="816" spans="10:10">
      <c r="J816" s="37"/>
    </row>
    <row r="817" spans="10:10">
      <c r="J817" s="37"/>
    </row>
    <row r="818" spans="10:10">
      <c r="J818" s="37"/>
    </row>
    <row r="819" spans="10:10">
      <c r="J819" s="37"/>
    </row>
    <row r="820" spans="10:10">
      <c r="J820" s="37"/>
    </row>
    <row r="821" spans="10:10">
      <c r="J821" s="37"/>
    </row>
    <row r="822" spans="10:10">
      <c r="J822" s="37"/>
    </row>
    <row r="823" spans="10:10">
      <c r="J823" s="37"/>
    </row>
    <row r="824" spans="10:10">
      <c r="J824" s="37"/>
    </row>
    <row r="825" spans="10:10">
      <c r="J825" s="37"/>
    </row>
    <row r="826" spans="10:10">
      <c r="J826" s="37"/>
    </row>
    <row r="827" spans="10:10">
      <c r="J827" s="37"/>
    </row>
    <row r="828" spans="10:10">
      <c r="J828" s="37"/>
    </row>
    <row r="829" spans="10:10">
      <c r="J829" s="37"/>
    </row>
    <row r="830" spans="10:10">
      <c r="J830" s="37"/>
    </row>
    <row r="831" spans="10:10">
      <c r="J831" s="37"/>
    </row>
    <row r="832" spans="10:10">
      <c r="J832" s="37"/>
    </row>
    <row r="833" spans="10:10">
      <c r="J833" s="37"/>
    </row>
    <row r="834" spans="10:10">
      <c r="J834" s="37"/>
    </row>
    <row r="835" spans="10:10">
      <c r="J835" s="37"/>
    </row>
    <row r="836" spans="10:10">
      <c r="J836" s="37"/>
    </row>
    <row r="837" spans="10:10">
      <c r="J837" s="37"/>
    </row>
    <row r="838" spans="10:10">
      <c r="J838" s="37"/>
    </row>
    <row r="839" spans="10:10">
      <c r="J839" s="37"/>
    </row>
    <row r="840" spans="10:10">
      <c r="J840" s="37"/>
    </row>
    <row r="841" spans="10:10">
      <c r="J841" s="37"/>
    </row>
    <row r="842" spans="10:10">
      <c r="J842" s="37"/>
    </row>
    <row r="843" spans="10:10">
      <c r="J843" s="37"/>
    </row>
    <row r="844" spans="10:10">
      <c r="J844" s="37"/>
    </row>
    <row r="845" spans="10:10">
      <c r="J845" s="37"/>
    </row>
    <row r="846" spans="10:10">
      <c r="J846" s="37"/>
    </row>
    <row r="847" spans="10:10">
      <c r="J847" s="37"/>
    </row>
    <row r="848" spans="10:10">
      <c r="J848" s="37"/>
    </row>
    <row r="849" spans="10:10">
      <c r="J849" s="37"/>
    </row>
    <row r="850" spans="10:10">
      <c r="J850" s="37"/>
    </row>
    <row r="851" spans="10:10">
      <c r="J851" s="37"/>
    </row>
    <row r="852" spans="10:10">
      <c r="J852" s="37"/>
    </row>
    <row r="853" spans="10:10">
      <c r="J853" s="37"/>
    </row>
    <row r="854" spans="10:10">
      <c r="J854" s="37"/>
    </row>
    <row r="855" spans="10:10">
      <c r="J855" s="37"/>
    </row>
    <row r="856" spans="10:10">
      <c r="J856" s="37"/>
    </row>
    <row r="857" spans="10:10">
      <c r="J857" s="37"/>
    </row>
    <row r="858" spans="10:10">
      <c r="J858" s="37"/>
    </row>
    <row r="859" spans="10:10">
      <c r="J859" s="37"/>
    </row>
    <row r="860" spans="10:10">
      <c r="J860" s="37"/>
    </row>
    <row r="861" spans="10:10">
      <c r="J861" s="37"/>
    </row>
    <row r="862" spans="10:10">
      <c r="J862" s="37"/>
    </row>
    <row r="863" spans="10:10">
      <c r="J863" s="37"/>
    </row>
    <row r="864" spans="10:10">
      <c r="J864" s="37"/>
    </row>
    <row r="865" spans="10:10">
      <c r="J865" s="37"/>
    </row>
    <row r="866" spans="10:10">
      <c r="J866" s="37"/>
    </row>
    <row r="867" spans="10:10">
      <c r="J867" s="37"/>
    </row>
    <row r="868" spans="10:10">
      <c r="J868" s="37"/>
    </row>
    <row r="869" spans="10:10">
      <c r="J869" s="37"/>
    </row>
    <row r="870" spans="10:10">
      <c r="J870" s="37"/>
    </row>
    <row r="871" spans="10:10">
      <c r="J871" s="37"/>
    </row>
    <row r="872" spans="10:10">
      <c r="J872" s="37"/>
    </row>
    <row r="873" spans="10:10">
      <c r="J873" s="37"/>
    </row>
    <row r="874" spans="10:10">
      <c r="J874" s="37"/>
    </row>
    <row r="875" spans="10:10">
      <c r="J875" s="37"/>
    </row>
    <row r="876" spans="10:10">
      <c r="J876" s="37"/>
    </row>
    <row r="877" spans="10:10">
      <c r="J877" s="37"/>
    </row>
    <row r="878" spans="10:10">
      <c r="J878" s="37"/>
    </row>
    <row r="879" spans="10:10">
      <c r="J879" s="37"/>
    </row>
    <row r="880" spans="10:10">
      <c r="J880" s="37"/>
    </row>
    <row r="881" spans="10:10">
      <c r="J881" s="37"/>
    </row>
    <row r="882" spans="10:10">
      <c r="J882" s="37"/>
    </row>
    <row r="883" spans="10:10">
      <c r="J883" s="37"/>
    </row>
    <row r="884" spans="10:10">
      <c r="J884" s="37"/>
    </row>
    <row r="885" spans="10:10">
      <c r="J885" s="37"/>
    </row>
    <row r="886" spans="10:10">
      <c r="J886" s="37"/>
    </row>
    <row r="887" spans="10:10">
      <c r="J887" s="37"/>
    </row>
    <row r="888" spans="10:10">
      <c r="J888" s="37"/>
    </row>
    <row r="889" spans="10:10">
      <c r="J889" s="37"/>
    </row>
    <row r="890" spans="10:10">
      <c r="J890" s="37"/>
    </row>
    <row r="891" spans="10:10">
      <c r="J891" s="37"/>
    </row>
    <row r="892" spans="10:10">
      <c r="J892" s="37"/>
    </row>
    <row r="893" spans="10:10">
      <c r="J893" s="37"/>
    </row>
    <row r="894" spans="10:10">
      <c r="J894" s="37"/>
    </row>
    <row r="895" spans="10:10">
      <c r="J895" s="37"/>
    </row>
    <row r="896" spans="10:10">
      <c r="J896" s="37"/>
    </row>
    <row r="897" spans="10:10">
      <c r="J897" s="37"/>
    </row>
    <row r="898" spans="10:10">
      <c r="J898" s="37"/>
    </row>
    <row r="899" spans="10:10">
      <c r="J899" s="37"/>
    </row>
    <row r="900" spans="10:10">
      <c r="J900" s="37"/>
    </row>
    <row r="901" spans="10:10">
      <c r="J901" s="37"/>
    </row>
    <row r="902" spans="10:10">
      <c r="J902" s="37"/>
    </row>
    <row r="903" spans="10:10">
      <c r="J903" s="37"/>
    </row>
    <row r="904" spans="10:10">
      <c r="J904" s="37"/>
    </row>
    <row r="905" spans="10:10">
      <c r="J905" s="37"/>
    </row>
    <row r="906" spans="10:10">
      <c r="J906" s="37"/>
    </row>
    <row r="907" spans="10:10">
      <c r="J907" s="37"/>
    </row>
    <row r="908" spans="10:10">
      <c r="J908" s="37"/>
    </row>
    <row r="909" spans="10:10">
      <c r="J909" s="37"/>
    </row>
    <row r="910" spans="10:10">
      <c r="J910" s="37"/>
    </row>
    <row r="911" spans="10:10">
      <c r="J911" s="37"/>
    </row>
    <row r="912" spans="10:10">
      <c r="J912" s="37"/>
    </row>
    <row r="913" spans="10:10">
      <c r="J913" s="37"/>
    </row>
    <row r="914" spans="10:10">
      <c r="J914" s="37"/>
    </row>
    <row r="915" spans="10:10">
      <c r="J915" s="37"/>
    </row>
    <row r="916" spans="10:10">
      <c r="J916" s="37"/>
    </row>
    <row r="917" spans="10:10">
      <c r="J917" s="37"/>
    </row>
    <row r="918" spans="10:10">
      <c r="J918" s="37"/>
    </row>
    <row r="919" spans="10:10">
      <c r="J919" s="37"/>
    </row>
    <row r="920" spans="10:10">
      <c r="J920" s="37"/>
    </row>
    <row r="921" spans="10:10">
      <c r="J921" s="37"/>
    </row>
    <row r="922" spans="10:10">
      <c r="J922" s="37"/>
    </row>
    <row r="923" spans="10:10">
      <c r="J923" s="37"/>
    </row>
    <row r="924" spans="10:10">
      <c r="J924" s="37"/>
    </row>
    <row r="925" spans="10:10">
      <c r="J925" s="37"/>
    </row>
    <row r="926" spans="10:10">
      <c r="J926" s="37"/>
    </row>
    <row r="927" spans="10:10">
      <c r="J927" s="37"/>
    </row>
    <row r="928" spans="10:10">
      <c r="J928" s="37"/>
    </row>
    <row r="929" spans="10:10">
      <c r="J929" s="37"/>
    </row>
    <row r="930" spans="10:10">
      <c r="J930" s="37"/>
    </row>
    <row r="931" spans="10:10">
      <c r="J931" s="37"/>
    </row>
    <row r="932" spans="10:10">
      <c r="J932" s="37"/>
    </row>
    <row r="933" spans="10:10">
      <c r="J933" s="37"/>
    </row>
    <row r="934" spans="10:10">
      <c r="J934" s="37"/>
    </row>
    <row r="935" spans="10:10">
      <c r="J935" s="37"/>
    </row>
    <row r="936" spans="10:10">
      <c r="J936" s="37"/>
    </row>
    <row r="937" spans="10:10">
      <c r="J937" s="37"/>
    </row>
    <row r="938" spans="10:10">
      <c r="J938" s="37"/>
    </row>
    <row r="939" spans="10:10">
      <c r="J939" s="37"/>
    </row>
    <row r="940" spans="10:10">
      <c r="J940" s="37"/>
    </row>
    <row r="941" spans="10:10">
      <c r="J941" s="37"/>
    </row>
    <row r="942" spans="10:10">
      <c r="J942" s="37"/>
    </row>
    <row r="943" spans="10:10">
      <c r="J943" s="37"/>
    </row>
    <row r="944" spans="10:10">
      <c r="J944" s="37"/>
    </row>
    <row r="945" spans="10:10">
      <c r="J945" s="37"/>
    </row>
    <row r="946" spans="10:10">
      <c r="J946" s="37"/>
    </row>
    <row r="947" spans="10:10">
      <c r="J947" s="37"/>
    </row>
    <row r="948" spans="10:10">
      <c r="J948" s="37"/>
    </row>
    <row r="949" spans="10:10">
      <c r="J949" s="37"/>
    </row>
    <row r="950" spans="10:10">
      <c r="J950" s="37"/>
    </row>
    <row r="951" spans="10:10">
      <c r="J951" s="37"/>
    </row>
    <row r="952" spans="10:10">
      <c r="J952" s="37"/>
    </row>
    <row r="953" spans="10:10">
      <c r="J953" s="37"/>
    </row>
    <row r="954" spans="10:10">
      <c r="J954" s="37"/>
    </row>
    <row r="955" spans="10:10">
      <c r="J955" s="37"/>
    </row>
    <row r="956" spans="10:10">
      <c r="J956" s="37"/>
    </row>
    <row r="957" spans="10:10">
      <c r="J957" s="37"/>
    </row>
    <row r="958" spans="10:10">
      <c r="J958" s="37"/>
    </row>
    <row r="959" spans="10:10">
      <c r="J959" s="37"/>
    </row>
    <row r="960" spans="10:10">
      <c r="J960" s="37"/>
    </row>
    <row r="961" spans="10:10">
      <c r="J961" s="37"/>
    </row>
    <row r="962" spans="10:10">
      <c r="J962" s="37"/>
    </row>
    <row r="963" spans="10:10">
      <c r="J963" s="37"/>
    </row>
    <row r="964" spans="10:10">
      <c r="J964" s="37"/>
    </row>
    <row r="965" spans="10:10">
      <c r="J965" s="37"/>
    </row>
    <row r="966" spans="10:10">
      <c r="J966" s="37"/>
    </row>
    <row r="967" spans="10:10">
      <c r="J967" s="37"/>
    </row>
    <row r="968" spans="10:10">
      <c r="J968" s="37"/>
    </row>
    <row r="969" spans="10:10">
      <c r="J969" s="37"/>
    </row>
    <row r="970" spans="10:10">
      <c r="J970" s="37"/>
    </row>
    <row r="971" spans="10:10">
      <c r="J971" s="37"/>
    </row>
    <row r="972" spans="10:10">
      <c r="J972" s="37"/>
    </row>
    <row r="973" spans="10:10">
      <c r="J973" s="37"/>
    </row>
    <row r="974" spans="10:10">
      <c r="J974" s="37"/>
    </row>
    <row r="975" spans="10:10">
      <c r="J975" s="37"/>
    </row>
    <row r="976" spans="10:10">
      <c r="J976" s="37"/>
    </row>
    <row r="977" spans="10:10">
      <c r="J977" s="37"/>
    </row>
    <row r="978" spans="10:10">
      <c r="J978" s="37"/>
    </row>
    <row r="979" spans="10:10">
      <c r="J979" s="37"/>
    </row>
    <row r="980" spans="10:10">
      <c r="J980" s="37"/>
    </row>
    <row r="981" spans="10:10">
      <c r="J981" s="37"/>
    </row>
    <row r="982" spans="10:10">
      <c r="J982" s="37"/>
    </row>
    <row r="983" spans="10:10">
      <c r="J983" s="37"/>
    </row>
    <row r="984" spans="10:10">
      <c r="J984" s="37"/>
    </row>
    <row r="985" spans="10:10">
      <c r="J985" s="37"/>
    </row>
    <row r="986" spans="10:10">
      <c r="J986" s="37"/>
    </row>
    <row r="987" spans="10:10">
      <c r="J987" s="37"/>
    </row>
    <row r="988" spans="10:10">
      <c r="J988" s="37"/>
    </row>
    <row r="989" spans="10:10">
      <c r="J989" s="37"/>
    </row>
    <row r="990" spans="10:10">
      <c r="J990" s="37"/>
    </row>
    <row r="991" spans="10:10">
      <c r="J991" s="37"/>
    </row>
    <row r="992" spans="10:10">
      <c r="J992" s="37"/>
    </row>
    <row r="993" spans="10:10">
      <c r="J993" s="37"/>
    </row>
    <row r="994" spans="10:10">
      <c r="J994" s="37"/>
    </row>
    <row r="995" spans="10:10">
      <c r="J995" s="37"/>
    </row>
    <row r="996" spans="10:10">
      <c r="J996" s="37"/>
    </row>
    <row r="997" spans="10:10">
      <c r="J997" s="37"/>
    </row>
    <row r="998" spans="10:10">
      <c r="J998" s="37"/>
    </row>
    <row r="999" spans="10:10">
      <c r="J999" s="37"/>
    </row>
    <row r="1000" spans="10:10">
      <c r="J1000" s="37"/>
    </row>
    <row r="1001" spans="10:10">
      <c r="J1001" s="37"/>
    </row>
    <row r="1002" spans="10:10">
      <c r="J1002" s="37"/>
    </row>
    <row r="1003" spans="10:10">
      <c r="J1003" s="37"/>
    </row>
    <row r="1004" spans="10:10">
      <c r="J1004" s="37"/>
    </row>
    <row r="1005" spans="10:10">
      <c r="J1005" s="37"/>
    </row>
    <row r="1006" spans="10:10">
      <c r="J1006" s="37"/>
    </row>
    <row r="1007" spans="10:10">
      <c r="J1007" s="37"/>
    </row>
    <row r="1008" spans="10:10">
      <c r="J1008" s="37"/>
    </row>
    <row r="1009" spans="10:10">
      <c r="J1009" s="37"/>
    </row>
    <row r="1010" spans="10:10">
      <c r="J1010" s="37"/>
    </row>
    <row r="1011" spans="10:10">
      <c r="J1011" s="37"/>
    </row>
    <row r="1012" spans="10:10">
      <c r="J1012" s="37"/>
    </row>
    <row r="1013" spans="10:10">
      <c r="J1013" s="37"/>
    </row>
    <row r="1014" spans="10:10">
      <c r="J1014" s="37"/>
    </row>
    <row r="1015" spans="10:10">
      <c r="J1015" s="37"/>
    </row>
    <row r="1016" spans="10:10">
      <c r="J1016" s="37"/>
    </row>
    <row r="1017" spans="10:10">
      <c r="J1017" s="37"/>
    </row>
    <row r="1018" spans="10:10">
      <c r="J1018" s="37"/>
    </row>
    <row r="1019" spans="10:10">
      <c r="J1019" s="37"/>
    </row>
    <row r="1020" spans="10:10">
      <c r="J1020" s="37"/>
    </row>
    <row r="1021" spans="10:10">
      <c r="J1021" s="37"/>
    </row>
    <row r="1022" spans="10:10">
      <c r="J1022" s="37"/>
    </row>
    <row r="1023" spans="10:10">
      <c r="J1023" s="37"/>
    </row>
    <row r="1024" spans="10:10">
      <c r="J1024" s="37"/>
    </row>
    <row r="1025" spans="10:10">
      <c r="J1025" s="37"/>
    </row>
    <row r="1026" spans="10:10">
      <c r="J1026" s="37"/>
    </row>
    <row r="1027" spans="10:10">
      <c r="J1027" s="37"/>
    </row>
    <row r="1028" spans="10:10">
      <c r="J1028" s="37"/>
    </row>
    <row r="1029" spans="10:10">
      <c r="J1029" s="37"/>
    </row>
    <row r="1030" spans="10:10">
      <c r="J1030" s="37"/>
    </row>
    <row r="1031" spans="10:10">
      <c r="J1031" s="37"/>
    </row>
    <row r="1032" spans="10:10">
      <c r="J1032" s="37"/>
    </row>
    <row r="1033" spans="10:10">
      <c r="J1033" s="37"/>
    </row>
    <row r="1034" spans="10:10">
      <c r="J1034" s="37"/>
    </row>
    <row r="1035" spans="10:10">
      <c r="J1035" s="37"/>
    </row>
    <row r="1036" spans="10:10">
      <c r="J1036" s="37"/>
    </row>
    <row r="1037" spans="10:10">
      <c r="J1037" s="37"/>
    </row>
    <row r="1038" spans="10:10">
      <c r="J1038" s="37"/>
    </row>
    <row r="1039" spans="10:10">
      <c r="J1039" s="37"/>
    </row>
    <row r="1040" spans="10:10">
      <c r="J1040" s="37"/>
    </row>
    <row r="1041" spans="10:10">
      <c r="J1041" s="37"/>
    </row>
    <row r="1042" spans="10:10">
      <c r="J1042" s="37"/>
    </row>
    <row r="1043" spans="10:10">
      <c r="J1043" s="37"/>
    </row>
    <row r="1044" spans="10:10">
      <c r="J1044" s="37"/>
    </row>
    <row r="1045" spans="10:10">
      <c r="J1045" s="37"/>
    </row>
    <row r="1046" spans="10:10">
      <c r="J1046" s="37"/>
    </row>
    <row r="1047" spans="10:10">
      <c r="J1047" s="37"/>
    </row>
    <row r="1048" spans="10:10">
      <c r="J1048" s="37"/>
    </row>
    <row r="1049" spans="10:10">
      <c r="J1049" s="37"/>
    </row>
    <row r="1050" spans="10:10">
      <c r="J1050" s="37"/>
    </row>
    <row r="1051" spans="10:10">
      <c r="J1051" s="37"/>
    </row>
    <row r="1052" spans="10:10">
      <c r="J1052" s="37"/>
    </row>
    <row r="1053" spans="10:10">
      <c r="J1053" s="37"/>
    </row>
    <row r="1054" spans="10:10">
      <c r="J1054" s="37"/>
    </row>
    <row r="1055" spans="10:10">
      <c r="J1055" s="37"/>
    </row>
    <row r="1056" spans="10:10">
      <c r="J1056" s="37"/>
    </row>
    <row r="1057" spans="10:10">
      <c r="J1057" s="37"/>
    </row>
    <row r="1058" spans="10:10">
      <c r="J1058" s="37"/>
    </row>
    <row r="1059" spans="10:10">
      <c r="J1059" s="37"/>
    </row>
    <row r="1060" spans="10:10">
      <c r="J1060" s="37"/>
    </row>
    <row r="1061" spans="10:10">
      <c r="J1061" s="37"/>
    </row>
    <row r="1062" spans="10:10">
      <c r="J1062" s="37"/>
    </row>
    <row r="1063" spans="10:10">
      <c r="J1063" s="37"/>
    </row>
    <row r="1064" spans="10:10">
      <c r="J1064" s="37"/>
    </row>
    <row r="1065" spans="10:10">
      <c r="J1065" s="37"/>
    </row>
    <row r="1066" spans="10:10">
      <c r="J1066" s="37"/>
    </row>
    <row r="1067" spans="10:10">
      <c r="J1067" s="37"/>
    </row>
    <row r="1068" spans="10:10">
      <c r="J1068" s="37"/>
    </row>
    <row r="1069" spans="10:10">
      <c r="J1069" s="37"/>
    </row>
    <row r="1070" spans="10:10">
      <c r="J1070" s="37"/>
    </row>
    <row r="1071" spans="10:10">
      <c r="J1071" s="37"/>
    </row>
    <row r="1072" spans="10:10">
      <c r="J1072" s="37"/>
    </row>
    <row r="1073" spans="10:10">
      <c r="J1073" s="37"/>
    </row>
    <row r="1074" spans="10:10">
      <c r="J1074" s="37"/>
    </row>
    <row r="1075" spans="10:10">
      <c r="J1075" s="37"/>
    </row>
    <row r="1076" spans="10:10">
      <c r="J1076" s="37"/>
    </row>
    <row r="1077" spans="10:10">
      <c r="J1077" s="37"/>
    </row>
    <row r="1078" spans="10:10">
      <c r="J1078" s="37"/>
    </row>
    <row r="1079" spans="10:10">
      <c r="J1079" s="37"/>
    </row>
    <row r="1080" spans="10:10">
      <c r="J1080" s="37"/>
    </row>
    <row r="1081" spans="10:10">
      <c r="J1081" s="37"/>
    </row>
    <row r="1082" spans="10:10">
      <c r="J1082" s="37"/>
    </row>
    <row r="1083" spans="10:10">
      <c r="J1083" s="37"/>
    </row>
    <row r="1084" spans="10:10">
      <c r="J1084" s="37"/>
    </row>
    <row r="1085" spans="10:10">
      <c r="J1085" s="37"/>
    </row>
    <row r="1086" spans="10:10">
      <c r="J1086" s="37"/>
    </row>
    <row r="1087" spans="10:10">
      <c r="J1087" s="37"/>
    </row>
    <row r="1088" spans="10:10">
      <c r="J1088" s="37"/>
    </row>
    <row r="1089" spans="10:10">
      <c r="J1089" s="37"/>
    </row>
    <row r="1090" spans="10:10">
      <c r="J1090" s="37"/>
    </row>
    <row r="1091" spans="10:10">
      <c r="J1091" s="37"/>
    </row>
    <row r="1092" spans="10:10">
      <c r="J1092" s="37"/>
    </row>
    <row r="1093" spans="10:10">
      <c r="J1093" s="37"/>
    </row>
    <row r="1094" spans="10:10">
      <c r="J1094" s="37"/>
    </row>
    <row r="1095" spans="10:10">
      <c r="J1095" s="37"/>
    </row>
    <row r="1096" spans="10:10">
      <c r="J1096" s="37"/>
    </row>
    <row r="1097" spans="10:10">
      <c r="J1097" s="37"/>
    </row>
    <row r="1098" spans="10:10">
      <c r="J1098" s="37"/>
    </row>
    <row r="1099" spans="10:10">
      <c r="J1099" s="37"/>
    </row>
    <row r="1100" spans="10:10">
      <c r="J1100" s="37"/>
    </row>
    <row r="1101" spans="10:10">
      <c r="J1101" s="37"/>
    </row>
    <row r="1102" spans="10:10">
      <c r="J1102" s="37"/>
    </row>
    <row r="1103" spans="10:10">
      <c r="J1103" s="37"/>
    </row>
    <row r="1104" spans="10:10">
      <c r="J1104" s="37"/>
    </row>
    <row r="1105" spans="10:10">
      <c r="J1105" s="37"/>
    </row>
    <row r="1106" spans="10:10">
      <c r="J1106" s="37"/>
    </row>
    <row r="1107" spans="10:10">
      <c r="J1107" s="37"/>
    </row>
    <row r="1108" spans="10:10">
      <c r="J1108" s="37"/>
    </row>
    <row r="1109" spans="10:10">
      <c r="J1109" s="37"/>
    </row>
    <row r="1110" spans="10:10">
      <c r="J1110" s="37"/>
    </row>
    <row r="1111" spans="10:10">
      <c r="J1111" s="37"/>
    </row>
    <row r="1112" spans="10:10">
      <c r="J1112" s="37"/>
    </row>
    <row r="1113" spans="10:10">
      <c r="J1113" s="37"/>
    </row>
    <row r="1114" spans="10:10">
      <c r="J1114" s="37"/>
    </row>
    <row r="1115" spans="10:10">
      <c r="J1115" s="37"/>
    </row>
    <row r="1116" spans="10:10">
      <c r="J1116" s="37"/>
    </row>
    <row r="1117" spans="10:10">
      <c r="J1117" s="37"/>
    </row>
    <row r="1118" spans="10:10">
      <c r="J1118" s="37"/>
    </row>
    <row r="1119" spans="10:10">
      <c r="J1119" s="37"/>
    </row>
    <row r="1120" spans="10:10">
      <c r="J1120" s="37"/>
    </row>
    <row r="1121" spans="10:10">
      <c r="J1121" s="37"/>
    </row>
    <row r="1122" spans="10:10">
      <c r="J1122" s="37"/>
    </row>
    <row r="1123" spans="10:10">
      <c r="J1123" s="37"/>
    </row>
    <row r="1124" spans="10:10">
      <c r="J1124" s="37"/>
    </row>
    <row r="1125" spans="10:10">
      <c r="J1125" s="37"/>
    </row>
    <row r="1126" spans="10:10">
      <c r="J1126" s="37"/>
    </row>
    <row r="1127" spans="10:10">
      <c r="J1127" s="37"/>
    </row>
    <row r="1128" spans="10:10">
      <c r="J1128" s="37"/>
    </row>
    <row r="1129" spans="10:10">
      <c r="J1129" s="37"/>
    </row>
    <row r="1130" spans="10:10">
      <c r="J1130" s="37"/>
    </row>
    <row r="1131" spans="10:10">
      <c r="J1131" s="37"/>
    </row>
    <row r="1132" spans="10:10">
      <c r="J1132" s="37"/>
    </row>
    <row r="1133" spans="10:10">
      <c r="J1133" s="37"/>
    </row>
    <row r="1134" spans="10:10">
      <c r="J1134" s="37"/>
    </row>
    <row r="1135" spans="10:10">
      <c r="J1135" s="37"/>
    </row>
    <row r="1136" spans="10:10">
      <c r="J1136" s="37"/>
    </row>
    <row r="1137" spans="10:10">
      <c r="J1137" s="37"/>
    </row>
    <row r="1138" spans="10:10">
      <c r="J1138" s="37"/>
    </row>
    <row r="1139" spans="10:10">
      <c r="J1139" s="37"/>
    </row>
    <row r="1140" spans="10:10">
      <c r="J1140" s="37"/>
    </row>
    <row r="1141" spans="10:10">
      <c r="J1141" s="37"/>
    </row>
    <row r="1142" spans="10:10">
      <c r="J1142" s="37"/>
    </row>
    <row r="1143" spans="10:10">
      <c r="J1143" s="37"/>
    </row>
    <row r="1144" spans="10:10">
      <c r="J1144" s="37"/>
    </row>
    <row r="1145" spans="10:10">
      <c r="J1145" s="37"/>
    </row>
    <row r="1146" spans="10:10">
      <c r="J1146" s="37"/>
    </row>
    <row r="1147" spans="10:10">
      <c r="J1147" s="37"/>
    </row>
    <row r="1148" spans="10:10">
      <c r="J1148" s="37"/>
    </row>
    <row r="1149" spans="10:10">
      <c r="J1149" s="37"/>
    </row>
    <row r="1150" spans="10:10">
      <c r="J1150" s="37"/>
    </row>
    <row r="1151" spans="10:10">
      <c r="J1151" s="37"/>
    </row>
    <row r="1152" spans="10:10">
      <c r="J1152" s="37"/>
    </row>
    <row r="1153" spans="10:10">
      <c r="J1153" s="37"/>
    </row>
    <row r="1154" spans="10:10">
      <c r="J1154" s="37"/>
    </row>
    <row r="1155" spans="10:10">
      <c r="J1155" s="37"/>
    </row>
    <row r="1156" spans="10:10">
      <c r="J1156" s="37"/>
    </row>
    <row r="1157" spans="10:10">
      <c r="J1157" s="37"/>
    </row>
    <row r="1158" spans="10:10">
      <c r="J1158" s="37"/>
    </row>
    <row r="1159" spans="10:10">
      <c r="J1159" s="37"/>
    </row>
    <row r="1160" spans="10:10">
      <c r="J1160" s="37"/>
    </row>
    <row r="1161" spans="10:10">
      <c r="J1161" s="37"/>
    </row>
    <row r="1162" spans="10:10">
      <c r="J1162" s="37"/>
    </row>
    <row r="1163" spans="10:10">
      <c r="J1163" s="37"/>
    </row>
    <row r="1164" spans="10:10">
      <c r="J1164" s="37"/>
    </row>
    <row r="1165" spans="10:10">
      <c r="J1165" s="37"/>
    </row>
    <row r="1166" spans="10:10">
      <c r="J1166" s="37"/>
    </row>
    <row r="1167" spans="10:10">
      <c r="J1167" s="37"/>
    </row>
    <row r="1168" spans="10:10">
      <c r="J1168" s="37"/>
    </row>
    <row r="1169" spans="10:10">
      <c r="J1169" s="37"/>
    </row>
    <row r="1170" spans="10:10">
      <c r="J1170" s="37"/>
    </row>
    <row r="1171" spans="10:10">
      <c r="J1171" s="37"/>
    </row>
    <row r="1172" spans="10:10">
      <c r="J1172" s="37"/>
    </row>
    <row r="1173" spans="10:10">
      <c r="J1173" s="37"/>
    </row>
    <row r="1174" spans="10:10">
      <c r="J1174" s="37"/>
    </row>
    <row r="1175" spans="10:10">
      <c r="J1175" s="37"/>
    </row>
    <row r="1176" spans="10:10">
      <c r="J1176" s="37"/>
    </row>
    <row r="1177" spans="10:10">
      <c r="J1177" s="37"/>
    </row>
    <row r="1178" spans="10:10">
      <c r="J1178" s="37"/>
    </row>
    <row r="1179" spans="10:10">
      <c r="J1179" s="37"/>
    </row>
    <row r="1180" spans="10:10">
      <c r="J1180" s="37"/>
    </row>
    <row r="1181" spans="10:10">
      <c r="J1181" s="37"/>
    </row>
    <row r="1182" spans="10:10">
      <c r="J1182" s="37"/>
    </row>
    <row r="1183" spans="10:10">
      <c r="J1183" s="37"/>
    </row>
    <row r="1184" spans="10:10">
      <c r="J1184" s="37"/>
    </row>
    <row r="1185" spans="10:10">
      <c r="J1185" s="37"/>
    </row>
    <row r="1186" spans="10:10">
      <c r="J1186" s="37"/>
    </row>
    <row r="1187" spans="10:10">
      <c r="J1187" s="37"/>
    </row>
    <row r="1188" spans="10:10">
      <c r="J1188" s="37"/>
    </row>
    <row r="1189" spans="10:10">
      <c r="J1189" s="37"/>
    </row>
    <row r="1190" spans="10:10">
      <c r="J1190" s="37"/>
    </row>
    <row r="1191" spans="10:10">
      <c r="J1191" s="37"/>
    </row>
    <row r="1192" spans="10:10">
      <c r="J1192" s="37"/>
    </row>
    <row r="1193" spans="10:10">
      <c r="J1193" s="37"/>
    </row>
    <row r="1194" spans="10:10">
      <c r="J1194" s="37"/>
    </row>
    <row r="1195" spans="10:10">
      <c r="J1195" s="37"/>
    </row>
    <row r="1196" spans="10:10">
      <c r="J1196" s="37"/>
    </row>
    <row r="1197" spans="10:10">
      <c r="J1197" s="37"/>
    </row>
    <row r="1198" spans="10:10">
      <c r="J1198" s="37"/>
    </row>
    <row r="1199" spans="10:10">
      <c r="J1199" s="37"/>
    </row>
    <row r="1200" spans="10:10">
      <c r="J1200" s="37"/>
    </row>
    <row r="1201" spans="10:10">
      <c r="J1201" s="37"/>
    </row>
    <row r="1202" spans="10:10">
      <c r="J1202" s="37"/>
    </row>
    <row r="1203" spans="10:10">
      <c r="J1203" s="37"/>
    </row>
    <row r="1204" spans="10:10">
      <c r="J1204" s="37"/>
    </row>
    <row r="1205" spans="10:10">
      <c r="J1205" s="37"/>
    </row>
    <row r="1206" spans="10:10">
      <c r="J1206" s="37"/>
    </row>
    <row r="1207" spans="10:10">
      <c r="J1207" s="37"/>
    </row>
    <row r="1208" spans="10:10">
      <c r="J1208" s="37"/>
    </row>
    <row r="1209" spans="10:10">
      <c r="J1209" s="37"/>
    </row>
    <row r="1210" spans="10:10">
      <c r="J1210" s="37"/>
    </row>
    <row r="1211" spans="10:10">
      <c r="J1211" s="37"/>
    </row>
    <row r="1212" spans="10:10">
      <c r="J1212" s="37"/>
    </row>
    <row r="1213" spans="10:10">
      <c r="J1213" s="37"/>
    </row>
    <row r="1214" spans="10:10">
      <c r="J1214" s="37"/>
    </row>
    <row r="1215" spans="10:10">
      <c r="J1215" s="37"/>
    </row>
    <row r="1216" spans="10:10">
      <c r="J1216" s="37"/>
    </row>
    <row r="1217" spans="10:10">
      <c r="J1217" s="37"/>
    </row>
    <row r="1218" spans="10:10">
      <c r="J1218" s="37"/>
    </row>
    <row r="1219" spans="10:10">
      <c r="J1219" s="37"/>
    </row>
    <row r="1220" spans="10:10">
      <c r="J1220" s="37"/>
    </row>
    <row r="1221" spans="10:10">
      <c r="J1221" s="37"/>
    </row>
    <row r="1222" spans="10:10">
      <c r="J1222" s="37"/>
    </row>
    <row r="1223" spans="10:10">
      <c r="J1223" s="37"/>
    </row>
    <row r="1224" spans="10:10">
      <c r="J1224" s="37"/>
    </row>
    <row r="1225" spans="10:10">
      <c r="J1225" s="37"/>
    </row>
    <row r="1226" spans="10:10">
      <c r="J1226" s="37"/>
    </row>
    <row r="1227" spans="10:10">
      <c r="J1227" s="37"/>
    </row>
    <row r="1228" spans="10:10">
      <c r="J1228" s="37"/>
    </row>
    <row r="1229" spans="10:10">
      <c r="J1229" s="37"/>
    </row>
    <row r="1230" spans="10:10">
      <c r="J1230" s="37"/>
    </row>
    <row r="1231" spans="10:10">
      <c r="J1231" s="37"/>
    </row>
    <row r="1232" spans="10:10">
      <c r="J1232" s="37"/>
    </row>
    <row r="1233" spans="10:10">
      <c r="J1233" s="3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DC2E8A-5B70-4D61-B747-9F53FD8B0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Procedure</vt:lpstr>
      <vt:lpstr>Control</vt:lpstr>
      <vt:lpstr>Parameters</vt:lpstr>
      <vt:lpstr>InputMADMAR</vt:lpstr>
      <vt:lpstr>OutputMADMAR</vt:lpstr>
      <vt:lpstr>ReportDate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iW Partners</cp:lastModifiedBy>
  <cp:lastPrinted>2019-09-25T08:10:06Z</cp:lastPrinted>
  <dcterms:created xsi:type="dcterms:W3CDTF">2019-01-21T17:30:05Z</dcterms:created>
  <dcterms:modified xsi:type="dcterms:W3CDTF">2022-08-03T19:29:41Z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  <property fmtid="{D5CDD505-2E9C-101B-9397-08002B2CF9AE}" pid="5" name="SpreadsheetBuilder_4">
    <vt:lpwstr>eyIwIjoiSGlzdG9yeSIsIjEiOjAsIjIiOjEsIjMiOjEsIjQiOjEsIjUiOjEsIjYiOjEsIjciOjEsIjgiOjAsIjkiOjEsIjEwIjoxLCIxMSI6MCwiMTIiOjB9</vt:lpwstr>
  </property>
</Properties>
</file>